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Desenho_MUS" sheetId="2" state="visible" r:id="rId4"/>
    <sheet name="Amostra_MUS" sheetId="3" state="visible" r:id="rId5"/>
    <sheet name="Avaliacao_MUS" sheetId="4" state="visible" r:id="rId6"/>
    <sheet name="Testes_100" sheetId="5" state="visible" r:id="rId7"/>
    <sheet name="Ampliacao" sheetId="6" state="visible" r:id="rId8"/>
    <sheet name="PT450_Distorcoes" sheetId="7" state="visible" r:id="rId9"/>
    <sheet name="Comparacao_pos" sheetId="8" state="visible" r:id="rId10"/>
    <sheet name="Congelament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<sst xmlns="http://schemas.openxmlformats.org/spreadsheetml/2006/main" count="1777" uniqueCount="617">
  <si>
    <t xml:space="preserve">Bloco 08 — Amostragem (PT 530), testes integrais e distorções simuladas (PT 450)</t>
  </si>
  <si>
    <t xml:space="preserve">Base SINTÉTICA para fins didáticos — resultados não são constatações sobre a CPFL Energia S.A. Preparado com apoio de IA em 23/10/2026.</t>
  </si>
  <si>
    <t xml:space="preserve">Sequência documentada: (1) desenho registrado no Drive antes da execução (B08_Desenho_pre_registro.md, 23/10/2026 19:54); (2) execução de testes_b08.py; (3) resposta ao resultado (avaliacao_complementar_b08.py); (4) congelamento por hash registrado no Drive (B08_congelamento.json, 19:55:53); (5) só então abertura dos arquivos reservados (aba Comparacao_pos).</t>
  </si>
  <si>
    <t xml:space="preserve">Cores: azul com fundo amarelo = dado de entrada ou valor calculado pelo código (fonte indicada); preto = fórmula; verde = vínculo entre abas.</t>
  </si>
  <si>
    <t xml:space="preserve">Abas: Desenho_MUS, Amostra_MUS, Avaliacao_MUS, Ampliacao, Testes_100, PT450_Distorcoes, Comparacao_pos, Congelamento.</t>
  </si>
  <si>
    <t xml:space="preserve">Limite: a mesma IA desenhou os erros e os testes; não é teste cego independente. Na simulação, o "valor auditado" de um item sorteado é obtido pelas mesmas regras T1–T3; a amostra não descobre tipos de erro fora dessas regras.</t>
  </si>
  <si>
    <t xml:space="preserve">Dimensionamento da amostra por unidade monetária (MUS)</t>
  </si>
  <si>
    <t xml:space="preserve">Parâmetro</t>
  </si>
  <si>
    <t xml:space="preserve">Valor</t>
  </si>
  <si>
    <t xml:space="preserve">Fundamento / natureza</t>
  </si>
  <si>
    <t xml:space="preserve">Valor contábil da população (R$)</t>
  </si>
  <si>
    <t xml:space="preserve">Base registrada conciliada (Bloco 07)</t>
  </si>
  <si>
    <t xml:space="preserve">Distorção tolerável — DT (R$)</t>
  </si>
  <si>
    <t xml:space="preserve">Igual a materialidade de execucao (NBC TA 530 A3; D-B04-01). Julgamento didatico.</t>
  </si>
  <si>
    <t xml:space="preserve">Risco de aceitação incorreta</t>
  </si>
  <si>
    <t xml:space="preserve">Risco significativo R01, sem confianca em controles (nao testados): seguranca alta exigida do teste de detalhes. Julgamento didatico.</t>
  </si>
  <si>
    <t xml:space="preserve">Distorção esperada — DE (R$)</t>
  </si>
  <si>
    <t xml:space="preserve">15% da distorcao toleravel: primeira auditoria (didatica), estimativa complexa nivel 3, cadastro de bens com historico setorial de baixas tardias. Julgamento didatico, definido antes de qualquer teste.</t>
  </si>
  <si>
    <t xml:space="preserve">Fator de expansão — FE</t>
  </si>
  <si>
    <t xml:space="preserve">AICPA Audit Guide - Audit Sampling, tabela de fatores de expansao para 5% de risco (literatura, nao requisito normativo)</t>
  </si>
  <si>
    <t xml:space="preserve">Fator de confiança para 0 erros — FC</t>
  </si>
  <si>
    <t xml:space="preserve">Limite superior de Poisson: qui-quadrado (95%; 2 g.l.) ÷ 2</t>
  </si>
  <si>
    <t xml:space="preserve">Tamanho n = VC × FC ÷ (DT − DE × FE)</t>
  </si>
  <si>
    <t xml:space="preserve">Cálculo (literatura AICPA; NBC TA 530 item 7 e A10–A11)</t>
  </si>
  <si>
    <t xml:space="preserve">Intervalo amostral J = VC ÷ n (R$)</t>
  </si>
  <si>
    <t xml:space="preserve">Cálculo</t>
  </si>
  <si>
    <t xml:space="preserve">Ponto inicial aleatório (R$)</t>
  </si>
  <si>
    <t xml:space="preserve">random.Random(2310200698).uniform(0, J)</t>
  </si>
  <si>
    <t xml:space="preserve">Itens ≥ J (seleção integral)</t>
  </si>
  <si>
    <t xml:space="preserve">Nenhum: maior item ≈ R$ 3,6 milhões</t>
  </si>
  <si>
    <t xml:space="preserve">Itens selecionados mais de uma vez</t>
  </si>
  <si>
    <t xml:space="preserve">Regra: testar uma vez</t>
  </si>
  <si>
    <t xml:space="preserve">Conferência: n do código</t>
  </si>
  <si>
    <t xml:space="preserve">Deve ser igual a B11</t>
  </si>
  <si>
    <t xml:space="preserve">Diferença (B11 − B16)</t>
  </si>
  <si>
    <t xml:space="preserve">Deve ser 0</t>
  </si>
  <si>
    <t xml:space="preserve">Amostra MUS (385 itens) — resultados por item</t>
  </si>
  <si>
    <t xml:space="preserve">Ordem</t>
  </si>
  <si>
    <t xml:space="preserve">id_registro</t>
  </si>
  <si>
    <t xml:space="preserve">Distribuidora</t>
  </si>
  <si>
    <t xml:space="preserve">Categoria cadastrada</t>
  </si>
  <si>
    <t xml:space="preserve">Valor registrado (R$)</t>
  </si>
  <si>
    <t xml:space="preserve">Valor auditado simulado (R$)</t>
  </si>
  <si>
    <t xml:space="preserve">Distorção (R$)</t>
  </si>
  <si>
    <t xml:space="preserve">Taint</t>
  </si>
  <si>
    <t xml:space="preserve">Distorção projetada (R$)</t>
  </si>
  <si>
    <t xml:space="preserve">Resultado</t>
  </si>
  <si>
    <t xml:space="preserve">AFC-SIM-0000455</t>
  </si>
  <si>
    <t xml:space="preserve">CPFL Santa Cruz</t>
  </si>
  <si>
    <t xml:space="preserve">Transformadores</t>
  </si>
  <si>
    <t xml:space="preserve">Sem excecao</t>
  </si>
  <si>
    <t xml:space="preserve">AFC-SIM-0001693</t>
  </si>
  <si>
    <t xml:space="preserve">CPFL Paulista</t>
  </si>
  <si>
    <t xml:space="preserve">Subestacoes</t>
  </si>
  <si>
    <t xml:space="preserve">AFC-SIM-0002809</t>
  </si>
  <si>
    <t xml:space="preserve">AFC-SIM-0004142</t>
  </si>
  <si>
    <t xml:space="preserve">CPFL Piratininga</t>
  </si>
  <si>
    <t xml:space="preserve">AFC-SIM-0005511</t>
  </si>
  <si>
    <t xml:space="preserve">AFC-SIM-0006564</t>
  </si>
  <si>
    <t xml:space="preserve">RGE</t>
  </si>
  <si>
    <t xml:space="preserve">AFC-SIM-0007746</t>
  </si>
  <si>
    <t xml:space="preserve">Redes de distribuicao</t>
  </si>
  <si>
    <t xml:space="preserve">AFC-SIM-0008980</t>
  </si>
  <si>
    <t xml:space="preserve">AFC-SIM-0010282</t>
  </si>
  <si>
    <t xml:space="preserve">AFC-SIM-0011514</t>
  </si>
  <si>
    <t xml:space="preserve">AFC-SIM-0012776</t>
  </si>
  <si>
    <t xml:space="preserve">AFC-SIM-0014022</t>
  </si>
  <si>
    <t xml:space="preserve">AFC-SIM-0015247</t>
  </si>
  <si>
    <t xml:space="preserve">AFC-SIM-0016575</t>
  </si>
  <si>
    <t xml:space="preserve">AFC-SIM-0017682</t>
  </si>
  <si>
    <t xml:space="preserve">AFC-SIM-0019281</t>
  </si>
  <si>
    <t xml:space="preserve">AFC-SIM-0020565</t>
  </si>
  <si>
    <t xml:space="preserve">AFC-SIM-0021585</t>
  </si>
  <si>
    <t xml:space="preserve">AFC-SIM-0023159</t>
  </si>
  <si>
    <t xml:space="preserve">AFC-SIM-0024572</t>
  </si>
  <si>
    <t xml:space="preserve">AFC-SIM-0025599</t>
  </si>
  <si>
    <t xml:space="preserve">AFC-SIM-0026654</t>
  </si>
  <si>
    <t xml:space="preserve">AFC-SIM-0027759</t>
  </si>
  <si>
    <t xml:space="preserve">AFC-SIM-0029160</t>
  </si>
  <si>
    <t xml:space="preserve">AFC-SIM-0030501</t>
  </si>
  <si>
    <t xml:space="preserve">AFC-SIM-0031724</t>
  </si>
  <si>
    <t xml:space="preserve">AFC-SIM-0033121</t>
  </si>
  <si>
    <t xml:space="preserve">AFC-SIM-0034433</t>
  </si>
  <si>
    <t xml:space="preserve">AFC-SIM-0035813</t>
  </si>
  <si>
    <t xml:space="preserve">AFC-SIM-0037394</t>
  </si>
  <si>
    <t xml:space="preserve">AFC-SIM-0038728</t>
  </si>
  <si>
    <t xml:space="preserve">AFC-SIM-0040149</t>
  </si>
  <si>
    <t xml:space="preserve">AFC-SIM-0041542</t>
  </si>
  <si>
    <t xml:space="preserve">AFC-SIM-0042705</t>
  </si>
  <si>
    <t xml:space="preserve">AFC-SIM-0044006</t>
  </si>
  <si>
    <t xml:space="preserve">AFC-SIM-0045498</t>
  </si>
  <si>
    <t xml:space="preserve">AFC-SIM-0046804</t>
  </si>
  <si>
    <t xml:space="preserve">AFC-SIM-0048195</t>
  </si>
  <si>
    <t xml:space="preserve">AFC-SIM-0049349</t>
  </si>
  <si>
    <t xml:space="preserve">AFC-SIM-0050702</t>
  </si>
  <si>
    <t xml:space="preserve">AFC-SIM-0051837</t>
  </si>
  <si>
    <t xml:space="preserve">AFC-SIM-0053198</t>
  </si>
  <si>
    <t xml:space="preserve">AFC-SIM-0054635</t>
  </si>
  <si>
    <t xml:space="preserve">AFC-SIM-0056010</t>
  </si>
  <si>
    <t xml:space="preserve">Postes e estruturas</t>
  </si>
  <si>
    <t xml:space="preserve">AFC-SIM-0057322</t>
  </si>
  <si>
    <t xml:space="preserve">AFC-SIM-0058529</t>
  </si>
  <si>
    <t xml:space="preserve">AFC-SIM-0059999</t>
  </si>
  <si>
    <t xml:space="preserve">AFC-SIM-0061456</t>
  </si>
  <si>
    <t xml:space="preserve">AFC-SIM-0062443</t>
  </si>
  <si>
    <t xml:space="preserve">AFC-SIM-0063874</t>
  </si>
  <si>
    <t xml:space="preserve">AFC-SIM-0064963</t>
  </si>
  <si>
    <t xml:space="preserve">AFC-SIM-0066234</t>
  </si>
  <si>
    <t xml:space="preserve">AFC-SIM-0067677</t>
  </si>
  <si>
    <t xml:space="preserve">AFC-SIM-0068879</t>
  </si>
  <si>
    <t xml:space="preserve">AFC-SIM-0070323</t>
  </si>
  <si>
    <t xml:space="preserve">AFC-SIM-0071863</t>
  </si>
  <si>
    <t xml:space="preserve">AFC-SIM-0073190</t>
  </si>
  <si>
    <t xml:space="preserve">AFC-SIM-0074491</t>
  </si>
  <si>
    <t xml:space="preserve">AFC-SIM-0075745</t>
  </si>
  <si>
    <t xml:space="preserve">AFC-SIM-0077107</t>
  </si>
  <si>
    <t xml:space="preserve">AFC-SIM-0078304</t>
  </si>
  <si>
    <t xml:space="preserve">Medidores</t>
  </si>
  <si>
    <t xml:space="preserve">AFC-SIM-0079348</t>
  </si>
  <si>
    <t xml:space="preserve">AFC-SIM-0080983</t>
  </si>
  <si>
    <t xml:space="preserve">AFC-SIM-0082444</t>
  </si>
  <si>
    <t xml:space="preserve">AFC-SIM-0083570</t>
  </si>
  <si>
    <t xml:space="preserve">AFC-SIM-0084928</t>
  </si>
  <si>
    <t xml:space="preserve">AFC-SIM-0086255</t>
  </si>
  <si>
    <t xml:space="preserve">AFC-SIM-0087495</t>
  </si>
  <si>
    <t xml:space="preserve">AFC-SIM-0088851</t>
  </si>
  <si>
    <t xml:space="preserve">AFC-SIM-0090068</t>
  </si>
  <si>
    <t xml:space="preserve">AFC-SIM-0091368</t>
  </si>
  <si>
    <t xml:space="preserve">AFC-SIM-0092622</t>
  </si>
  <si>
    <t xml:space="preserve">AFC-SIM-0093963</t>
  </si>
  <si>
    <t xml:space="preserve">AFC-SIM-0095364</t>
  </si>
  <si>
    <t xml:space="preserve">AFC-SIM-0096885</t>
  </si>
  <si>
    <t xml:space="preserve">AFC-SIM-0098032</t>
  </si>
  <si>
    <t xml:space="preserve">AFC-SIM-0099350</t>
  </si>
  <si>
    <t xml:space="preserve">AFC-SIM-0100682</t>
  </si>
  <si>
    <t xml:space="preserve">AFC-SIM-0101840</t>
  </si>
  <si>
    <t xml:space="preserve">AFC-SIM-0103020</t>
  </si>
  <si>
    <t xml:space="preserve">AFC-SIM-0104314</t>
  </si>
  <si>
    <t xml:space="preserve">AFC-SIM-0105574</t>
  </si>
  <si>
    <t xml:space="preserve">AFC-SIM-0106969</t>
  </si>
  <si>
    <t xml:space="preserve">AFC-SIM-0108207</t>
  </si>
  <si>
    <t xml:space="preserve">AFC-SIM-0109346</t>
  </si>
  <si>
    <t xml:space="preserve">AFC-SIM-0110813</t>
  </si>
  <si>
    <t xml:space="preserve">AFC-SIM-0112250</t>
  </si>
  <si>
    <t xml:space="preserve">AFC-SIM-0113597</t>
  </si>
  <si>
    <t xml:space="preserve">AFC-SIM-0114877</t>
  </si>
  <si>
    <t xml:space="preserve">AFC-SIM-0116126</t>
  </si>
  <si>
    <t xml:space="preserve">AFC-SIM-0117382</t>
  </si>
  <si>
    <t xml:space="preserve">AFC-SIM-0118396</t>
  </si>
  <si>
    <t xml:space="preserve">AFC-SIM-0119787</t>
  </si>
  <si>
    <t xml:space="preserve">T2 BAIXADO com valor</t>
  </si>
  <si>
    <t xml:space="preserve">AFC-SIM-0120904</t>
  </si>
  <si>
    <t xml:space="preserve">AFC-SIM-0122310</t>
  </si>
  <si>
    <t xml:space="preserve">AFC-SIM-0123571</t>
  </si>
  <si>
    <t xml:space="preserve">T3 recalculo diverge -15.262%</t>
  </si>
  <si>
    <t xml:space="preserve">AFC-SIM-0124797</t>
  </si>
  <si>
    <t xml:space="preserve">AFC-SIM-0126175</t>
  </si>
  <si>
    <t xml:space="preserve">AFC-SIM-0127880</t>
  </si>
  <si>
    <t xml:space="preserve">AFC-SIM-0129135</t>
  </si>
  <si>
    <t xml:space="preserve">AFC-SIM-0130418</t>
  </si>
  <si>
    <t xml:space="preserve">AFC-SIM-0131778</t>
  </si>
  <si>
    <t xml:space="preserve">AFC-SIM-0132972</t>
  </si>
  <si>
    <t xml:space="preserve">AFC-SIM-0134207</t>
  </si>
  <si>
    <t xml:space="preserve">AFC-SIM-0135529</t>
  </si>
  <si>
    <t xml:space="preserve">AFC-SIM-0136700</t>
  </si>
  <si>
    <t xml:space="preserve">AFC-SIM-0137940</t>
  </si>
  <si>
    <t xml:space="preserve">AFC-SIM-0139210</t>
  </si>
  <si>
    <t xml:space="preserve">AFC-SIM-0140653</t>
  </si>
  <si>
    <t xml:space="preserve">AFC-SIM-0142153</t>
  </si>
  <si>
    <t xml:space="preserve">AFC-SIM-0143469</t>
  </si>
  <si>
    <t xml:space="preserve">AFC-SIM-0144855</t>
  </si>
  <si>
    <t xml:space="preserve">AFC-SIM-0146163</t>
  </si>
  <si>
    <t xml:space="preserve">AFC-SIM-0147557</t>
  </si>
  <si>
    <t xml:space="preserve">AFC-SIM-0148935</t>
  </si>
  <si>
    <t xml:space="preserve">AFC-SIM-0150177</t>
  </si>
  <si>
    <t xml:space="preserve">AFC-SIM-0151491</t>
  </si>
  <si>
    <t xml:space="preserve">AFC-SIM-0152855</t>
  </si>
  <si>
    <t xml:space="preserve">AFC-SIM-0154242</t>
  </si>
  <si>
    <t xml:space="preserve">AFC-SIM-0155635</t>
  </si>
  <si>
    <t xml:space="preserve">AFC-SIM-0156984</t>
  </si>
  <si>
    <t xml:space="preserve">AFC-SIM-0158219</t>
  </si>
  <si>
    <t xml:space="preserve">AFC-SIM-0159327</t>
  </si>
  <si>
    <t xml:space="preserve">AFC-SIM-0160530</t>
  </si>
  <si>
    <t xml:space="preserve">AFC-SIM-0161921</t>
  </si>
  <si>
    <t xml:space="preserve">AFC-SIM-0163461</t>
  </si>
  <si>
    <t xml:space="preserve">AFC-SIM-0164833</t>
  </si>
  <si>
    <t xml:space="preserve">AFC-SIM-0166193</t>
  </si>
  <si>
    <t xml:space="preserve">AFC-SIM-0167319</t>
  </si>
  <si>
    <t xml:space="preserve">AFC-SIM-0168566</t>
  </si>
  <si>
    <t xml:space="preserve">AFC-SIM-0169730</t>
  </si>
  <si>
    <t xml:space="preserve">AFC-SIM-0171078</t>
  </si>
  <si>
    <t xml:space="preserve">AFC-SIM-0172414</t>
  </si>
  <si>
    <t xml:space="preserve">AFC-SIM-0173738</t>
  </si>
  <si>
    <t xml:space="preserve">AFC-SIM-0174981</t>
  </si>
  <si>
    <t xml:space="preserve">AFC-SIM-0176176</t>
  </si>
  <si>
    <t xml:space="preserve">AFC-SIM-0177279</t>
  </si>
  <si>
    <t xml:space="preserve">AFC-SIM-0178391</t>
  </si>
  <si>
    <t xml:space="preserve">AFC-SIM-0179240</t>
  </si>
  <si>
    <t xml:space="preserve">AFC-SIM-0180508</t>
  </si>
  <si>
    <t xml:space="preserve">AFC-SIM-0181634</t>
  </si>
  <si>
    <t xml:space="preserve">AFC-SIM-0182887</t>
  </si>
  <si>
    <t xml:space="preserve">AFC-SIM-0184185</t>
  </si>
  <si>
    <t xml:space="preserve">AFC-SIM-0185458</t>
  </si>
  <si>
    <t xml:space="preserve">AFC-SIM-0186703</t>
  </si>
  <si>
    <t xml:space="preserve">AFC-SIM-0188156</t>
  </si>
  <si>
    <t xml:space="preserve">AFC-SIM-0189574</t>
  </si>
  <si>
    <t xml:space="preserve">AFC-SIM-0190799</t>
  </si>
  <si>
    <t xml:space="preserve">AFC-SIM-0192114</t>
  </si>
  <si>
    <t xml:space="preserve">AFC-SIM-0193367</t>
  </si>
  <si>
    <t xml:space="preserve">AFC-SIM-0194718</t>
  </si>
  <si>
    <t xml:space="preserve">AFC-SIM-0195927</t>
  </si>
  <si>
    <t xml:space="preserve">AFC-SIM-0197216</t>
  </si>
  <si>
    <t xml:space="preserve">AFC-SIM-0198354</t>
  </si>
  <si>
    <t xml:space="preserve">AFC-SIM-0199758</t>
  </si>
  <si>
    <t xml:space="preserve">AFC-SIM-0201185</t>
  </si>
  <si>
    <t xml:space="preserve">AFC-SIM-0202363</t>
  </si>
  <si>
    <t xml:space="preserve">AFC-SIM-0203608</t>
  </si>
  <si>
    <t xml:space="preserve">AFC-SIM-0204913</t>
  </si>
  <si>
    <t xml:space="preserve">AFC-SIM-0206316</t>
  </si>
  <si>
    <t xml:space="preserve">AFC-SIM-0207501</t>
  </si>
  <si>
    <t xml:space="preserve">AFC-SIM-0208920</t>
  </si>
  <si>
    <t xml:space="preserve">AFC-SIM-0209953</t>
  </si>
  <si>
    <t xml:space="preserve">AFC-SIM-0211342</t>
  </si>
  <si>
    <t xml:space="preserve">AFC-SIM-0212434</t>
  </si>
  <si>
    <t xml:space="preserve">AFC-SIM-0213805</t>
  </si>
  <si>
    <t xml:space="preserve">AFC-SIM-0215185</t>
  </si>
  <si>
    <t xml:space="preserve">AFC-SIM-0216675</t>
  </si>
  <si>
    <t xml:space="preserve">AFC-SIM-0217952</t>
  </si>
  <si>
    <t xml:space="preserve">AFC-SIM-0219296</t>
  </si>
  <si>
    <t xml:space="preserve">AFC-SIM-0220535</t>
  </si>
  <si>
    <t xml:space="preserve">AFC-SIM-0221936</t>
  </si>
  <si>
    <t xml:space="preserve">AFC-SIM-0223267</t>
  </si>
  <si>
    <t xml:space="preserve">AFC-SIM-0224602</t>
  </si>
  <si>
    <t xml:space="preserve">AFC-SIM-0226052</t>
  </si>
  <si>
    <t xml:space="preserve">AFC-SIM-0227413</t>
  </si>
  <si>
    <t xml:space="preserve">AFC-SIM-0228792</t>
  </si>
  <si>
    <t xml:space="preserve">AFC-SIM-0229970</t>
  </si>
  <si>
    <t xml:space="preserve">AFC-SIM-0231329</t>
  </si>
  <si>
    <t xml:space="preserve">AFC-SIM-0232584</t>
  </si>
  <si>
    <t xml:space="preserve">AFC-SIM-0233906</t>
  </si>
  <si>
    <t xml:space="preserve">AFC-SIM-0235372</t>
  </si>
  <si>
    <t xml:space="preserve">AFC-SIM-0236585</t>
  </si>
  <si>
    <t xml:space="preserve">AFC-SIM-0237850</t>
  </si>
  <si>
    <t xml:space="preserve">AFC-SIM-0239133</t>
  </si>
  <si>
    <t xml:space="preserve">AFC-SIM-0240508</t>
  </si>
  <si>
    <t xml:space="preserve">AFC-SIM-0241555</t>
  </si>
  <si>
    <t xml:space="preserve">T1 registro excedente de bem duplicado</t>
  </si>
  <si>
    <t xml:space="preserve">AFC-SIM-0243120</t>
  </si>
  <si>
    <t xml:space="preserve">AFC-SIM-0244393</t>
  </si>
  <si>
    <t xml:space="preserve">AFC-SIM-0245810</t>
  </si>
  <si>
    <t xml:space="preserve">AFC-SIM-0247305</t>
  </si>
  <si>
    <t xml:space="preserve">AFC-SIM-0248882</t>
  </si>
  <si>
    <t xml:space="preserve">AFC-SIM-0250062</t>
  </si>
  <si>
    <t xml:space="preserve">AFC-SIM-0251085</t>
  </si>
  <si>
    <t xml:space="preserve">AFC-SIM-0252413</t>
  </si>
  <si>
    <t xml:space="preserve">AFC-SIM-0253847</t>
  </si>
  <si>
    <t xml:space="preserve">AFC-SIM-0255029</t>
  </si>
  <si>
    <t xml:space="preserve">AFC-SIM-0256324</t>
  </si>
  <si>
    <t xml:space="preserve">AFC-SIM-0257765</t>
  </si>
  <si>
    <t xml:space="preserve">AFC-SIM-0259050</t>
  </si>
  <si>
    <t xml:space="preserve">AFC-SIM-0260383</t>
  </si>
  <si>
    <t xml:space="preserve">AFC-SIM-0261484</t>
  </si>
  <si>
    <t xml:space="preserve">AFC-SIM-0262892</t>
  </si>
  <si>
    <t xml:space="preserve">AFC-SIM-0264182</t>
  </si>
  <si>
    <t xml:space="preserve">AFC-SIM-0265433</t>
  </si>
  <si>
    <t xml:space="preserve">AFC-SIM-0267029</t>
  </si>
  <si>
    <t xml:space="preserve">AFC-SIM-0268277</t>
  </si>
  <si>
    <t xml:space="preserve">AFC-SIM-0269480</t>
  </si>
  <si>
    <t xml:space="preserve">AFC-SIM-0270856</t>
  </si>
  <si>
    <t xml:space="preserve">AFC-SIM-0272176</t>
  </si>
  <si>
    <t xml:space="preserve">AFC-SIM-0273571</t>
  </si>
  <si>
    <t xml:space="preserve">AFC-SIM-0275135</t>
  </si>
  <si>
    <t xml:space="preserve">AFC-SIM-0276296</t>
  </si>
  <si>
    <t xml:space="preserve">AFC-SIM-0277653</t>
  </si>
  <si>
    <t xml:space="preserve">AFC-SIM-0278965</t>
  </si>
  <si>
    <t xml:space="preserve">AFC-SIM-0280036</t>
  </si>
  <si>
    <t xml:space="preserve">AFC-SIM-0281390</t>
  </si>
  <si>
    <t xml:space="preserve">AFC-SIM-0282621</t>
  </si>
  <si>
    <t xml:space="preserve">AFC-SIM-0284077</t>
  </si>
  <si>
    <t xml:space="preserve">AFC-SIM-0285111</t>
  </si>
  <si>
    <t xml:space="preserve">AFC-SIM-0286272</t>
  </si>
  <si>
    <t xml:space="preserve">AFC-SIM-0287505</t>
  </si>
  <si>
    <t xml:space="preserve">AFC-SIM-0288943</t>
  </si>
  <si>
    <t xml:space="preserve">AFC-SIM-0290106</t>
  </si>
  <si>
    <t xml:space="preserve">AFC-SIM-0291457</t>
  </si>
  <si>
    <t xml:space="preserve">AFC-SIM-0292599</t>
  </si>
  <si>
    <t xml:space="preserve">AFC-SIM-0293809</t>
  </si>
  <si>
    <t xml:space="preserve">AFC-SIM-0295019</t>
  </si>
  <si>
    <t xml:space="preserve">AFC-SIM-0296327</t>
  </si>
  <si>
    <t xml:space="preserve">AFC-SIM-0297681</t>
  </si>
  <si>
    <t xml:space="preserve">AFC-SIM-0299117</t>
  </si>
  <si>
    <t xml:space="preserve">AFC-SIM-0300738</t>
  </si>
  <si>
    <t xml:space="preserve">T3 recalculo diverge -14.147%</t>
  </si>
  <si>
    <t xml:space="preserve">AFC-SIM-0302094</t>
  </si>
  <si>
    <t xml:space="preserve">AFC-SIM-0303454</t>
  </si>
  <si>
    <t xml:space="preserve">AFC-SIM-0304686</t>
  </si>
  <si>
    <t xml:space="preserve">AFC-SIM-0305944</t>
  </si>
  <si>
    <t xml:space="preserve">AFC-SIM-0307437</t>
  </si>
  <si>
    <t xml:space="preserve">AFC-SIM-0308716</t>
  </si>
  <si>
    <t xml:space="preserve">AFC-SIM-0310251</t>
  </si>
  <si>
    <t xml:space="preserve">AFC-SIM-0311461</t>
  </si>
  <si>
    <t xml:space="preserve">AFC-SIM-0312892</t>
  </si>
  <si>
    <t xml:space="preserve">AFC-SIM-0314389</t>
  </si>
  <si>
    <t xml:space="preserve">AFC-SIM-0315833</t>
  </si>
  <si>
    <t xml:space="preserve">AFC-SIM-0317071</t>
  </si>
  <si>
    <t xml:space="preserve">AFC-SIM-0318366</t>
  </si>
  <si>
    <t xml:space="preserve">AFC-SIM-0319750</t>
  </si>
  <si>
    <t xml:space="preserve">AFC-SIM-0321053</t>
  </si>
  <si>
    <t xml:space="preserve">AFC-SIM-0322347</t>
  </si>
  <si>
    <t xml:space="preserve">AFC-SIM-0323507</t>
  </si>
  <si>
    <t xml:space="preserve">AFC-SIM-0324815</t>
  </si>
  <si>
    <t xml:space="preserve">AFC-SIM-0326040</t>
  </si>
  <si>
    <t xml:space="preserve">AFC-SIM-0327320</t>
  </si>
  <si>
    <t xml:space="preserve">AFC-SIM-0328435</t>
  </si>
  <si>
    <t xml:space="preserve">AFC-SIM-0329847</t>
  </si>
  <si>
    <t xml:space="preserve">AFC-SIM-0331014</t>
  </si>
  <si>
    <t xml:space="preserve">AFC-SIM-0332530</t>
  </si>
  <si>
    <t xml:space="preserve">AFC-SIM-0333917</t>
  </si>
  <si>
    <t xml:space="preserve">AFC-SIM-0335252</t>
  </si>
  <si>
    <t xml:space="preserve">AFC-SIM-0336562</t>
  </si>
  <si>
    <t xml:space="preserve">AFC-SIM-0337817</t>
  </si>
  <si>
    <t xml:space="preserve">AFC-SIM-0339309</t>
  </si>
  <si>
    <t xml:space="preserve">AFC-SIM-0340615</t>
  </si>
  <si>
    <t xml:space="preserve">AFC-SIM-0341663</t>
  </si>
  <si>
    <t xml:space="preserve">AFC-SIM-0342857</t>
  </si>
  <si>
    <t xml:space="preserve">AFC-SIM-0343808</t>
  </si>
  <si>
    <t xml:space="preserve">AFC-SIM-0345172</t>
  </si>
  <si>
    <t xml:space="preserve">AFC-SIM-0346486</t>
  </si>
  <si>
    <t xml:space="preserve">AFC-SIM-0347671</t>
  </si>
  <si>
    <t xml:space="preserve">AFC-SIM-0348950</t>
  </si>
  <si>
    <t xml:space="preserve">AFC-SIM-0350450</t>
  </si>
  <si>
    <t xml:space="preserve">AFC-SIM-0351670</t>
  </si>
  <si>
    <t xml:space="preserve">AFC-SIM-0353002</t>
  </si>
  <si>
    <t xml:space="preserve">AFC-SIM-0354380</t>
  </si>
  <si>
    <t xml:space="preserve">AFC-SIM-0355779</t>
  </si>
  <si>
    <t xml:space="preserve">AFC-SIM-0357058</t>
  </si>
  <si>
    <t xml:space="preserve">AFC-SIM-0358289</t>
  </si>
  <si>
    <t xml:space="preserve">AFC-SIM-0359617</t>
  </si>
  <si>
    <t xml:space="preserve">AFC-SIM-0360894</t>
  </si>
  <si>
    <t xml:space="preserve">AFC-SIM-0361959</t>
  </si>
  <si>
    <t xml:space="preserve">AFC-SIM-0363241</t>
  </si>
  <si>
    <t xml:space="preserve">AFC-SIM-0364482</t>
  </si>
  <si>
    <t xml:space="preserve">AFC-SIM-0365765</t>
  </si>
  <si>
    <t xml:space="preserve">AFC-SIM-0367262</t>
  </si>
  <si>
    <t xml:space="preserve">AFC-SIM-0368473</t>
  </si>
  <si>
    <t xml:space="preserve">AFC-SIM-0369759</t>
  </si>
  <si>
    <t xml:space="preserve">AFC-SIM-0371012</t>
  </si>
  <si>
    <t xml:space="preserve">AFC-SIM-0372234</t>
  </si>
  <si>
    <t xml:space="preserve">AFC-SIM-0373324</t>
  </si>
  <si>
    <t xml:space="preserve">AFC-SIM-0374637</t>
  </si>
  <si>
    <t xml:space="preserve">AFC-SIM-0376097</t>
  </si>
  <si>
    <t xml:space="preserve">AFC-SIM-0377507</t>
  </si>
  <si>
    <t xml:space="preserve">AFC-SIM-0378847</t>
  </si>
  <si>
    <t xml:space="preserve">AFC-SIM-0380191</t>
  </si>
  <si>
    <t xml:space="preserve">AFC-SIM-0381545</t>
  </si>
  <si>
    <t xml:space="preserve">AFC-SIM-0382700</t>
  </si>
  <si>
    <t xml:space="preserve">AFC-SIM-0384107</t>
  </si>
  <si>
    <t xml:space="preserve">AFC-SIM-0385580</t>
  </si>
  <si>
    <t xml:space="preserve">AFC-SIM-0386895</t>
  </si>
  <si>
    <t xml:space="preserve">AFC-SIM-0388362</t>
  </si>
  <si>
    <t xml:space="preserve">AFC-SIM-0389815</t>
  </si>
  <si>
    <t xml:space="preserve">AFC-SIM-0391002</t>
  </si>
  <si>
    <t xml:space="preserve">AFC-SIM-0392334</t>
  </si>
  <si>
    <t xml:space="preserve">AFC-SIM-0393808</t>
  </si>
  <si>
    <t xml:space="preserve">AFC-SIM-0394920</t>
  </si>
  <si>
    <t xml:space="preserve">AFC-SIM-0396484</t>
  </si>
  <si>
    <t xml:space="preserve">AFC-SIM-0397580</t>
  </si>
  <si>
    <t xml:space="preserve">AFC-SIM-0398918</t>
  </si>
  <si>
    <t xml:space="preserve">AFC-SIM-0400461</t>
  </si>
  <si>
    <t xml:space="preserve">AFC-SIM-0401816</t>
  </si>
  <si>
    <t xml:space="preserve">AFC-SIM-0402855</t>
  </si>
  <si>
    <t xml:space="preserve">AFC-SIM-0404214</t>
  </si>
  <si>
    <t xml:space="preserve">AFC-SIM-0405695</t>
  </si>
  <si>
    <t xml:space="preserve">AFC-SIM-0407127</t>
  </si>
  <si>
    <t xml:space="preserve">AFC-SIM-0408484</t>
  </si>
  <si>
    <t xml:space="preserve">AFC-SIM-0409490</t>
  </si>
  <si>
    <t xml:space="preserve">AFC-SIM-0410604</t>
  </si>
  <si>
    <t xml:space="preserve">AFC-SIM-0412111</t>
  </si>
  <si>
    <t xml:space="preserve">AFC-SIM-0413477</t>
  </si>
  <si>
    <t xml:space="preserve">AFC-SIM-0415066</t>
  </si>
  <si>
    <t xml:space="preserve">AFC-SIM-0416381</t>
  </si>
  <si>
    <t xml:space="preserve">AFC-SIM-0417615</t>
  </si>
  <si>
    <t xml:space="preserve">AFC-SIM-0419075</t>
  </si>
  <si>
    <t xml:space="preserve">AFC-SIM-0420318</t>
  </si>
  <si>
    <t xml:space="preserve">AFC-SIM-0421637</t>
  </si>
  <si>
    <t xml:space="preserve">AFC-SIM-0422801</t>
  </si>
  <si>
    <t xml:space="preserve">AFC-SIM-0424237</t>
  </si>
  <si>
    <t xml:space="preserve">AFC-SIM-0425508</t>
  </si>
  <si>
    <t xml:space="preserve">AFC-SIM-0426723</t>
  </si>
  <si>
    <t xml:space="preserve">AFC-SIM-0428144</t>
  </si>
  <si>
    <t xml:space="preserve">AFC-SIM-0429375</t>
  </si>
  <si>
    <t xml:space="preserve">AFC-SIM-0430808</t>
  </si>
  <si>
    <t xml:space="preserve">AFC-SIM-0432193</t>
  </si>
  <si>
    <t xml:space="preserve">AFC-SIM-0433622</t>
  </si>
  <si>
    <t xml:space="preserve">AFC-SIM-0435000</t>
  </si>
  <si>
    <t xml:space="preserve">AFC-SIM-0436235</t>
  </si>
  <si>
    <t xml:space="preserve">AFC-SIM-0437489</t>
  </si>
  <si>
    <t xml:space="preserve">AFC-SIM-0438720</t>
  </si>
  <si>
    <t xml:space="preserve">AFC-SIM-0439990</t>
  </si>
  <si>
    <t xml:space="preserve">AFC-SIM-0441167</t>
  </si>
  <si>
    <t xml:space="preserve">AFC-SIM-0442213</t>
  </si>
  <si>
    <t xml:space="preserve">AFC-SIM-0443651</t>
  </si>
  <si>
    <t xml:space="preserve">AFC-SIM-0444991</t>
  </si>
  <si>
    <t xml:space="preserve">AFC-SIM-0446218</t>
  </si>
  <si>
    <t xml:space="preserve">AFC-SIM-0447727</t>
  </si>
  <si>
    <t xml:space="preserve">AFC-SIM-0448807</t>
  </si>
  <si>
    <t xml:space="preserve">AFC-SIM-0449925</t>
  </si>
  <si>
    <t xml:space="preserve">AFC-SIM-0451235</t>
  </si>
  <si>
    <t xml:space="preserve">AFC-SIM-0452319</t>
  </si>
  <si>
    <t xml:space="preserve">AFC-SIM-0453471</t>
  </si>
  <si>
    <t xml:space="preserve">AFC-SIM-0454816</t>
  </si>
  <si>
    <t xml:space="preserve">AFC-SIM-0456146</t>
  </si>
  <si>
    <t xml:space="preserve">AFC-SIM-0457426</t>
  </si>
  <si>
    <t xml:space="preserve">AFC-SIM-0458949</t>
  </si>
  <si>
    <t xml:space="preserve">AFC-SIM-0460143</t>
  </si>
  <si>
    <t xml:space="preserve">AFC-SIM-0461365</t>
  </si>
  <si>
    <t xml:space="preserve">AFC-SIM-0462822</t>
  </si>
  <si>
    <t xml:space="preserve">AFC-SIM-0464366</t>
  </si>
  <si>
    <t xml:space="preserve">AFC-SIM-0465533</t>
  </si>
  <si>
    <t xml:space="preserve">AFC-SIM-0466871</t>
  </si>
  <si>
    <t xml:space="preserve">AFC-SIM-0467954</t>
  </si>
  <si>
    <t xml:space="preserve">AFC-SIM-0469108</t>
  </si>
  <si>
    <t xml:space="preserve">AFC-SIM-0470263</t>
  </si>
  <si>
    <t xml:space="preserve">AFC-SIM-0471561</t>
  </si>
  <si>
    <t xml:space="preserve">AFC-SIM-0472936</t>
  </si>
  <si>
    <t xml:space="preserve">AFC-SIM-0474170</t>
  </si>
  <si>
    <t xml:space="preserve">AFC-SIM-0475219</t>
  </si>
  <si>
    <t xml:space="preserve">AFC-SIM-0476664</t>
  </si>
  <si>
    <t xml:space="preserve">AFC-SIM-0477812</t>
  </si>
  <si>
    <t xml:space="preserve">AFC-SIM-0479155</t>
  </si>
  <si>
    <t xml:space="preserve">AFC-SIM-0480364</t>
  </si>
  <si>
    <t xml:space="preserve">AFC-SIM-0481670</t>
  </si>
  <si>
    <t xml:space="preserve">AFC-SIM-0482915</t>
  </si>
  <si>
    <t xml:space="preserve">AFC-SIM-0484303</t>
  </si>
  <si>
    <t xml:space="preserve">AFC-SIM-0485634</t>
  </si>
  <si>
    <t xml:space="preserve">AFC-SIM-0487117</t>
  </si>
  <si>
    <t xml:space="preserve">AFC-SIM-0488532</t>
  </si>
  <si>
    <t xml:space="preserve">AFC-SIM-0489651</t>
  </si>
  <si>
    <t xml:space="preserve">AFC-SIM-0490796</t>
  </si>
  <si>
    <t xml:space="preserve">AFC-SIM-0492209</t>
  </si>
  <si>
    <t xml:space="preserve">AFC-SIM-0493395</t>
  </si>
  <si>
    <t xml:space="preserve">AFC-SIM-0494683</t>
  </si>
  <si>
    <t xml:space="preserve">AFC-SIM-0495952</t>
  </si>
  <si>
    <t xml:space="preserve">AFC-SIM-0497339</t>
  </si>
  <si>
    <t xml:space="preserve">AFC-SIM-0498721</t>
  </si>
  <si>
    <t xml:space="preserve">AFC-SIM-0500181</t>
  </si>
  <si>
    <t xml:space="preserve">Total</t>
  </si>
  <si>
    <t xml:space="preserve">Itens com distorção</t>
  </si>
  <si>
    <t xml:space="preserve">Avaliação da amostra — projeção e limite superior de distorção (Stringer, Poisson 95%)</t>
  </si>
  <si>
    <t xml:space="preserve">Superavaliações ordenadas por taint</t>
  </si>
  <si>
    <t xml:space="preserve">Fator UL(k)</t>
  </si>
  <si>
    <t xml:space="preserve">Incremento do fator</t>
  </si>
  <si>
    <t xml:space="preserve">Projeção (taint × J)</t>
  </si>
  <si>
    <t xml:space="preserve">Componente do limite</t>
  </si>
  <si>
    <t xml:space="preserve">Precisão básica (0 erros)</t>
  </si>
  <si>
    <t xml:space="preserve">1ª maior</t>
  </si>
  <si>
    <t xml:space="preserve">2ª maior</t>
  </si>
  <si>
    <t xml:space="preserve">3ª maior</t>
  </si>
  <si>
    <t xml:space="preserve">4ª maior</t>
  </si>
  <si>
    <t xml:space="preserve">Distorção projetada (superavaliação)</t>
  </si>
  <si>
    <t xml:space="preserve">Limite superior de distorção — UML</t>
  </si>
  <si>
    <t xml:space="preserve">Distorção tolerável — DT</t>
  </si>
  <si>
    <t xml:space="preserve">UML − DT (positivo = excede)</t>
  </si>
  <si>
    <t xml:space="preserve">Conclusão pela regra de decisão</t>
  </si>
  <si>
    <t xml:space="preserve">Conferência com o código (UML)</t>
  </si>
  <si>
    <t xml:space="preserve">Subavaliações na amostra (projeção informativa)</t>
  </si>
  <si>
    <t xml:space="preserve">MUS não é desenhado para subavaliação; coberta pelo T3 (100%)</t>
  </si>
  <si>
    <t xml:space="preserve">Procedimentos integrais (100% da população) — distorções conhecidas</t>
  </si>
  <si>
    <t xml:space="preserve">Teste</t>
  </si>
  <si>
    <t xml:space="preserve">Descrição</t>
  </si>
  <si>
    <t xml:space="preserve">Itens</t>
  </si>
  <si>
    <t xml:space="preserve">Efeito no saldo (R$)</t>
  </si>
  <si>
    <t xml:space="preserve">Afirmação / natureza</t>
  </si>
  <si>
    <t xml:space="preserve">T1</t>
  </si>
  <si>
    <t xml:space="preserve">Bens duplicados (id_bem_tecnico repetido) — registro excedente</t>
  </si>
  <si>
    <t xml:space="preserve">Existência — factual (na simulação)</t>
  </si>
  <si>
    <t xml:space="preserve">T2</t>
  </si>
  <si>
    <t xml:space="preserve">BAIXADO com valor registrado</t>
  </si>
  <si>
    <t xml:space="preserve">Existência / direitos — factual</t>
  </si>
  <si>
    <t xml:space="preserve">T3+</t>
  </si>
  <si>
    <t xml:space="preserve">Recálculo: superavaliação (&gt; 1%)</t>
  </si>
  <si>
    <t xml:space="preserve">Avaliação — factual</t>
  </si>
  <si>
    <t xml:space="preserve">T3−</t>
  </si>
  <si>
    <t xml:space="preserve">Recálculo: subavaliação (&lt; −1%)</t>
  </si>
  <si>
    <t xml:space="preserve">T4</t>
  </si>
  <si>
    <t xml:space="preserve">Residual incoerente com a categoria cadastrada</t>
  </si>
  <si>
    <t xml:space="preserve">Classificação — sem efeito no saldo total</t>
  </si>
  <si>
    <t xml:space="preserve">Superavaliação conhecida bruta (T1 + T2 + T3+)</t>
  </si>
  <si>
    <t xml:space="preserve">Subavaliação conhecida (T3−)</t>
  </si>
  <si>
    <t xml:space="preserve">Distorção conhecida líquida</t>
  </si>
  <si>
    <t xml:space="preserve">Conferência com o código</t>
  </si>
  <si>
    <t xml:space="preserve">Resposta ao resultado do MUS: população residual e amostra ampliada</t>
  </si>
  <si>
    <t xml:space="preserve">Item</t>
  </si>
  <si>
    <t xml:space="preserve">Fundamento</t>
  </si>
  <si>
    <t xml:space="preserve">Superavaliação conhecida bruta (R$)</t>
  </si>
  <si>
    <t xml:space="preserve">Classes identificadas em 100% (NBC TA 530 item 12)</t>
  </si>
  <si>
    <t xml:space="preserve">Folga para distorção não detectada (R$)</t>
  </si>
  <si>
    <t xml:space="preserve">DT − conhecida</t>
  </si>
  <si>
    <t xml:space="preserve">Fator de confiança (0 erros)</t>
  </si>
  <si>
    <t xml:space="preserve">População residual (R$)</t>
  </si>
  <si>
    <t xml:space="preserve">Exclui 4000 registros sinalizados por T1/T2/T3</t>
  </si>
  <si>
    <t xml:space="preserve">Tamanho ampliado n2 = ROUNDUP(VC residual × FC ÷ folga)</t>
  </si>
  <si>
    <t xml:space="preserve">Intervalo J2 = VC residual ÷ n2 (R$)</t>
  </si>
  <si>
    <t xml:space="preserve">Distorções na amostra ampliada</t>
  </si>
  <si>
    <t xml:space="preserve">492 itens; 2 com incoerência de categoria (T4), sem efeito monetário; semente 2310200699</t>
  </si>
  <si>
    <t xml:space="preserve">UML residual = FC × J2 (R$)</t>
  </si>
  <si>
    <t xml:space="preserve">Zero distorções</t>
  </si>
  <si>
    <t xml:space="preserve">Superavaliação conhecida + UML residual (R$)</t>
  </si>
  <si>
    <t xml:space="preserve">Comparação com DT</t>
  </si>
  <si>
    <t xml:space="preserve">Conferência com o código (n2)</t>
  </si>
  <si>
    <t xml:space="preserve">PT 450 (parcela simulada) — acumulação e avaliação das distorções da base sintética</t>
  </si>
  <si>
    <t xml:space="preserve">Distorção (classe)</t>
  </si>
  <si>
    <t xml:space="preserve">Valor (R$)</t>
  </si>
  <si>
    <t xml:space="preserve">% do trivial</t>
  </si>
  <si>
    <t xml:space="preserve">% da execução</t>
  </si>
  <si>
    <t xml:space="preserve">% da global</t>
  </si>
  <si>
    <t xml:space="preserve">Tipo (NBC TA 450 A6) / tratamento</t>
  </si>
  <si>
    <t xml:space="preserve">Materialidade global (R$)</t>
  </si>
  <si>
    <t xml:space="preserve">D-B04-01</t>
  </si>
  <si>
    <t xml:space="preserve">Materialidade de execução (R$)</t>
  </si>
  <si>
    <t xml:space="preserve">Claramente trivial (R$)</t>
  </si>
  <si>
    <t xml:space="preserve">Duplicidades (T1)</t>
  </si>
  <si>
    <t xml:space="preserve">Factual na simulação; acumular (A2: não trivial em conjunto)</t>
  </si>
  <si>
    <t xml:space="preserve">Bens baixados mantidos (T2)</t>
  </si>
  <si>
    <t xml:space="preserve">Factual; acumular</t>
  </si>
  <si>
    <t xml:space="preserve">Superavaliação de valor (T3+)</t>
  </si>
  <si>
    <t xml:space="preserve">Subavaliação de valor (T3−)</t>
  </si>
  <si>
    <t xml:space="preserve">Factual; acumular (efeito oposto)</t>
  </si>
  <si>
    <t xml:space="preserve">Classificação de categoria (T4)</t>
  </si>
  <si>
    <t xml:space="preserve">Sem efeito no saldo; categoria não é divulgada nas DF — avaliar por natureza (A5)</t>
  </si>
  <si>
    <t xml:space="preserve">Total líquido acumulado</t>
  </si>
  <si>
    <t xml:space="preserve">Superavaliação líquida do ativo financeiro da concessão</t>
  </si>
  <si>
    <t xml:space="preserve">Superavaliação bruta (T1 + T2 + T3+)</t>
  </si>
  <si>
    <t xml:space="preserve">Gatilho D-B04-01: reduzir execução se &gt; 50% da execução</t>
  </si>
  <si>
    <t xml:space="preserve">Gatilho D-B04-01 acionado?</t>
  </si>
  <si>
    <t xml:space="preserve">Margem para distorção não detectada (UML residual)</t>
  </si>
  <si>
    <t xml:space="preserve">Risco de amostragem (não é distorção)</t>
  </si>
  <si>
    <t xml:space="preserve">Conhecida bruta + margem</t>
  </si>
  <si>
    <t xml:space="preserve">Comparar com execução e global</t>
  </si>
  <si>
    <t xml:space="preserve">LAIR consolidado 2025 (R$)</t>
  </si>
  <si>
    <t xml:space="preserve">DF25 DRE p. 36/4</t>
  </si>
  <si>
    <t xml:space="preserve">Efeito no LAIR se a contrapartida for resultado (R$)</t>
  </si>
  <si>
    <t xml:space="preserve">% do LAIR (col. E)</t>
  </si>
  <si>
    <t xml:space="preserve">Conclusão (simulada)</t>
  </si>
  <si>
    <t xml:space="preserve">Comparação com o registro reservado de erros — feita APÓS o congelamento (19:55:53)</t>
  </si>
  <si>
    <t xml:space="preserve">Teste × tipo de erro</t>
  </si>
  <si>
    <t xml:space="preserve">Sinalizados</t>
  </si>
  <si>
    <t xml:space="preserve">Verdadeiros</t>
  </si>
  <si>
    <t xml:space="preserve">Detectados</t>
  </si>
  <si>
    <t xml:space="preserve">Omitidos</t>
  </si>
  <si>
    <t xml:space="preserve">Falsos positivos</t>
  </si>
  <si>
    <t xml:space="preserve">Taxa de detecção</t>
  </si>
  <si>
    <t xml:space="preserve">T1 duplicidade (nível de par)</t>
  </si>
  <si>
    <t xml:space="preserve">T2 baixado mantido</t>
  </si>
  <si>
    <t xml:space="preserve">T3 superavaliação</t>
  </si>
  <si>
    <t xml:space="preserve">T3 subavaliação</t>
  </si>
  <si>
    <t xml:space="preserve">T4 classificação incorreta</t>
  </si>
  <si>
    <t xml:space="preserve">T1: convenção "id maior = excedente" acertou o registro</t>
  </si>
  <si>
    <t xml:space="preserve">Efeito monetário por tipo</t>
  </si>
  <si>
    <t xml:space="preserve">Estimado (R$)</t>
  </si>
  <si>
    <t xml:space="preserve">Verdadeiro (R$)</t>
  </si>
  <si>
    <t xml:space="preserve">Diferença (R$)</t>
  </si>
  <si>
    <t xml:space="preserve">DUPLICIDADE_CADASTRAL</t>
  </si>
  <si>
    <t xml:space="preserve">BAIXADO_MANTIDO</t>
  </si>
  <si>
    <t xml:space="preserve">SUPERAVALIACAO</t>
  </si>
  <si>
    <t xml:space="preserve">SUBAVALIACAO</t>
  </si>
  <si>
    <t xml:space="preserve">CLASSIFICACAO_INCORRETA</t>
  </si>
  <si>
    <t xml:space="preserve">MUS × verdade</t>
  </si>
  <si>
    <t xml:space="preserve">Superavaliação verdadeira bruta</t>
  </si>
  <si>
    <t xml:space="preserve">Projeção do desenho original</t>
  </si>
  <si>
    <t xml:space="preserve">UML do desenho original</t>
  </si>
  <si>
    <t xml:space="preserve">Conhecida + UML residual</t>
  </si>
  <si>
    <t xml:space="preserve">Erro da projeção (projeção − verdade)</t>
  </si>
  <si>
    <t xml:space="preserve">UML cobre a verdade?</t>
  </si>
  <si>
    <t xml:space="preserve">Saldo de referência sem erros (ponte)</t>
  </si>
  <si>
    <t xml:space="preserve">Ponte: publicado − efeito total = referência</t>
  </si>
  <si>
    <t xml:space="preserve">Deve ser ~0 (centavos)</t>
  </si>
  <si>
    <t xml:space="preserve">Omissões do T4 (4): bens totalmente depreciados (residual no piso 0,01) — o residual não distingue a categoria. Limitação do teste; não foi ajustado após ver o resultado.</t>
  </si>
  <si>
    <t xml:space="preserve">Hashes congelados antes da abertura dos reservados</t>
  </si>
  <si>
    <t xml:space="preserve">Arquivo</t>
  </si>
  <si>
    <t xml:space="preserve">SHA-256</t>
  </si>
  <si>
    <t xml:space="preserve">Congelado em</t>
  </si>
  <si>
    <t xml:space="preserve">2026-10-23T19:55:39 (registro no Drive 23/10/2026 19:55:53 −03)</t>
  </si>
  <si>
    <t xml:space="preserve">Desenho registrado no Drive</t>
  </si>
  <si>
    <t xml:space="preserve">23/10/2026 19:54:18 −03 (antes da execução às 19:54:28)</t>
  </si>
  <si>
    <t xml:space="preserve">B08_Desenho_pre_registro.md</t>
  </si>
  <si>
    <t xml:space="preserve">f5097cc6b7b3f27c086cc42d3ad450c3fec117f7650002eec36db4c884c3e8d4</t>
  </si>
  <si>
    <t xml:space="preserve">parametros_b08.json</t>
  </si>
  <si>
    <t xml:space="preserve">72df419dbf2b66fef3948b83ac443afbf237f681c562fea71424f5922d9bc0df</t>
  </si>
  <si>
    <t xml:space="preserve">testes_b08.py</t>
  </si>
  <si>
    <t xml:space="preserve">74af872f9599ce61651f4e0735415e5bb18bfe2e070d978d7914166b87d504b2</t>
  </si>
  <si>
    <t xml:space="preserve">avaliacao_complementar_b08.py</t>
  </si>
  <si>
    <t xml:space="preserve">99a9944e3154f0c7a228f0eb349a44cce03608bd585259076541bf0f65ec82e4</t>
  </si>
  <si>
    <t xml:space="preserve">saida_b08/MUS_amostra_resultados.csv</t>
  </si>
  <si>
    <t xml:space="preserve">f681a63763e1afb5a14b79f92fc49ba4988b47e32ca9781773b71dc425bf53be</t>
  </si>
  <si>
    <t xml:space="preserve">saida_b08/MUS_ampliacao_residual.csv</t>
  </si>
  <si>
    <t xml:space="preserve">aa4fb53d279d77ac20d2587c5ddc7214a42bad582dbd70fa0fd9295381bafdbf</t>
  </si>
  <si>
    <t xml:space="preserve">saida_b08/T1_duplicidades.csv</t>
  </si>
  <si>
    <t xml:space="preserve">5b44a25b9239a200c19e9c3476f2ad6afa1f1d629c79ca7e1dfcf809a6d0b0b6</t>
  </si>
  <si>
    <t xml:space="preserve">saida_b08/T2_baixados_com_valor.csv</t>
  </si>
  <si>
    <t xml:space="preserve">f7c2c123f16a6499a233740349c163d815fdd57e335972dee562c86401ce3a51</t>
  </si>
  <si>
    <t xml:space="preserve">saida_b08/T3_recalculo_divergente.csv</t>
  </si>
  <si>
    <t xml:space="preserve">e63489d299450916d50ae2e777ef220a3e7c652f2cdf8c34e49984c7cea26401</t>
  </si>
  <si>
    <t xml:space="preserve">saida_b08/T4_residual_incoerente.csv</t>
  </si>
  <si>
    <t xml:space="preserve">a8e7dfda972250e68210fa6bf94823fe146ff20b46f0a4ce8a7aaaec5c6fc095</t>
  </si>
  <si>
    <t xml:space="preserve">saida_b08/avaliacao_complementar_b08.json</t>
  </si>
  <si>
    <t xml:space="preserve">cc94c93f5c11c445d387525e2e3c12f92496129fc982ce1de8af60e2cd9f5fca</t>
  </si>
  <si>
    <t xml:space="preserve">saida_b08/resultados_b08.json</t>
  </si>
  <si>
    <t xml:space="preserve">96f95d38187adff7b1ccde3f5183d825699c77cdb3cc4e8c85cae202add3ef65</t>
  </si>
  <si>
    <t xml:space="preserve">Base registrada</t>
  </si>
  <si>
    <t xml:space="preserve">877d4a0256af842b859617f22c71678f30749e75b724c20cd205895ef85e4bb0</t>
  </si>
  <si>
    <t xml:space="preserve">Reservado: referencia (hash conferiu na abertura)</t>
  </si>
  <si>
    <t xml:space="preserve">48652ae2da566026007a70915ef9112862ec0ecdd91a807c09e0f954e618fcfc</t>
  </si>
  <si>
    <t xml:space="preserve">Reservado: registro_erros (hash conferiu na abertura)</t>
  </si>
  <si>
    <t xml:space="preserve">45e3ec3eba8d27918689506dccfb68d19b8da4a6c7b7113e988a0bcde3a1bbb8</t>
  </si>
  <si>
    <t xml:space="preserve">Reservado: ponte (hash conferiu na abertura)</t>
  </si>
  <si>
    <t xml:space="preserve">7eabcc92f3d2e888fe90cba6e4992b06627d42260229359a29c2f57c4ebe3b32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</si>
</sst>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%"/>
    <numFmt numFmtId="167" formatCode="0.0000"/>
    <numFmt numFmtId="168" formatCode="#,##0"/>
    <numFmt numFmtId="169" formatCode="0.0%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3" t="s">
        <v>4</v>
      </c>
    </row>
    <row r="7" customFormat="false" ht="26.85" hidden="false" customHeight="false" outlineLevel="0" collapsed="false">
      <c r="A7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</row>
    <row r="5" customFormat="false" ht="15" hidden="false" customHeight="false" outlineLevel="0" collapsed="false">
      <c r="A5" s="5" t="s">
        <v>10</v>
      </c>
      <c r="B5" s="6" t="n">
        <v>29623619000</v>
      </c>
      <c r="C5" s="5" t="s">
        <v>11</v>
      </c>
    </row>
    <row r="6" customFormat="false" ht="26.85" hidden="false" customHeight="false" outlineLevel="0" collapsed="false">
      <c r="A6" s="5" t="s">
        <v>12</v>
      </c>
      <c r="B6" s="6" t="n">
        <v>303421730</v>
      </c>
      <c r="C6" s="5" t="s">
        <v>13</v>
      </c>
    </row>
    <row r="7" customFormat="false" ht="26.85" hidden="false" customHeight="false" outlineLevel="0" collapsed="false">
      <c r="A7" s="5" t="s">
        <v>14</v>
      </c>
      <c r="B7" s="7" t="n">
        <v>0.05</v>
      </c>
      <c r="C7" s="5" t="s">
        <v>15</v>
      </c>
    </row>
    <row r="8" customFormat="false" ht="39.55" hidden="false" customHeight="false" outlineLevel="0" collapsed="false">
      <c r="A8" s="5" t="s">
        <v>16</v>
      </c>
      <c r="B8" s="6" t="n">
        <v>45513259.5</v>
      </c>
      <c r="C8" s="5" t="s">
        <v>17</v>
      </c>
    </row>
    <row r="9" customFormat="false" ht="26.85" hidden="false" customHeight="false" outlineLevel="0" collapsed="false">
      <c r="A9" s="5" t="s">
        <v>18</v>
      </c>
      <c r="B9" s="8" t="n">
        <v>1.6</v>
      </c>
      <c r="C9" s="5" t="s">
        <v>19</v>
      </c>
    </row>
    <row r="10" customFormat="false" ht="15" hidden="false" customHeight="false" outlineLevel="0" collapsed="false">
      <c r="A10" s="5" t="s">
        <v>20</v>
      </c>
      <c r="B10" s="9" t="n">
        <f aca="false">CHIINV(B7,2)/2</f>
        <v>2.99573227355399</v>
      </c>
      <c r="C10" s="5" t="s">
        <v>21</v>
      </c>
    </row>
    <row r="11" customFormat="false" ht="15" hidden="false" customHeight="false" outlineLevel="0" collapsed="false">
      <c r="A11" s="5" t="s">
        <v>22</v>
      </c>
      <c r="B11" s="5" t="n">
        <f aca="false">ROUNDUP(B5*B10/(B6-B8*B9),0)</f>
        <v>385</v>
      </c>
      <c r="C11" s="5" t="s">
        <v>23</v>
      </c>
    </row>
    <row r="12" customFormat="false" ht="15" hidden="false" customHeight="false" outlineLevel="0" collapsed="false">
      <c r="A12" s="5" t="s">
        <v>24</v>
      </c>
      <c r="B12" s="10" t="n">
        <f aca="false">B5/B11</f>
        <v>76944464.9350649</v>
      </c>
      <c r="C12" s="5" t="s">
        <v>25</v>
      </c>
    </row>
    <row r="13" customFormat="false" ht="15" hidden="false" customHeight="false" outlineLevel="0" collapsed="false">
      <c r="A13" s="5" t="s">
        <v>26</v>
      </c>
      <c r="B13" s="6" t="n">
        <v>26922277.72</v>
      </c>
      <c r="C13" s="5" t="s">
        <v>27</v>
      </c>
    </row>
    <row r="14" customFormat="false" ht="15" hidden="false" customHeight="false" outlineLevel="0" collapsed="false">
      <c r="A14" s="5" t="s">
        <v>28</v>
      </c>
      <c r="B14" s="11" t="n">
        <v>0</v>
      </c>
      <c r="C14" s="5" t="s">
        <v>29</v>
      </c>
    </row>
    <row r="15" customFormat="false" ht="15" hidden="false" customHeight="false" outlineLevel="0" collapsed="false">
      <c r="A15" s="5" t="s">
        <v>30</v>
      </c>
      <c r="B15" s="11" t="n">
        <v>0</v>
      </c>
      <c r="C15" s="5" t="s">
        <v>31</v>
      </c>
    </row>
    <row r="16" customFormat="false" ht="15" hidden="false" customHeight="false" outlineLevel="0" collapsed="false">
      <c r="A16" s="5" t="s">
        <v>32</v>
      </c>
      <c r="B16" s="11" t="n">
        <v>385</v>
      </c>
      <c r="C16" s="5" t="s">
        <v>33</v>
      </c>
    </row>
    <row r="17" customFormat="false" ht="15" hidden="false" customHeight="false" outlineLevel="0" collapsed="false">
      <c r="A17" s="5" t="s">
        <v>34</v>
      </c>
      <c r="B17" s="5" t="n">
        <f aca="false">B11-B16</f>
        <v>0</v>
      </c>
      <c r="C17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7" min="5" style="0" width="16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</row>
    <row r="5" customFormat="false" ht="15" hidden="false" customHeight="false" outlineLevel="0" collapsed="false">
      <c r="A5" s="5" t="n">
        <v>1</v>
      </c>
      <c r="B5" s="5" t="s">
        <v>47</v>
      </c>
      <c r="C5" s="5" t="s">
        <v>48</v>
      </c>
      <c r="D5" s="5" t="s">
        <v>49</v>
      </c>
      <c r="E5" s="6" t="n">
        <v>49314.87</v>
      </c>
      <c r="F5" s="6" t="n">
        <v>49314.87</v>
      </c>
      <c r="G5" s="10" t="n">
        <f aca="false">E5-F5</f>
        <v>0</v>
      </c>
      <c r="H5" s="9" t="n">
        <f aca="false">G5/E5</f>
        <v>0</v>
      </c>
      <c r="I5" s="10" t="n">
        <f aca="false">H5*Desenho_MUS!$B$12</f>
        <v>0</v>
      </c>
      <c r="J5" s="5" t="s">
        <v>50</v>
      </c>
    </row>
    <row r="6" customFormat="false" ht="15" hidden="false" customHeight="false" outlineLevel="0" collapsed="false">
      <c r="A6" s="5" t="n">
        <v>2</v>
      </c>
      <c r="B6" s="5" t="s">
        <v>51</v>
      </c>
      <c r="C6" s="5" t="s">
        <v>52</v>
      </c>
      <c r="D6" s="5" t="s">
        <v>53</v>
      </c>
      <c r="E6" s="6" t="n">
        <v>1732493.11</v>
      </c>
      <c r="F6" s="6" t="n">
        <v>1732493.11</v>
      </c>
      <c r="G6" s="10" t="n">
        <f aca="false">E6-F6</f>
        <v>0</v>
      </c>
      <c r="H6" s="9" t="n">
        <f aca="false">G6/E6</f>
        <v>0</v>
      </c>
      <c r="I6" s="10" t="n">
        <f aca="false">H6*Desenho_MUS!$B$12</f>
        <v>0</v>
      </c>
      <c r="J6" s="5" t="s">
        <v>50</v>
      </c>
    </row>
    <row r="7" customFormat="false" ht="15" hidden="false" customHeight="false" outlineLevel="0" collapsed="false">
      <c r="A7" s="5" t="n">
        <v>3</v>
      </c>
      <c r="B7" s="5" t="s">
        <v>54</v>
      </c>
      <c r="C7" s="5" t="s">
        <v>52</v>
      </c>
      <c r="D7" s="5" t="s">
        <v>53</v>
      </c>
      <c r="E7" s="6" t="n">
        <v>1161549.06</v>
      </c>
      <c r="F7" s="6" t="n">
        <v>1161549.06</v>
      </c>
      <c r="G7" s="10" t="n">
        <f aca="false">E7-F7</f>
        <v>0</v>
      </c>
      <c r="H7" s="9" t="n">
        <f aca="false">G7/E7</f>
        <v>0</v>
      </c>
      <c r="I7" s="10" t="n">
        <f aca="false">H7*Desenho_MUS!$B$12</f>
        <v>0</v>
      </c>
      <c r="J7" s="5" t="s">
        <v>50</v>
      </c>
    </row>
    <row r="8" customFormat="false" ht="15" hidden="false" customHeight="false" outlineLevel="0" collapsed="false">
      <c r="A8" s="5" t="n">
        <v>4</v>
      </c>
      <c r="B8" s="5" t="s">
        <v>55</v>
      </c>
      <c r="C8" s="5" t="s">
        <v>56</v>
      </c>
      <c r="D8" s="5" t="s">
        <v>53</v>
      </c>
      <c r="E8" s="6" t="n">
        <v>2694333.58</v>
      </c>
      <c r="F8" s="6" t="n">
        <v>2694333.58</v>
      </c>
      <c r="G8" s="10" t="n">
        <f aca="false">E8-F8</f>
        <v>0</v>
      </c>
      <c r="H8" s="9" t="n">
        <f aca="false">G8/E8</f>
        <v>0</v>
      </c>
      <c r="I8" s="10" t="n">
        <f aca="false">H8*Desenho_MUS!$B$12</f>
        <v>0</v>
      </c>
      <c r="J8" s="5" t="s">
        <v>50</v>
      </c>
    </row>
    <row r="9" customFormat="false" ht="15" hidden="false" customHeight="false" outlineLevel="0" collapsed="false">
      <c r="A9" s="5" t="n">
        <v>5</v>
      </c>
      <c r="B9" s="5" t="s">
        <v>57</v>
      </c>
      <c r="C9" s="5" t="s">
        <v>52</v>
      </c>
      <c r="D9" s="5" t="s">
        <v>49</v>
      </c>
      <c r="E9" s="6" t="n">
        <v>83986.17</v>
      </c>
      <c r="F9" s="6" t="n">
        <v>83986.17</v>
      </c>
      <c r="G9" s="10" t="n">
        <f aca="false">E9-F9</f>
        <v>0</v>
      </c>
      <c r="H9" s="9" t="n">
        <f aca="false">G9/E9</f>
        <v>0</v>
      </c>
      <c r="I9" s="10" t="n">
        <f aca="false">H9*Desenho_MUS!$B$12</f>
        <v>0</v>
      </c>
      <c r="J9" s="5" t="s">
        <v>50</v>
      </c>
    </row>
    <row r="10" customFormat="false" ht="15" hidden="false" customHeight="false" outlineLevel="0" collapsed="false">
      <c r="A10" s="5" t="n">
        <v>6</v>
      </c>
      <c r="B10" s="5" t="s">
        <v>58</v>
      </c>
      <c r="C10" s="5" t="s">
        <v>59</v>
      </c>
      <c r="D10" s="5" t="s">
        <v>49</v>
      </c>
      <c r="E10" s="6" t="n">
        <v>128619.85</v>
      </c>
      <c r="F10" s="6" t="n">
        <v>128619.85</v>
      </c>
      <c r="G10" s="10" t="n">
        <f aca="false">E10-F10</f>
        <v>0</v>
      </c>
      <c r="H10" s="9" t="n">
        <f aca="false">G10/E10</f>
        <v>0</v>
      </c>
      <c r="I10" s="10" t="n">
        <f aca="false">H10*Desenho_MUS!$B$12</f>
        <v>0</v>
      </c>
      <c r="J10" s="5" t="s">
        <v>50</v>
      </c>
    </row>
    <row r="11" customFormat="false" ht="15" hidden="false" customHeight="false" outlineLevel="0" collapsed="false">
      <c r="A11" s="5" t="n">
        <v>7</v>
      </c>
      <c r="B11" s="5" t="s">
        <v>60</v>
      </c>
      <c r="C11" s="5" t="s">
        <v>59</v>
      </c>
      <c r="D11" s="5" t="s">
        <v>61</v>
      </c>
      <c r="E11" s="6" t="n">
        <v>30503.66</v>
      </c>
      <c r="F11" s="6" t="n">
        <v>30503.66</v>
      </c>
      <c r="G11" s="10" t="n">
        <f aca="false">E11-F11</f>
        <v>0</v>
      </c>
      <c r="H11" s="9" t="n">
        <f aca="false">G11/E11</f>
        <v>0</v>
      </c>
      <c r="I11" s="10" t="n">
        <f aca="false">H11*Desenho_MUS!$B$12</f>
        <v>0</v>
      </c>
      <c r="J11" s="5" t="s">
        <v>50</v>
      </c>
    </row>
    <row r="12" customFormat="false" ht="15" hidden="false" customHeight="false" outlineLevel="0" collapsed="false">
      <c r="A12" s="5" t="n">
        <v>8</v>
      </c>
      <c r="B12" s="5" t="s">
        <v>62</v>
      </c>
      <c r="C12" s="5" t="s">
        <v>59</v>
      </c>
      <c r="D12" s="5" t="s">
        <v>49</v>
      </c>
      <c r="E12" s="6" t="n">
        <v>96569.08</v>
      </c>
      <c r="F12" s="6" t="n">
        <v>96569.08</v>
      </c>
      <c r="G12" s="10" t="n">
        <f aca="false">E12-F12</f>
        <v>0</v>
      </c>
      <c r="H12" s="9" t="n">
        <f aca="false">G12/E12</f>
        <v>0</v>
      </c>
      <c r="I12" s="10" t="n">
        <f aca="false">H12*Desenho_MUS!$B$12</f>
        <v>0</v>
      </c>
      <c r="J12" s="5" t="s">
        <v>50</v>
      </c>
    </row>
    <row r="13" customFormat="false" ht="15" hidden="false" customHeight="false" outlineLevel="0" collapsed="false">
      <c r="A13" s="5" t="n">
        <v>9</v>
      </c>
      <c r="B13" s="5" t="s">
        <v>63</v>
      </c>
      <c r="C13" s="5" t="s">
        <v>52</v>
      </c>
      <c r="D13" s="5" t="s">
        <v>49</v>
      </c>
      <c r="E13" s="6" t="n">
        <v>163699.11</v>
      </c>
      <c r="F13" s="6" t="n">
        <v>163699.11</v>
      </c>
      <c r="G13" s="10" t="n">
        <f aca="false">E13-F13</f>
        <v>0</v>
      </c>
      <c r="H13" s="9" t="n">
        <f aca="false">G13/E13</f>
        <v>0</v>
      </c>
      <c r="I13" s="10" t="n">
        <f aca="false">H13*Desenho_MUS!$B$12</f>
        <v>0</v>
      </c>
      <c r="J13" s="5" t="s">
        <v>50</v>
      </c>
    </row>
    <row r="14" customFormat="false" ht="15" hidden="false" customHeight="false" outlineLevel="0" collapsed="false">
      <c r="A14" s="5" t="n">
        <v>10</v>
      </c>
      <c r="B14" s="5" t="s">
        <v>64</v>
      </c>
      <c r="C14" s="5" t="s">
        <v>52</v>
      </c>
      <c r="D14" s="5" t="s">
        <v>49</v>
      </c>
      <c r="E14" s="6" t="n">
        <v>46794.19</v>
      </c>
      <c r="F14" s="6" t="n">
        <v>46794.19</v>
      </c>
      <c r="G14" s="10" t="n">
        <f aca="false">E14-F14</f>
        <v>0</v>
      </c>
      <c r="H14" s="9" t="n">
        <f aca="false">G14/E14</f>
        <v>0</v>
      </c>
      <c r="I14" s="10" t="n">
        <f aca="false">H14*Desenho_MUS!$B$12</f>
        <v>0</v>
      </c>
      <c r="J14" s="5" t="s">
        <v>50</v>
      </c>
    </row>
    <row r="15" customFormat="false" ht="15" hidden="false" customHeight="false" outlineLevel="0" collapsed="false">
      <c r="A15" s="5" t="n">
        <v>11</v>
      </c>
      <c r="B15" s="5" t="s">
        <v>65</v>
      </c>
      <c r="C15" s="5" t="s">
        <v>59</v>
      </c>
      <c r="D15" s="5" t="s">
        <v>61</v>
      </c>
      <c r="E15" s="6" t="n">
        <v>66605.33</v>
      </c>
      <c r="F15" s="6" t="n">
        <v>66605.33</v>
      </c>
      <c r="G15" s="10" t="n">
        <f aca="false">E15-F15</f>
        <v>0</v>
      </c>
      <c r="H15" s="9" t="n">
        <f aca="false">G15/E15</f>
        <v>0</v>
      </c>
      <c r="I15" s="10" t="n">
        <f aca="false">H15*Desenho_MUS!$B$12</f>
        <v>0</v>
      </c>
      <c r="J15" s="5" t="s">
        <v>50</v>
      </c>
    </row>
    <row r="16" customFormat="false" ht="15" hidden="false" customHeight="false" outlineLevel="0" collapsed="false">
      <c r="A16" s="5" t="n">
        <v>12</v>
      </c>
      <c r="B16" s="5" t="s">
        <v>66</v>
      </c>
      <c r="C16" s="5" t="s">
        <v>52</v>
      </c>
      <c r="D16" s="5" t="s">
        <v>53</v>
      </c>
      <c r="E16" s="6" t="n">
        <v>1339874.18</v>
      </c>
      <c r="F16" s="6" t="n">
        <v>1339874.18</v>
      </c>
      <c r="G16" s="10" t="n">
        <f aca="false">E16-F16</f>
        <v>0</v>
      </c>
      <c r="H16" s="9" t="n">
        <f aca="false">G16/E16</f>
        <v>0</v>
      </c>
      <c r="I16" s="10" t="n">
        <f aca="false">H16*Desenho_MUS!$B$12</f>
        <v>0</v>
      </c>
      <c r="J16" s="5" t="s">
        <v>50</v>
      </c>
    </row>
    <row r="17" customFormat="false" ht="15" hidden="false" customHeight="false" outlineLevel="0" collapsed="false">
      <c r="A17" s="5" t="n">
        <v>13</v>
      </c>
      <c r="B17" s="5" t="s">
        <v>67</v>
      </c>
      <c r="C17" s="5" t="s">
        <v>56</v>
      </c>
      <c r="D17" s="5" t="s">
        <v>53</v>
      </c>
      <c r="E17" s="6" t="n">
        <v>1258766.39</v>
      </c>
      <c r="F17" s="6" t="n">
        <v>1258766.39</v>
      </c>
      <c r="G17" s="10" t="n">
        <f aca="false">E17-F17</f>
        <v>0</v>
      </c>
      <c r="H17" s="9" t="n">
        <f aca="false">G17/E17</f>
        <v>0</v>
      </c>
      <c r="I17" s="10" t="n">
        <f aca="false">H17*Desenho_MUS!$B$12</f>
        <v>0</v>
      </c>
      <c r="J17" s="5" t="s">
        <v>50</v>
      </c>
    </row>
    <row r="18" customFormat="false" ht="15" hidden="false" customHeight="false" outlineLevel="0" collapsed="false">
      <c r="A18" s="5" t="n">
        <v>14</v>
      </c>
      <c r="B18" s="5" t="s">
        <v>68</v>
      </c>
      <c r="C18" s="5" t="s">
        <v>52</v>
      </c>
      <c r="D18" s="5" t="s">
        <v>53</v>
      </c>
      <c r="E18" s="6" t="n">
        <v>890488.93</v>
      </c>
      <c r="F18" s="6" t="n">
        <v>890488.93</v>
      </c>
      <c r="G18" s="10" t="n">
        <f aca="false">E18-F18</f>
        <v>0</v>
      </c>
      <c r="H18" s="9" t="n">
        <f aca="false">G18/E18</f>
        <v>0</v>
      </c>
      <c r="I18" s="10" t="n">
        <f aca="false">H18*Desenho_MUS!$B$12</f>
        <v>0</v>
      </c>
      <c r="J18" s="5" t="s">
        <v>50</v>
      </c>
    </row>
    <row r="19" customFormat="false" ht="15" hidden="false" customHeight="false" outlineLevel="0" collapsed="false">
      <c r="A19" s="5" t="n">
        <v>15</v>
      </c>
      <c r="B19" s="5" t="s">
        <v>69</v>
      </c>
      <c r="C19" s="5" t="s">
        <v>52</v>
      </c>
      <c r="D19" s="5" t="s">
        <v>53</v>
      </c>
      <c r="E19" s="6" t="n">
        <v>3178265.31</v>
      </c>
      <c r="F19" s="6" t="n">
        <v>3178265.31</v>
      </c>
      <c r="G19" s="10" t="n">
        <f aca="false">E19-F19</f>
        <v>0</v>
      </c>
      <c r="H19" s="9" t="n">
        <f aca="false">G19/E19</f>
        <v>0</v>
      </c>
      <c r="I19" s="10" t="n">
        <f aca="false">H19*Desenho_MUS!$B$12</f>
        <v>0</v>
      </c>
      <c r="J19" s="5" t="s">
        <v>50</v>
      </c>
    </row>
    <row r="20" customFormat="false" ht="15" hidden="false" customHeight="false" outlineLevel="0" collapsed="false">
      <c r="A20" s="5" t="n">
        <v>16</v>
      </c>
      <c r="B20" s="5" t="s">
        <v>70</v>
      </c>
      <c r="C20" s="5" t="s">
        <v>52</v>
      </c>
      <c r="D20" s="5" t="s">
        <v>53</v>
      </c>
      <c r="E20" s="6" t="n">
        <v>112316.81</v>
      </c>
      <c r="F20" s="6" t="n">
        <v>112316.81</v>
      </c>
      <c r="G20" s="10" t="n">
        <f aca="false">E20-F20</f>
        <v>0</v>
      </c>
      <c r="H20" s="9" t="n">
        <f aca="false">G20/E20</f>
        <v>0</v>
      </c>
      <c r="I20" s="10" t="n">
        <f aca="false">H20*Desenho_MUS!$B$12</f>
        <v>0</v>
      </c>
      <c r="J20" s="5" t="s">
        <v>50</v>
      </c>
    </row>
    <row r="21" customFormat="false" ht="15" hidden="false" customHeight="false" outlineLevel="0" collapsed="false">
      <c r="A21" s="5" t="n">
        <v>17</v>
      </c>
      <c r="B21" s="5" t="s">
        <v>71</v>
      </c>
      <c r="C21" s="5" t="s">
        <v>52</v>
      </c>
      <c r="D21" s="5" t="s">
        <v>49</v>
      </c>
      <c r="E21" s="6" t="n">
        <v>139326.04</v>
      </c>
      <c r="F21" s="6" t="n">
        <v>139326.04</v>
      </c>
      <c r="G21" s="10" t="n">
        <f aca="false">E21-F21</f>
        <v>0</v>
      </c>
      <c r="H21" s="9" t="n">
        <f aca="false">G21/E21</f>
        <v>0</v>
      </c>
      <c r="I21" s="10" t="n">
        <f aca="false">H21*Desenho_MUS!$B$12</f>
        <v>0</v>
      </c>
      <c r="J21" s="5" t="s">
        <v>50</v>
      </c>
    </row>
    <row r="22" customFormat="false" ht="15" hidden="false" customHeight="false" outlineLevel="0" collapsed="false">
      <c r="A22" s="5" t="n">
        <v>18</v>
      </c>
      <c r="B22" s="5" t="s">
        <v>72</v>
      </c>
      <c r="C22" s="5" t="s">
        <v>59</v>
      </c>
      <c r="D22" s="5" t="s">
        <v>53</v>
      </c>
      <c r="E22" s="6" t="n">
        <v>1908705.21</v>
      </c>
      <c r="F22" s="6" t="n">
        <v>1908705.21</v>
      </c>
      <c r="G22" s="10" t="n">
        <f aca="false">E22-F22</f>
        <v>0</v>
      </c>
      <c r="H22" s="9" t="n">
        <f aca="false">G22/E22</f>
        <v>0</v>
      </c>
      <c r="I22" s="10" t="n">
        <f aca="false">H22*Desenho_MUS!$B$12</f>
        <v>0</v>
      </c>
      <c r="J22" s="5" t="s">
        <v>50</v>
      </c>
    </row>
    <row r="23" customFormat="false" ht="15" hidden="false" customHeight="false" outlineLevel="0" collapsed="false">
      <c r="A23" s="5" t="n">
        <v>19</v>
      </c>
      <c r="B23" s="5" t="s">
        <v>73</v>
      </c>
      <c r="C23" s="5" t="s">
        <v>59</v>
      </c>
      <c r="D23" s="5" t="s">
        <v>53</v>
      </c>
      <c r="E23" s="6" t="n">
        <v>1514763.11</v>
      </c>
      <c r="F23" s="6" t="n">
        <v>1514763.11</v>
      </c>
      <c r="G23" s="10" t="n">
        <f aca="false">E23-F23</f>
        <v>0</v>
      </c>
      <c r="H23" s="9" t="n">
        <f aca="false">G23/E23</f>
        <v>0</v>
      </c>
      <c r="I23" s="10" t="n">
        <f aca="false">H23*Desenho_MUS!$B$12</f>
        <v>0</v>
      </c>
      <c r="J23" s="5" t="s">
        <v>50</v>
      </c>
    </row>
    <row r="24" customFormat="false" ht="15" hidden="false" customHeight="false" outlineLevel="0" collapsed="false">
      <c r="A24" s="5" t="n">
        <v>20</v>
      </c>
      <c r="B24" s="5" t="s">
        <v>74</v>
      </c>
      <c r="C24" s="5" t="s">
        <v>59</v>
      </c>
      <c r="D24" s="5" t="s">
        <v>53</v>
      </c>
      <c r="E24" s="6" t="n">
        <v>1639185.16</v>
      </c>
      <c r="F24" s="6" t="n">
        <v>1639185.16</v>
      </c>
      <c r="G24" s="10" t="n">
        <f aca="false">E24-F24</f>
        <v>0</v>
      </c>
      <c r="H24" s="9" t="n">
        <f aca="false">G24/E24</f>
        <v>0</v>
      </c>
      <c r="I24" s="10" t="n">
        <f aca="false">H24*Desenho_MUS!$B$12</f>
        <v>0</v>
      </c>
      <c r="J24" s="5" t="s">
        <v>50</v>
      </c>
    </row>
    <row r="25" customFormat="false" ht="15" hidden="false" customHeight="false" outlineLevel="0" collapsed="false">
      <c r="A25" s="5" t="n">
        <v>21</v>
      </c>
      <c r="B25" s="5" t="s">
        <v>75</v>
      </c>
      <c r="C25" s="5" t="s">
        <v>52</v>
      </c>
      <c r="D25" s="5" t="s">
        <v>53</v>
      </c>
      <c r="E25" s="6" t="n">
        <v>1405616.99</v>
      </c>
      <c r="F25" s="6" t="n">
        <v>1405616.99</v>
      </c>
      <c r="G25" s="10" t="n">
        <f aca="false">E25-F25</f>
        <v>0</v>
      </c>
      <c r="H25" s="9" t="n">
        <f aca="false">G25/E25</f>
        <v>0</v>
      </c>
      <c r="I25" s="10" t="n">
        <f aca="false">H25*Desenho_MUS!$B$12</f>
        <v>0</v>
      </c>
      <c r="J25" s="5" t="s">
        <v>50</v>
      </c>
    </row>
    <row r="26" customFormat="false" ht="15" hidden="false" customHeight="false" outlineLevel="0" collapsed="false">
      <c r="A26" s="5" t="n">
        <v>22</v>
      </c>
      <c r="B26" s="5" t="s">
        <v>76</v>
      </c>
      <c r="C26" s="5" t="s">
        <v>52</v>
      </c>
      <c r="D26" s="5" t="s">
        <v>53</v>
      </c>
      <c r="E26" s="6" t="n">
        <v>786355.35</v>
      </c>
      <c r="F26" s="6" t="n">
        <v>786355.35</v>
      </c>
      <c r="G26" s="10" t="n">
        <f aca="false">E26-F26</f>
        <v>0</v>
      </c>
      <c r="H26" s="9" t="n">
        <f aca="false">G26/E26</f>
        <v>0</v>
      </c>
      <c r="I26" s="10" t="n">
        <f aca="false">H26*Desenho_MUS!$B$12</f>
        <v>0</v>
      </c>
      <c r="J26" s="5" t="s">
        <v>50</v>
      </c>
    </row>
    <row r="27" customFormat="false" ht="15" hidden="false" customHeight="false" outlineLevel="0" collapsed="false">
      <c r="A27" s="5" t="n">
        <v>23</v>
      </c>
      <c r="B27" s="5" t="s">
        <v>77</v>
      </c>
      <c r="C27" s="5" t="s">
        <v>59</v>
      </c>
      <c r="D27" s="5" t="s">
        <v>53</v>
      </c>
      <c r="E27" s="6" t="n">
        <v>2772508.54</v>
      </c>
      <c r="F27" s="6" t="n">
        <v>2772508.54</v>
      </c>
      <c r="G27" s="10" t="n">
        <f aca="false">E27-F27</f>
        <v>0</v>
      </c>
      <c r="H27" s="9" t="n">
        <f aca="false">G27/E27</f>
        <v>0</v>
      </c>
      <c r="I27" s="10" t="n">
        <f aca="false">H27*Desenho_MUS!$B$12</f>
        <v>0</v>
      </c>
      <c r="J27" s="5" t="s">
        <v>50</v>
      </c>
    </row>
    <row r="28" customFormat="false" ht="15" hidden="false" customHeight="false" outlineLevel="0" collapsed="false">
      <c r="A28" s="5" t="n">
        <v>24</v>
      </c>
      <c r="B28" s="5" t="s">
        <v>78</v>
      </c>
      <c r="C28" s="5" t="s">
        <v>59</v>
      </c>
      <c r="D28" s="5" t="s">
        <v>49</v>
      </c>
      <c r="E28" s="6" t="n">
        <v>52481.75</v>
      </c>
      <c r="F28" s="6" t="n">
        <v>52481.75</v>
      </c>
      <c r="G28" s="10" t="n">
        <f aca="false">E28-F28</f>
        <v>0</v>
      </c>
      <c r="H28" s="9" t="n">
        <f aca="false">G28/E28</f>
        <v>0</v>
      </c>
      <c r="I28" s="10" t="n">
        <f aca="false">H28*Desenho_MUS!$B$12</f>
        <v>0</v>
      </c>
      <c r="J28" s="5" t="s">
        <v>50</v>
      </c>
    </row>
    <row r="29" customFormat="false" ht="15" hidden="false" customHeight="false" outlineLevel="0" collapsed="false">
      <c r="A29" s="5" t="n">
        <v>25</v>
      </c>
      <c r="B29" s="5" t="s">
        <v>79</v>
      </c>
      <c r="C29" s="5" t="s">
        <v>59</v>
      </c>
      <c r="D29" s="5" t="s">
        <v>53</v>
      </c>
      <c r="E29" s="6" t="n">
        <v>1155086.62</v>
      </c>
      <c r="F29" s="6" t="n">
        <v>1155086.62</v>
      </c>
      <c r="G29" s="10" t="n">
        <f aca="false">E29-F29</f>
        <v>0</v>
      </c>
      <c r="H29" s="9" t="n">
        <f aca="false">G29/E29</f>
        <v>0</v>
      </c>
      <c r="I29" s="10" t="n">
        <f aca="false">H29*Desenho_MUS!$B$12</f>
        <v>0</v>
      </c>
      <c r="J29" s="5" t="s">
        <v>50</v>
      </c>
    </row>
    <row r="30" customFormat="false" ht="15" hidden="false" customHeight="false" outlineLevel="0" collapsed="false">
      <c r="A30" s="5" t="n">
        <v>26</v>
      </c>
      <c r="B30" s="5" t="s">
        <v>80</v>
      </c>
      <c r="C30" s="5" t="s">
        <v>59</v>
      </c>
      <c r="D30" s="5" t="s">
        <v>53</v>
      </c>
      <c r="E30" s="6" t="n">
        <v>1087672.18</v>
      </c>
      <c r="F30" s="6" t="n">
        <v>1087672.18</v>
      </c>
      <c r="G30" s="10" t="n">
        <f aca="false">E30-F30</f>
        <v>0</v>
      </c>
      <c r="H30" s="9" t="n">
        <f aca="false">G30/E30</f>
        <v>0</v>
      </c>
      <c r="I30" s="10" t="n">
        <f aca="false">H30*Desenho_MUS!$B$12</f>
        <v>0</v>
      </c>
      <c r="J30" s="5" t="s">
        <v>50</v>
      </c>
    </row>
    <row r="31" customFormat="false" ht="15" hidden="false" customHeight="false" outlineLevel="0" collapsed="false">
      <c r="A31" s="5" t="n">
        <v>27</v>
      </c>
      <c r="B31" s="5" t="s">
        <v>81</v>
      </c>
      <c r="C31" s="5" t="s">
        <v>59</v>
      </c>
      <c r="D31" s="5" t="s">
        <v>49</v>
      </c>
      <c r="E31" s="6" t="n">
        <v>204464.09</v>
      </c>
      <c r="F31" s="6" t="n">
        <v>204464.09</v>
      </c>
      <c r="G31" s="10" t="n">
        <f aca="false">E31-F31</f>
        <v>0</v>
      </c>
      <c r="H31" s="9" t="n">
        <f aca="false">G31/E31</f>
        <v>0</v>
      </c>
      <c r="I31" s="10" t="n">
        <f aca="false">H31*Desenho_MUS!$B$12</f>
        <v>0</v>
      </c>
      <c r="J31" s="5" t="s">
        <v>50</v>
      </c>
    </row>
    <row r="32" customFormat="false" ht="15" hidden="false" customHeight="false" outlineLevel="0" collapsed="false">
      <c r="A32" s="5" t="n">
        <v>28</v>
      </c>
      <c r="B32" s="5" t="s">
        <v>82</v>
      </c>
      <c r="C32" s="5" t="s">
        <v>52</v>
      </c>
      <c r="D32" s="5" t="s">
        <v>49</v>
      </c>
      <c r="E32" s="6" t="n">
        <v>76049.61</v>
      </c>
      <c r="F32" s="6" t="n">
        <v>76049.61</v>
      </c>
      <c r="G32" s="10" t="n">
        <f aca="false">E32-F32</f>
        <v>0</v>
      </c>
      <c r="H32" s="9" t="n">
        <f aca="false">G32/E32</f>
        <v>0</v>
      </c>
      <c r="I32" s="10" t="n">
        <f aca="false">H32*Desenho_MUS!$B$12</f>
        <v>0</v>
      </c>
      <c r="J32" s="5" t="s">
        <v>50</v>
      </c>
    </row>
    <row r="33" customFormat="false" ht="15" hidden="false" customHeight="false" outlineLevel="0" collapsed="false">
      <c r="A33" s="5" t="n">
        <v>29</v>
      </c>
      <c r="B33" s="5" t="s">
        <v>83</v>
      </c>
      <c r="C33" s="5" t="s">
        <v>56</v>
      </c>
      <c r="D33" s="5" t="s">
        <v>61</v>
      </c>
      <c r="E33" s="6" t="n">
        <v>108972.43</v>
      </c>
      <c r="F33" s="6" t="n">
        <v>108972.43</v>
      </c>
      <c r="G33" s="10" t="n">
        <f aca="false">E33-F33</f>
        <v>0</v>
      </c>
      <c r="H33" s="9" t="n">
        <f aca="false">G33/E33</f>
        <v>0</v>
      </c>
      <c r="I33" s="10" t="n">
        <f aca="false">H33*Desenho_MUS!$B$12</f>
        <v>0</v>
      </c>
      <c r="J33" s="5" t="s">
        <v>50</v>
      </c>
    </row>
    <row r="34" customFormat="false" ht="15" hidden="false" customHeight="false" outlineLevel="0" collapsed="false">
      <c r="A34" s="5" t="n">
        <v>30</v>
      </c>
      <c r="B34" s="5" t="s">
        <v>84</v>
      </c>
      <c r="C34" s="5" t="s">
        <v>59</v>
      </c>
      <c r="D34" s="5" t="s">
        <v>53</v>
      </c>
      <c r="E34" s="6" t="n">
        <v>2632319.77</v>
      </c>
      <c r="F34" s="6" t="n">
        <v>2632319.77</v>
      </c>
      <c r="G34" s="10" t="n">
        <f aca="false">E34-F34</f>
        <v>0</v>
      </c>
      <c r="H34" s="9" t="n">
        <f aca="false">G34/E34</f>
        <v>0</v>
      </c>
      <c r="I34" s="10" t="n">
        <f aca="false">H34*Desenho_MUS!$B$12</f>
        <v>0</v>
      </c>
      <c r="J34" s="5" t="s">
        <v>50</v>
      </c>
    </row>
    <row r="35" customFormat="false" ht="15" hidden="false" customHeight="false" outlineLevel="0" collapsed="false">
      <c r="A35" s="5" t="n">
        <v>31</v>
      </c>
      <c r="B35" s="5" t="s">
        <v>85</v>
      </c>
      <c r="C35" s="5" t="s">
        <v>59</v>
      </c>
      <c r="D35" s="5" t="s">
        <v>61</v>
      </c>
      <c r="E35" s="6" t="n">
        <v>40197.37</v>
      </c>
      <c r="F35" s="6" t="n">
        <v>40197.37</v>
      </c>
      <c r="G35" s="10" t="n">
        <f aca="false">E35-F35</f>
        <v>0</v>
      </c>
      <c r="H35" s="9" t="n">
        <f aca="false">G35/E35</f>
        <v>0</v>
      </c>
      <c r="I35" s="10" t="n">
        <f aca="false">H35*Desenho_MUS!$B$12</f>
        <v>0</v>
      </c>
      <c r="J35" s="5" t="s">
        <v>50</v>
      </c>
    </row>
    <row r="36" customFormat="false" ht="15" hidden="false" customHeight="false" outlineLevel="0" collapsed="false">
      <c r="A36" s="5" t="n">
        <v>32</v>
      </c>
      <c r="B36" s="5" t="s">
        <v>86</v>
      </c>
      <c r="C36" s="5" t="s">
        <v>52</v>
      </c>
      <c r="D36" s="5" t="s">
        <v>53</v>
      </c>
      <c r="E36" s="6" t="n">
        <v>1947092.68</v>
      </c>
      <c r="F36" s="6" t="n">
        <v>1947092.68</v>
      </c>
      <c r="G36" s="10" t="n">
        <f aca="false">E36-F36</f>
        <v>0</v>
      </c>
      <c r="H36" s="9" t="n">
        <f aca="false">G36/E36</f>
        <v>0</v>
      </c>
      <c r="I36" s="10" t="n">
        <f aca="false">H36*Desenho_MUS!$B$12</f>
        <v>0</v>
      </c>
      <c r="J36" s="5" t="s">
        <v>50</v>
      </c>
    </row>
    <row r="37" customFormat="false" ht="15" hidden="false" customHeight="false" outlineLevel="0" collapsed="false">
      <c r="A37" s="5" t="n">
        <v>33</v>
      </c>
      <c r="B37" s="5" t="s">
        <v>87</v>
      </c>
      <c r="C37" s="5" t="s">
        <v>52</v>
      </c>
      <c r="D37" s="5" t="s">
        <v>53</v>
      </c>
      <c r="E37" s="6" t="n">
        <v>1597505.25</v>
      </c>
      <c r="F37" s="6" t="n">
        <v>1597505.25</v>
      </c>
      <c r="G37" s="10" t="n">
        <f aca="false">E37-F37</f>
        <v>0</v>
      </c>
      <c r="H37" s="9" t="n">
        <f aca="false">G37/E37</f>
        <v>0</v>
      </c>
      <c r="I37" s="10" t="n">
        <f aca="false">H37*Desenho_MUS!$B$12</f>
        <v>0</v>
      </c>
      <c r="J37" s="5" t="s">
        <v>50</v>
      </c>
    </row>
    <row r="38" customFormat="false" ht="15" hidden="false" customHeight="false" outlineLevel="0" collapsed="false">
      <c r="A38" s="5" t="n">
        <v>34</v>
      </c>
      <c r="B38" s="5" t="s">
        <v>88</v>
      </c>
      <c r="C38" s="5" t="s">
        <v>59</v>
      </c>
      <c r="D38" s="5" t="s">
        <v>49</v>
      </c>
      <c r="E38" s="6" t="n">
        <v>158458.52</v>
      </c>
      <c r="F38" s="6" t="n">
        <v>158458.52</v>
      </c>
      <c r="G38" s="10" t="n">
        <f aca="false">E38-F38</f>
        <v>0</v>
      </c>
      <c r="H38" s="9" t="n">
        <f aca="false">G38/E38</f>
        <v>0</v>
      </c>
      <c r="I38" s="10" t="n">
        <f aca="false">H38*Desenho_MUS!$B$12</f>
        <v>0</v>
      </c>
      <c r="J38" s="5" t="s">
        <v>50</v>
      </c>
    </row>
    <row r="39" customFormat="false" ht="15" hidden="false" customHeight="false" outlineLevel="0" collapsed="false">
      <c r="A39" s="5" t="n">
        <v>35</v>
      </c>
      <c r="B39" s="5" t="s">
        <v>89</v>
      </c>
      <c r="C39" s="5" t="s">
        <v>52</v>
      </c>
      <c r="D39" s="5" t="s">
        <v>49</v>
      </c>
      <c r="E39" s="6" t="n">
        <v>159410.38</v>
      </c>
      <c r="F39" s="6" t="n">
        <v>159410.38</v>
      </c>
      <c r="G39" s="10" t="n">
        <f aca="false">E39-F39</f>
        <v>0</v>
      </c>
      <c r="H39" s="9" t="n">
        <f aca="false">G39/E39</f>
        <v>0</v>
      </c>
      <c r="I39" s="10" t="n">
        <f aca="false">H39*Desenho_MUS!$B$12</f>
        <v>0</v>
      </c>
      <c r="J39" s="5" t="s">
        <v>50</v>
      </c>
    </row>
    <row r="40" customFormat="false" ht="15" hidden="false" customHeight="false" outlineLevel="0" collapsed="false">
      <c r="A40" s="5" t="n">
        <v>36</v>
      </c>
      <c r="B40" s="5" t="s">
        <v>90</v>
      </c>
      <c r="C40" s="5" t="s">
        <v>52</v>
      </c>
      <c r="D40" s="5" t="s">
        <v>49</v>
      </c>
      <c r="E40" s="6" t="n">
        <v>47694.09</v>
      </c>
      <c r="F40" s="6" t="n">
        <v>47694.09</v>
      </c>
      <c r="G40" s="10" t="n">
        <f aca="false">E40-F40</f>
        <v>0</v>
      </c>
      <c r="H40" s="9" t="n">
        <f aca="false">G40/E40</f>
        <v>0</v>
      </c>
      <c r="I40" s="10" t="n">
        <f aca="false">H40*Desenho_MUS!$B$12</f>
        <v>0</v>
      </c>
      <c r="J40" s="5" t="s">
        <v>50</v>
      </c>
    </row>
    <row r="41" customFormat="false" ht="15" hidden="false" customHeight="false" outlineLevel="0" collapsed="false">
      <c r="A41" s="5" t="n">
        <v>37</v>
      </c>
      <c r="B41" s="5" t="s">
        <v>91</v>
      </c>
      <c r="C41" s="5" t="s">
        <v>52</v>
      </c>
      <c r="D41" s="5" t="s">
        <v>61</v>
      </c>
      <c r="E41" s="6" t="n">
        <v>88478.12</v>
      </c>
      <c r="F41" s="6" t="n">
        <v>88478.12</v>
      </c>
      <c r="G41" s="10" t="n">
        <f aca="false">E41-F41</f>
        <v>0</v>
      </c>
      <c r="H41" s="9" t="n">
        <f aca="false">G41/E41</f>
        <v>0</v>
      </c>
      <c r="I41" s="10" t="n">
        <f aca="false">H41*Desenho_MUS!$B$12</f>
        <v>0</v>
      </c>
      <c r="J41" s="5" t="s">
        <v>50</v>
      </c>
    </row>
    <row r="42" customFormat="false" ht="15" hidden="false" customHeight="false" outlineLevel="0" collapsed="false">
      <c r="A42" s="5" t="n">
        <v>38</v>
      </c>
      <c r="B42" s="5" t="s">
        <v>92</v>
      </c>
      <c r="C42" s="5" t="s">
        <v>52</v>
      </c>
      <c r="D42" s="5" t="s">
        <v>53</v>
      </c>
      <c r="E42" s="6" t="n">
        <v>667477.67</v>
      </c>
      <c r="F42" s="6" t="n">
        <v>667477.67</v>
      </c>
      <c r="G42" s="10" t="n">
        <f aca="false">E42-F42</f>
        <v>0</v>
      </c>
      <c r="H42" s="9" t="n">
        <f aca="false">G42/E42</f>
        <v>0</v>
      </c>
      <c r="I42" s="10" t="n">
        <f aca="false">H42*Desenho_MUS!$B$12</f>
        <v>0</v>
      </c>
      <c r="J42" s="5" t="s">
        <v>50</v>
      </c>
    </row>
    <row r="43" customFormat="false" ht="15" hidden="false" customHeight="false" outlineLevel="0" collapsed="false">
      <c r="A43" s="5" t="n">
        <v>39</v>
      </c>
      <c r="B43" s="5" t="s">
        <v>93</v>
      </c>
      <c r="C43" s="5" t="s">
        <v>59</v>
      </c>
      <c r="D43" s="5" t="s">
        <v>61</v>
      </c>
      <c r="E43" s="6" t="n">
        <v>83882.64</v>
      </c>
      <c r="F43" s="6" t="n">
        <v>83882.64</v>
      </c>
      <c r="G43" s="10" t="n">
        <f aca="false">E43-F43</f>
        <v>0</v>
      </c>
      <c r="H43" s="9" t="n">
        <f aca="false">G43/E43</f>
        <v>0</v>
      </c>
      <c r="I43" s="10" t="n">
        <f aca="false">H43*Desenho_MUS!$B$12</f>
        <v>0</v>
      </c>
      <c r="J43" s="5" t="s">
        <v>50</v>
      </c>
    </row>
    <row r="44" customFormat="false" ht="15" hidden="false" customHeight="false" outlineLevel="0" collapsed="false">
      <c r="A44" s="5" t="n">
        <v>40</v>
      </c>
      <c r="B44" s="5" t="s">
        <v>94</v>
      </c>
      <c r="C44" s="5" t="s">
        <v>59</v>
      </c>
      <c r="D44" s="5" t="s">
        <v>53</v>
      </c>
      <c r="E44" s="6" t="n">
        <v>3084250.53</v>
      </c>
      <c r="F44" s="6" t="n">
        <v>3084250.53</v>
      </c>
      <c r="G44" s="10" t="n">
        <f aca="false">E44-F44</f>
        <v>0</v>
      </c>
      <c r="H44" s="9" t="n">
        <f aca="false">G44/E44</f>
        <v>0</v>
      </c>
      <c r="I44" s="10" t="n">
        <f aca="false">H44*Desenho_MUS!$B$12</f>
        <v>0</v>
      </c>
      <c r="J44" s="5" t="s">
        <v>50</v>
      </c>
    </row>
    <row r="45" customFormat="false" ht="15" hidden="false" customHeight="false" outlineLevel="0" collapsed="false">
      <c r="A45" s="5" t="n">
        <v>41</v>
      </c>
      <c r="B45" s="5" t="s">
        <v>95</v>
      </c>
      <c r="C45" s="5" t="s">
        <v>52</v>
      </c>
      <c r="D45" s="5" t="s">
        <v>53</v>
      </c>
      <c r="E45" s="6" t="n">
        <v>777116.82</v>
      </c>
      <c r="F45" s="6" t="n">
        <v>777116.82</v>
      </c>
      <c r="G45" s="10" t="n">
        <f aca="false">E45-F45</f>
        <v>0</v>
      </c>
      <c r="H45" s="9" t="n">
        <f aca="false">G45/E45</f>
        <v>0</v>
      </c>
      <c r="I45" s="10" t="n">
        <f aca="false">H45*Desenho_MUS!$B$12</f>
        <v>0</v>
      </c>
      <c r="J45" s="5" t="s">
        <v>50</v>
      </c>
    </row>
    <row r="46" customFormat="false" ht="15" hidden="false" customHeight="false" outlineLevel="0" collapsed="false">
      <c r="A46" s="5" t="n">
        <v>42</v>
      </c>
      <c r="B46" s="5" t="s">
        <v>96</v>
      </c>
      <c r="C46" s="5" t="s">
        <v>59</v>
      </c>
      <c r="D46" s="5" t="s">
        <v>49</v>
      </c>
      <c r="E46" s="6" t="n">
        <v>123519.87</v>
      </c>
      <c r="F46" s="6" t="n">
        <v>123519.87</v>
      </c>
      <c r="G46" s="10" t="n">
        <f aca="false">E46-F46</f>
        <v>0</v>
      </c>
      <c r="H46" s="9" t="n">
        <f aca="false">G46/E46</f>
        <v>0</v>
      </c>
      <c r="I46" s="10" t="n">
        <f aca="false">H46*Desenho_MUS!$B$12</f>
        <v>0</v>
      </c>
      <c r="J46" s="5" t="s">
        <v>50</v>
      </c>
    </row>
    <row r="47" customFormat="false" ht="15" hidden="false" customHeight="false" outlineLevel="0" collapsed="false">
      <c r="A47" s="5" t="n">
        <v>43</v>
      </c>
      <c r="B47" s="5" t="s">
        <v>97</v>
      </c>
      <c r="C47" s="5" t="s">
        <v>52</v>
      </c>
      <c r="D47" s="5" t="s">
        <v>53</v>
      </c>
      <c r="E47" s="6" t="n">
        <v>2122290.83</v>
      </c>
      <c r="F47" s="6" t="n">
        <v>2122290.83</v>
      </c>
      <c r="G47" s="10" t="n">
        <f aca="false">E47-F47</f>
        <v>0</v>
      </c>
      <c r="H47" s="9" t="n">
        <f aca="false">G47/E47</f>
        <v>0</v>
      </c>
      <c r="I47" s="10" t="n">
        <f aca="false">H47*Desenho_MUS!$B$12</f>
        <v>0</v>
      </c>
      <c r="J47" s="5" t="s">
        <v>50</v>
      </c>
    </row>
    <row r="48" customFormat="false" ht="15" hidden="false" customHeight="false" outlineLevel="0" collapsed="false">
      <c r="A48" s="5" t="n">
        <v>44</v>
      </c>
      <c r="B48" s="5" t="s">
        <v>98</v>
      </c>
      <c r="C48" s="5" t="s">
        <v>59</v>
      </c>
      <c r="D48" s="5" t="s">
        <v>99</v>
      </c>
      <c r="E48" s="6" t="n">
        <v>41211.65</v>
      </c>
      <c r="F48" s="6" t="n">
        <v>41211.65</v>
      </c>
      <c r="G48" s="10" t="n">
        <f aca="false">E48-F48</f>
        <v>0</v>
      </c>
      <c r="H48" s="9" t="n">
        <f aca="false">G48/E48</f>
        <v>0</v>
      </c>
      <c r="I48" s="10" t="n">
        <f aca="false">H48*Desenho_MUS!$B$12</f>
        <v>0</v>
      </c>
      <c r="J48" s="5" t="s">
        <v>50</v>
      </c>
    </row>
    <row r="49" customFormat="false" ht="15" hidden="false" customHeight="false" outlineLevel="0" collapsed="false">
      <c r="A49" s="5" t="n">
        <v>45</v>
      </c>
      <c r="B49" s="5" t="s">
        <v>100</v>
      </c>
      <c r="C49" s="5" t="s">
        <v>52</v>
      </c>
      <c r="D49" s="5" t="s">
        <v>61</v>
      </c>
      <c r="E49" s="6" t="n">
        <v>32264.36</v>
      </c>
      <c r="F49" s="6" t="n">
        <v>32264.36</v>
      </c>
      <c r="G49" s="10" t="n">
        <f aca="false">E49-F49</f>
        <v>0</v>
      </c>
      <c r="H49" s="9" t="n">
        <f aca="false">G49/E49</f>
        <v>0</v>
      </c>
      <c r="I49" s="10" t="n">
        <f aca="false">H49*Desenho_MUS!$B$12</f>
        <v>0</v>
      </c>
      <c r="J49" s="5" t="s">
        <v>50</v>
      </c>
    </row>
    <row r="50" customFormat="false" ht="15" hidden="false" customHeight="false" outlineLevel="0" collapsed="false">
      <c r="A50" s="5" t="n">
        <v>46</v>
      </c>
      <c r="B50" s="5" t="s">
        <v>101</v>
      </c>
      <c r="C50" s="5" t="s">
        <v>56</v>
      </c>
      <c r="D50" s="5" t="s">
        <v>49</v>
      </c>
      <c r="E50" s="6" t="n">
        <v>88846.56</v>
      </c>
      <c r="F50" s="6" t="n">
        <v>88846.56</v>
      </c>
      <c r="G50" s="10" t="n">
        <f aca="false">E50-F50</f>
        <v>0</v>
      </c>
      <c r="H50" s="9" t="n">
        <f aca="false">G50/E50</f>
        <v>0</v>
      </c>
      <c r="I50" s="10" t="n">
        <f aca="false">H50*Desenho_MUS!$B$12</f>
        <v>0</v>
      </c>
      <c r="J50" s="5" t="s">
        <v>50</v>
      </c>
    </row>
    <row r="51" customFormat="false" ht="15" hidden="false" customHeight="false" outlineLevel="0" collapsed="false">
      <c r="A51" s="5" t="n">
        <v>47</v>
      </c>
      <c r="B51" s="5" t="s">
        <v>102</v>
      </c>
      <c r="C51" s="5" t="s">
        <v>59</v>
      </c>
      <c r="D51" s="5" t="s">
        <v>61</v>
      </c>
      <c r="E51" s="6" t="n">
        <v>82804.71</v>
      </c>
      <c r="F51" s="6" t="n">
        <v>82804.71</v>
      </c>
      <c r="G51" s="10" t="n">
        <f aca="false">E51-F51</f>
        <v>0</v>
      </c>
      <c r="H51" s="9" t="n">
        <f aca="false">G51/E51</f>
        <v>0</v>
      </c>
      <c r="I51" s="10" t="n">
        <f aca="false">H51*Desenho_MUS!$B$12</f>
        <v>0</v>
      </c>
      <c r="J51" s="5" t="s">
        <v>50</v>
      </c>
    </row>
    <row r="52" customFormat="false" ht="15" hidden="false" customHeight="false" outlineLevel="0" collapsed="false">
      <c r="A52" s="5" t="n">
        <v>48</v>
      </c>
      <c r="B52" s="5" t="s">
        <v>103</v>
      </c>
      <c r="C52" s="5" t="s">
        <v>59</v>
      </c>
      <c r="D52" s="5" t="s">
        <v>53</v>
      </c>
      <c r="E52" s="6" t="n">
        <v>1197929.68</v>
      </c>
      <c r="F52" s="6" t="n">
        <v>1197929.68</v>
      </c>
      <c r="G52" s="10" t="n">
        <f aca="false">E52-F52</f>
        <v>0</v>
      </c>
      <c r="H52" s="9" t="n">
        <f aca="false">G52/E52</f>
        <v>0</v>
      </c>
      <c r="I52" s="10" t="n">
        <f aca="false">H52*Desenho_MUS!$B$12</f>
        <v>0</v>
      </c>
      <c r="J52" s="5" t="s">
        <v>50</v>
      </c>
    </row>
    <row r="53" customFormat="false" ht="15" hidden="false" customHeight="false" outlineLevel="0" collapsed="false">
      <c r="A53" s="5" t="n">
        <v>49</v>
      </c>
      <c r="B53" s="5" t="s">
        <v>104</v>
      </c>
      <c r="C53" s="5" t="s">
        <v>59</v>
      </c>
      <c r="D53" s="5" t="s">
        <v>49</v>
      </c>
      <c r="E53" s="6" t="n">
        <v>219195.59</v>
      </c>
      <c r="F53" s="6" t="n">
        <v>219195.59</v>
      </c>
      <c r="G53" s="10" t="n">
        <f aca="false">E53-F53</f>
        <v>0</v>
      </c>
      <c r="H53" s="9" t="n">
        <f aca="false">G53/E53</f>
        <v>0</v>
      </c>
      <c r="I53" s="10" t="n">
        <f aca="false">H53*Desenho_MUS!$B$12</f>
        <v>0</v>
      </c>
      <c r="J53" s="5" t="s">
        <v>50</v>
      </c>
    </row>
    <row r="54" customFormat="false" ht="15" hidden="false" customHeight="false" outlineLevel="0" collapsed="false">
      <c r="A54" s="5" t="n">
        <v>50</v>
      </c>
      <c r="B54" s="5" t="s">
        <v>105</v>
      </c>
      <c r="C54" s="5" t="s">
        <v>52</v>
      </c>
      <c r="D54" s="5" t="s">
        <v>61</v>
      </c>
      <c r="E54" s="6" t="n">
        <v>93148.62</v>
      </c>
      <c r="F54" s="6" t="n">
        <v>93148.62</v>
      </c>
      <c r="G54" s="10" t="n">
        <f aca="false">E54-F54</f>
        <v>0</v>
      </c>
      <c r="H54" s="9" t="n">
        <f aca="false">G54/E54</f>
        <v>0</v>
      </c>
      <c r="I54" s="10" t="n">
        <f aca="false">H54*Desenho_MUS!$B$12</f>
        <v>0</v>
      </c>
      <c r="J54" s="5" t="s">
        <v>50</v>
      </c>
    </row>
    <row r="55" customFormat="false" ht="15" hidden="false" customHeight="false" outlineLevel="0" collapsed="false">
      <c r="A55" s="5" t="n">
        <v>51</v>
      </c>
      <c r="B55" s="5" t="s">
        <v>106</v>
      </c>
      <c r="C55" s="5" t="s">
        <v>59</v>
      </c>
      <c r="D55" s="5" t="s">
        <v>53</v>
      </c>
      <c r="E55" s="6" t="n">
        <v>1368533.04</v>
      </c>
      <c r="F55" s="6" t="n">
        <v>1368533.04</v>
      </c>
      <c r="G55" s="10" t="n">
        <f aca="false">E55-F55</f>
        <v>0</v>
      </c>
      <c r="H55" s="9" t="n">
        <f aca="false">G55/E55</f>
        <v>0</v>
      </c>
      <c r="I55" s="10" t="n">
        <f aca="false">H55*Desenho_MUS!$B$12</f>
        <v>0</v>
      </c>
      <c r="J55" s="5" t="s">
        <v>50</v>
      </c>
    </row>
    <row r="56" customFormat="false" ht="15" hidden="false" customHeight="false" outlineLevel="0" collapsed="false">
      <c r="A56" s="5" t="n">
        <v>52</v>
      </c>
      <c r="B56" s="5" t="s">
        <v>107</v>
      </c>
      <c r="C56" s="5" t="s">
        <v>52</v>
      </c>
      <c r="D56" s="5" t="s">
        <v>53</v>
      </c>
      <c r="E56" s="6" t="n">
        <v>1012172.69</v>
      </c>
      <c r="F56" s="6" t="n">
        <v>1012172.69</v>
      </c>
      <c r="G56" s="10" t="n">
        <f aca="false">E56-F56</f>
        <v>0</v>
      </c>
      <c r="H56" s="9" t="n">
        <f aca="false">G56/E56</f>
        <v>0</v>
      </c>
      <c r="I56" s="10" t="n">
        <f aca="false">H56*Desenho_MUS!$B$12</f>
        <v>0</v>
      </c>
      <c r="J56" s="5" t="s">
        <v>50</v>
      </c>
    </row>
    <row r="57" customFormat="false" ht="15" hidden="false" customHeight="false" outlineLevel="0" collapsed="false">
      <c r="A57" s="5" t="n">
        <v>53</v>
      </c>
      <c r="B57" s="5" t="s">
        <v>108</v>
      </c>
      <c r="C57" s="5" t="s">
        <v>56</v>
      </c>
      <c r="D57" s="5" t="s">
        <v>53</v>
      </c>
      <c r="E57" s="6" t="n">
        <v>492952.11</v>
      </c>
      <c r="F57" s="6" t="n">
        <v>492952.11</v>
      </c>
      <c r="G57" s="10" t="n">
        <f aca="false">E57-F57</f>
        <v>0</v>
      </c>
      <c r="H57" s="9" t="n">
        <f aca="false">G57/E57</f>
        <v>0</v>
      </c>
      <c r="I57" s="10" t="n">
        <f aca="false">H57*Desenho_MUS!$B$12</f>
        <v>0</v>
      </c>
      <c r="J57" s="5" t="s">
        <v>50</v>
      </c>
    </row>
    <row r="58" customFormat="false" ht="15" hidden="false" customHeight="false" outlineLevel="0" collapsed="false">
      <c r="A58" s="5" t="n">
        <v>54</v>
      </c>
      <c r="B58" s="5" t="s">
        <v>109</v>
      </c>
      <c r="C58" s="5" t="s">
        <v>59</v>
      </c>
      <c r="D58" s="5" t="s">
        <v>49</v>
      </c>
      <c r="E58" s="6" t="n">
        <v>123508.07</v>
      </c>
      <c r="F58" s="6" t="n">
        <v>123508.07</v>
      </c>
      <c r="G58" s="10" t="n">
        <f aca="false">E58-F58</f>
        <v>0</v>
      </c>
      <c r="H58" s="9" t="n">
        <f aca="false">G58/E58</f>
        <v>0</v>
      </c>
      <c r="I58" s="10" t="n">
        <f aca="false">H58*Desenho_MUS!$B$12</f>
        <v>0</v>
      </c>
      <c r="J58" s="5" t="s">
        <v>50</v>
      </c>
    </row>
    <row r="59" customFormat="false" ht="15" hidden="false" customHeight="false" outlineLevel="0" collapsed="false">
      <c r="A59" s="5" t="n">
        <v>55</v>
      </c>
      <c r="B59" s="5" t="s">
        <v>110</v>
      </c>
      <c r="C59" s="5" t="s">
        <v>56</v>
      </c>
      <c r="D59" s="5" t="s">
        <v>49</v>
      </c>
      <c r="E59" s="6" t="n">
        <v>16289.9</v>
      </c>
      <c r="F59" s="6" t="n">
        <v>16289.9</v>
      </c>
      <c r="G59" s="10" t="n">
        <f aca="false">E59-F59</f>
        <v>0</v>
      </c>
      <c r="H59" s="9" t="n">
        <f aca="false">G59/E59</f>
        <v>0</v>
      </c>
      <c r="I59" s="10" t="n">
        <f aca="false">H59*Desenho_MUS!$B$12</f>
        <v>0</v>
      </c>
      <c r="J59" s="5" t="s">
        <v>50</v>
      </c>
    </row>
    <row r="60" customFormat="false" ht="15" hidden="false" customHeight="false" outlineLevel="0" collapsed="false">
      <c r="A60" s="5" t="n">
        <v>56</v>
      </c>
      <c r="B60" s="5" t="s">
        <v>111</v>
      </c>
      <c r="C60" s="5" t="s">
        <v>59</v>
      </c>
      <c r="D60" s="5" t="s">
        <v>49</v>
      </c>
      <c r="E60" s="6" t="n">
        <v>237237.17</v>
      </c>
      <c r="F60" s="6" t="n">
        <v>237237.17</v>
      </c>
      <c r="G60" s="10" t="n">
        <f aca="false">E60-F60</f>
        <v>0</v>
      </c>
      <c r="H60" s="9" t="n">
        <f aca="false">G60/E60</f>
        <v>0</v>
      </c>
      <c r="I60" s="10" t="n">
        <f aca="false">H60*Desenho_MUS!$B$12</f>
        <v>0</v>
      </c>
      <c r="J60" s="5" t="s">
        <v>50</v>
      </c>
    </row>
    <row r="61" customFormat="false" ht="15" hidden="false" customHeight="false" outlineLevel="0" collapsed="false">
      <c r="A61" s="5" t="n">
        <v>57</v>
      </c>
      <c r="B61" s="5" t="s">
        <v>112</v>
      </c>
      <c r="C61" s="5" t="s">
        <v>52</v>
      </c>
      <c r="D61" s="5" t="s">
        <v>49</v>
      </c>
      <c r="E61" s="6" t="n">
        <v>106674.35</v>
      </c>
      <c r="F61" s="6" t="n">
        <v>106674.35</v>
      </c>
      <c r="G61" s="10" t="n">
        <f aca="false">E61-F61</f>
        <v>0</v>
      </c>
      <c r="H61" s="9" t="n">
        <f aca="false">G61/E61</f>
        <v>0</v>
      </c>
      <c r="I61" s="10" t="n">
        <f aca="false">H61*Desenho_MUS!$B$12</f>
        <v>0</v>
      </c>
      <c r="J61" s="5" t="s">
        <v>50</v>
      </c>
    </row>
    <row r="62" customFormat="false" ht="15" hidden="false" customHeight="false" outlineLevel="0" collapsed="false">
      <c r="A62" s="5" t="n">
        <v>58</v>
      </c>
      <c r="B62" s="5" t="s">
        <v>113</v>
      </c>
      <c r="C62" s="5" t="s">
        <v>59</v>
      </c>
      <c r="D62" s="5" t="s">
        <v>53</v>
      </c>
      <c r="E62" s="6" t="n">
        <v>2670526.36</v>
      </c>
      <c r="F62" s="6" t="n">
        <v>2670526.36</v>
      </c>
      <c r="G62" s="10" t="n">
        <f aca="false">E62-F62</f>
        <v>0</v>
      </c>
      <c r="H62" s="9" t="n">
        <f aca="false">G62/E62</f>
        <v>0</v>
      </c>
      <c r="I62" s="10" t="n">
        <f aca="false">H62*Desenho_MUS!$B$12</f>
        <v>0</v>
      </c>
      <c r="J62" s="5" t="s">
        <v>50</v>
      </c>
    </row>
    <row r="63" customFormat="false" ht="15" hidden="false" customHeight="false" outlineLevel="0" collapsed="false">
      <c r="A63" s="5" t="n">
        <v>59</v>
      </c>
      <c r="B63" s="5" t="s">
        <v>114</v>
      </c>
      <c r="C63" s="5" t="s">
        <v>59</v>
      </c>
      <c r="D63" s="5" t="s">
        <v>99</v>
      </c>
      <c r="E63" s="6" t="n">
        <v>24498.84</v>
      </c>
      <c r="F63" s="6" t="n">
        <v>24498.84</v>
      </c>
      <c r="G63" s="10" t="n">
        <f aca="false">E63-F63</f>
        <v>0</v>
      </c>
      <c r="H63" s="9" t="n">
        <f aca="false">G63/E63</f>
        <v>0</v>
      </c>
      <c r="I63" s="10" t="n">
        <f aca="false">H63*Desenho_MUS!$B$12</f>
        <v>0</v>
      </c>
      <c r="J63" s="5" t="s">
        <v>50</v>
      </c>
    </row>
    <row r="64" customFormat="false" ht="15" hidden="false" customHeight="false" outlineLevel="0" collapsed="false">
      <c r="A64" s="5" t="n">
        <v>60</v>
      </c>
      <c r="B64" s="5" t="s">
        <v>115</v>
      </c>
      <c r="C64" s="5" t="s">
        <v>52</v>
      </c>
      <c r="D64" s="5" t="s">
        <v>53</v>
      </c>
      <c r="E64" s="6" t="n">
        <v>595306.08</v>
      </c>
      <c r="F64" s="6" t="n">
        <v>595306.08</v>
      </c>
      <c r="G64" s="10" t="n">
        <f aca="false">E64-F64</f>
        <v>0</v>
      </c>
      <c r="H64" s="9" t="n">
        <f aca="false">G64/E64</f>
        <v>0</v>
      </c>
      <c r="I64" s="10" t="n">
        <f aca="false">H64*Desenho_MUS!$B$12</f>
        <v>0</v>
      </c>
      <c r="J64" s="5" t="s">
        <v>50</v>
      </c>
    </row>
    <row r="65" customFormat="false" ht="15" hidden="false" customHeight="false" outlineLevel="0" collapsed="false">
      <c r="A65" s="5" t="n">
        <v>61</v>
      </c>
      <c r="B65" s="5" t="s">
        <v>116</v>
      </c>
      <c r="C65" s="5" t="s">
        <v>59</v>
      </c>
      <c r="D65" s="5" t="s">
        <v>117</v>
      </c>
      <c r="E65" s="6" t="n">
        <v>8244.03</v>
      </c>
      <c r="F65" s="6" t="n">
        <v>8244.03</v>
      </c>
      <c r="G65" s="10" t="n">
        <f aca="false">E65-F65</f>
        <v>0</v>
      </c>
      <c r="H65" s="9" t="n">
        <f aca="false">G65/E65</f>
        <v>0</v>
      </c>
      <c r="I65" s="10" t="n">
        <f aca="false">H65*Desenho_MUS!$B$12</f>
        <v>0</v>
      </c>
      <c r="J65" s="5" t="s">
        <v>50</v>
      </c>
    </row>
    <row r="66" customFormat="false" ht="15" hidden="false" customHeight="false" outlineLevel="0" collapsed="false">
      <c r="A66" s="5" t="n">
        <v>62</v>
      </c>
      <c r="B66" s="5" t="s">
        <v>118</v>
      </c>
      <c r="C66" s="5" t="s">
        <v>59</v>
      </c>
      <c r="D66" s="5" t="s">
        <v>61</v>
      </c>
      <c r="E66" s="6" t="n">
        <v>124734.44</v>
      </c>
      <c r="F66" s="6" t="n">
        <v>124734.44</v>
      </c>
      <c r="G66" s="10" t="n">
        <f aca="false">E66-F66</f>
        <v>0</v>
      </c>
      <c r="H66" s="9" t="n">
        <f aca="false">G66/E66</f>
        <v>0</v>
      </c>
      <c r="I66" s="10" t="n">
        <f aca="false">H66*Desenho_MUS!$B$12</f>
        <v>0</v>
      </c>
      <c r="J66" s="5" t="s">
        <v>50</v>
      </c>
    </row>
    <row r="67" customFormat="false" ht="15" hidden="false" customHeight="false" outlineLevel="0" collapsed="false">
      <c r="A67" s="5" t="n">
        <v>63</v>
      </c>
      <c r="B67" s="5" t="s">
        <v>119</v>
      </c>
      <c r="C67" s="5" t="s">
        <v>56</v>
      </c>
      <c r="D67" s="5" t="s">
        <v>53</v>
      </c>
      <c r="E67" s="6" t="n">
        <v>3381646.7</v>
      </c>
      <c r="F67" s="6" t="n">
        <v>3381646.7</v>
      </c>
      <c r="G67" s="10" t="n">
        <f aca="false">E67-F67</f>
        <v>0</v>
      </c>
      <c r="H67" s="9" t="n">
        <f aca="false">G67/E67</f>
        <v>0</v>
      </c>
      <c r="I67" s="10" t="n">
        <f aca="false">H67*Desenho_MUS!$B$12</f>
        <v>0</v>
      </c>
      <c r="J67" s="5" t="s">
        <v>50</v>
      </c>
    </row>
    <row r="68" customFormat="false" ht="15" hidden="false" customHeight="false" outlineLevel="0" collapsed="false">
      <c r="A68" s="5" t="n">
        <v>64</v>
      </c>
      <c r="B68" s="5" t="s">
        <v>120</v>
      </c>
      <c r="C68" s="5" t="s">
        <v>52</v>
      </c>
      <c r="D68" s="5" t="s">
        <v>49</v>
      </c>
      <c r="E68" s="6" t="n">
        <v>187988.63</v>
      </c>
      <c r="F68" s="6" t="n">
        <v>187988.63</v>
      </c>
      <c r="G68" s="10" t="n">
        <f aca="false">E68-F68</f>
        <v>0</v>
      </c>
      <c r="H68" s="9" t="n">
        <f aca="false">G68/E68</f>
        <v>0</v>
      </c>
      <c r="I68" s="10" t="n">
        <f aca="false">H68*Desenho_MUS!$B$12</f>
        <v>0</v>
      </c>
      <c r="J68" s="5" t="s">
        <v>50</v>
      </c>
    </row>
    <row r="69" customFormat="false" ht="15" hidden="false" customHeight="false" outlineLevel="0" collapsed="false">
      <c r="A69" s="5" t="n">
        <v>65</v>
      </c>
      <c r="B69" s="5" t="s">
        <v>121</v>
      </c>
      <c r="C69" s="5" t="s">
        <v>52</v>
      </c>
      <c r="D69" s="5" t="s">
        <v>53</v>
      </c>
      <c r="E69" s="6" t="n">
        <v>2909851.65</v>
      </c>
      <c r="F69" s="6" t="n">
        <v>2909851.65</v>
      </c>
      <c r="G69" s="10" t="n">
        <f aca="false">E69-F69</f>
        <v>0</v>
      </c>
      <c r="H69" s="9" t="n">
        <f aca="false">G69/E69</f>
        <v>0</v>
      </c>
      <c r="I69" s="10" t="n">
        <f aca="false">H69*Desenho_MUS!$B$12</f>
        <v>0</v>
      </c>
      <c r="J69" s="5" t="s">
        <v>50</v>
      </c>
    </row>
    <row r="70" customFormat="false" ht="15" hidden="false" customHeight="false" outlineLevel="0" collapsed="false">
      <c r="A70" s="5" t="n">
        <v>66</v>
      </c>
      <c r="B70" s="5" t="s">
        <v>122</v>
      </c>
      <c r="C70" s="5" t="s">
        <v>56</v>
      </c>
      <c r="D70" s="5" t="s">
        <v>49</v>
      </c>
      <c r="E70" s="6" t="n">
        <v>118718.4</v>
      </c>
      <c r="F70" s="6" t="n">
        <v>118718.4</v>
      </c>
      <c r="G70" s="10" t="n">
        <f aca="false">E70-F70</f>
        <v>0</v>
      </c>
      <c r="H70" s="9" t="n">
        <f aca="false">G70/E70</f>
        <v>0</v>
      </c>
      <c r="I70" s="10" t="n">
        <f aca="false">H70*Desenho_MUS!$B$12</f>
        <v>0</v>
      </c>
      <c r="J70" s="5" t="s">
        <v>50</v>
      </c>
    </row>
    <row r="71" customFormat="false" ht="15" hidden="false" customHeight="false" outlineLevel="0" collapsed="false">
      <c r="A71" s="5" t="n">
        <v>67</v>
      </c>
      <c r="B71" s="5" t="s">
        <v>123</v>
      </c>
      <c r="C71" s="5" t="s">
        <v>59</v>
      </c>
      <c r="D71" s="5" t="s">
        <v>49</v>
      </c>
      <c r="E71" s="6" t="n">
        <v>79217.61</v>
      </c>
      <c r="F71" s="6" t="n">
        <v>79217.61</v>
      </c>
      <c r="G71" s="10" t="n">
        <f aca="false">E71-F71</f>
        <v>0</v>
      </c>
      <c r="H71" s="9" t="n">
        <f aca="false">G71/E71</f>
        <v>0</v>
      </c>
      <c r="I71" s="10" t="n">
        <f aca="false">H71*Desenho_MUS!$B$12</f>
        <v>0</v>
      </c>
      <c r="J71" s="5" t="s">
        <v>50</v>
      </c>
    </row>
    <row r="72" customFormat="false" ht="15" hidden="false" customHeight="false" outlineLevel="0" collapsed="false">
      <c r="A72" s="5" t="n">
        <v>68</v>
      </c>
      <c r="B72" s="5" t="s">
        <v>124</v>
      </c>
      <c r="C72" s="5" t="s">
        <v>52</v>
      </c>
      <c r="D72" s="5" t="s">
        <v>53</v>
      </c>
      <c r="E72" s="6" t="n">
        <v>395443.12</v>
      </c>
      <c r="F72" s="6" t="n">
        <v>395443.12</v>
      </c>
      <c r="G72" s="10" t="n">
        <f aca="false">E72-F72</f>
        <v>0</v>
      </c>
      <c r="H72" s="9" t="n">
        <f aca="false">G72/E72</f>
        <v>0</v>
      </c>
      <c r="I72" s="10" t="n">
        <f aca="false">H72*Desenho_MUS!$B$12</f>
        <v>0</v>
      </c>
      <c r="J72" s="5" t="s">
        <v>50</v>
      </c>
    </row>
    <row r="73" customFormat="false" ht="15" hidden="false" customHeight="false" outlineLevel="0" collapsed="false">
      <c r="A73" s="5" t="n">
        <v>69</v>
      </c>
      <c r="B73" s="5" t="s">
        <v>125</v>
      </c>
      <c r="C73" s="5" t="s">
        <v>56</v>
      </c>
      <c r="D73" s="5" t="s">
        <v>49</v>
      </c>
      <c r="E73" s="6" t="n">
        <v>182397.26</v>
      </c>
      <c r="F73" s="6" t="n">
        <v>182397.26</v>
      </c>
      <c r="G73" s="10" t="n">
        <f aca="false">E73-F73</f>
        <v>0</v>
      </c>
      <c r="H73" s="9" t="n">
        <f aca="false">G73/E73</f>
        <v>0</v>
      </c>
      <c r="I73" s="10" t="n">
        <f aca="false">H73*Desenho_MUS!$B$12</f>
        <v>0</v>
      </c>
      <c r="J73" s="5" t="s">
        <v>50</v>
      </c>
    </row>
    <row r="74" customFormat="false" ht="15" hidden="false" customHeight="false" outlineLevel="0" collapsed="false">
      <c r="A74" s="5" t="n">
        <v>70</v>
      </c>
      <c r="B74" s="5" t="s">
        <v>126</v>
      </c>
      <c r="C74" s="5" t="s">
        <v>59</v>
      </c>
      <c r="D74" s="5" t="s">
        <v>53</v>
      </c>
      <c r="E74" s="6" t="n">
        <v>87765.3</v>
      </c>
      <c r="F74" s="6" t="n">
        <v>87765.3</v>
      </c>
      <c r="G74" s="10" t="n">
        <f aca="false">E74-F74</f>
        <v>0</v>
      </c>
      <c r="H74" s="9" t="n">
        <f aca="false">G74/E74</f>
        <v>0</v>
      </c>
      <c r="I74" s="10" t="n">
        <f aca="false">H74*Desenho_MUS!$B$12</f>
        <v>0</v>
      </c>
      <c r="J74" s="5" t="s">
        <v>50</v>
      </c>
    </row>
    <row r="75" customFormat="false" ht="15" hidden="false" customHeight="false" outlineLevel="0" collapsed="false">
      <c r="A75" s="5" t="n">
        <v>71</v>
      </c>
      <c r="B75" s="5" t="s">
        <v>127</v>
      </c>
      <c r="C75" s="5" t="s">
        <v>59</v>
      </c>
      <c r="D75" s="5" t="s">
        <v>99</v>
      </c>
      <c r="E75" s="6" t="n">
        <v>42003.11</v>
      </c>
      <c r="F75" s="6" t="n">
        <v>42003.11</v>
      </c>
      <c r="G75" s="10" t="n">
        <f aca="false">E75-F75</f>
        <v>0</v>
      </c>
      <c r="H75" s="9" t="n">
        <f aca="false">G75/E75</f>
        <v>0</v>
      </c>
      <c r="I75" s="10" t="n">
        <f aca="false">H75*Desenho_MUS!$B$12</f>
        <v>0</v>
      </c>
      <c r="J75" s="5" t="s">
        <v>50</v>
      </c>
    </row>
    <row r="76" customFormat="false" ht="15" hidden="false" customHeight="false" outlineLevel="0" collapsed="false">
      <c r="A76" s="5" t="n">
        <v>72</v>
      </c>
      <c r="B76" s="5" t="s">
        <v>128</v>
      </c>
      <c r="C76" s="5" t="s">
        <v>59</v>
      </c>
      <c r="D76" s="5" t="s">
        <v>53</v>
      </c>
      <c r="E76" s="6" t="n">
        <v>475071.32</v>
      </c>
      <c r="F76" s="6" t="n">
        <v>475071.32</v>
      </c>
      <c r="G76" s="10" t="n">
        <f aca="false">E76-F76</f>
        <v>0</v>
      </c>
      <c r="H76" s="9" t="n">
        <f aca="false">G76/E76</f>
        <v>0</v>
      </c>
      <c r="I76" s="10" t="n">
        <f aca="false">H76*Desenho_MUS!$B$12</f>
        <v>0</v>
      </c>
      <c r="J76" s="5" t="s">
        <v>50</v>
      </c>
    </row>
    <row r="77" customFormat="false" ht="15" hidden="false" customHeight="false" outlineLevel="0" collapsed="false">
      <c r="A77" s="5" t="n">
        <v>73</v>
      </c>
      <c r="B77" s="5" t="s">
        <v>129</v>
      </c>
      <c r="C77" s="5" t="s">
        <v>59</v>
      </c>
      <c r="D77" s="5" t="s">
        <v>61</v>
      </c>
      <c r="E77" s="6" t="n">
        <v>45384.84</v>
      </c>
      <c r="F77" s="6" t="n">
        <v>45384.84</v>
      </c>
      <c r="G77" s="10" t="n">
        <f aca="false">E77-F77</f>
        <v>0</v>
      </c>
      <c r="H77" s="9" t="n">
        <f aca="false">G77/E77</f>
        <v>0</v>
      </c>
      <c r="I77" s="10" t="n">
        <f aca="false">H77*Desenho_MUS!$B$12</f>
        <v>0</v>
      </c>
      <c r="J77" s="5" t="s">
        <v>50</v>
      </c>
    </row>
    <row r="78" customFormat="false" ht="15" hidden="false" customHeight="false" outlineLevel="0" collapsed="false">
      <c r="A78" s="5" t="n">
        <v>74</v>
      </c>
      <c r="B78" s="5" t="s">
        <v>130</v>
      </c>
      <c r="C78" s="5" t="s">
        <v>52</v>
      </c>
      <c r="D78" s="5" t="s">
        <v>61</v>
      </c>
      <c r="E78" s="6" t="n">
        <v>24615.29</v>
      </c>
      <c r="F78" s="6" t="n">
        <v>24615.29</v>
      </c>
      <c r="G78" s="10" t="n">
        <f aca="false">E78-F78</f>
        <v>0</v>
      </c>
      <c r="H78" s="9" t="n">
        <f aca="false">G78/E78</f>
        <v>0</v>
      </c>
      <c r="I78" s="10" t="n">
        <f aca="false">H78*Desenho_MUS!$B$12</f>
        <v>0</v>
      </c>
      <c r="J78" s="5" t="s">
        <v>50</v>
      </c>
    </row>
    <row r="79" customFormat="false" ht="15" hidden="false" customHeight="false" outlineLevel="0" collapsed="false">
      <c r="A79" s="5" t="n">
        <v>75</v>
      </c>
      <c r="B79" s="5" t="s">
        <v>131</v>
      </c>
      <c r="C79" s="5" t="s">
        <v>48</v>
      </c>
      <c r="D79" s="5" t="s">
        <v>61</v>
      </c>
      <c r="E79" s="6" t="n">
        <v>60769.78</v>
      </c>
      <c r="F79" s="6" t="n">
        <v>60769.78</v>
      </c>
      <c r="G79" s="10" t="n">
        <f aca="false">E79-F79</f>
        <v>0</v>
      </c>
      <c r="H79" s="9" t="n">
        <f aca="false">G79/E79</f>
        <v>0</v>
      </c>
      <c r="I79" s="10" t="n">
        <f aca="false">H79*Desenho_MUS!$B$12</f>
        <v>0</v>
      </c>
      <c r="J79" s="5" t="s">
        <v>50</v>
      </c>
    </row>
    <row r="80" customFormat="false" ht="15" hidden="false" customHeight="false" outlineLevel="0" collapsed="false">
      <c r="A80" s="5" t="n">
        <v>76</v>
      </c>
      <c r="B80" s="5" t="s">
        <v>132</v>
      </c>
      <c r="C80" s="5" t="s">
        <v>52</v>
      </c>
      <c r="D80" s="5" t="s">
        <v>53</v>
      </c>
      <c r="E80" s="6" t="n">
        <v>2566969.2</v>
      </c>
      <c r="F80" s="6" t="n">
        <v>2566969.2</v>
      </c>
      <c r="G80" s="10" t="n">
        <f aca="false">E80-F80</f>
        <v>0</v>
      </c>
      <c r="H80" s="9" t="n">
        <f aca="false">G80/E80</f>
        <v>0</v>
      </c>
      <c r="I80" s="10" t="n">
        <f aca="false">H80*Desenho_MUS!$B$12</f>
        <v>0</v>
      </c>
      <c r="J80" s="5" t="s">
        <v>50</v>
      </c>
    </row>
    <row r="81" customFormat="false" ht="15" hidden="false" customHeight="false" outlineLevel="0" collapsed="false">
      <c r="A81" s="5" t="n">
        <v>77</v>
      </c>
      <c r="B81" s="5" t="s">
        <v>133</v>
      </c>
      <c r="C81" s="5" t="s">
        <v>52</v>
      </c>
      <c r="D81" s="5" t="s">
        <v>53</v>
      </c>
      <c r="E81" s="6" t="n">
        <v>1095908.91</v>
      </c>
      <c r="F81" s="6" t="n">
        <v>1095908.91</v>
      </c>
      <c r="G81" s="10" t="n">
        <f aca="false">E81-F81</f>
        <v>0</v>
      </c>
      <c r="H81" s="9" t="n">
        <f aca="false">G81/E81</f>
        <v>0</v>
      </c>
      <c r="I81" s="10" t="n">
        <f aca="false">H81*Desenho_MUS!$B$12</f>
        <v>0</v>
      </c>
      <c r="J81" s="5" t="s">
        <v>50</v>
      </c>
    </row>
    <row r="82" customFormat="false" ht="15" hidden="false" customHeight="false" outlineLevel="0" collapsed="false">
      <c r="A82" s="5" t="n">
        <v>78</v>
      </c>
      <c r="B82" s="5" t="s">
        <v>134</v>
      </c>
      <c r="C82" s="5" t="s">
        <v>59</v>
      </c>
      <c r="D82" s="5" t="s">
        <v>53</v>
      </c>
      <c r="E82" s="6" t="n">
        <v>757519.51</v>
      </c>
      <c r="F82" s="6" t="n">
        <v>757519.51</v>
      </c>
      <c r="G82" s="10" t="n">
        <f aca="false">E82-F82</f>
        <v>0</v>
      </c>
      <c r="H82" s="9" t="n">
        <f aca="false">G82/E82</f>
        <v>0</v>
      </c>
      <c r="I82" s="10" t="n">
        <f aca="false">H82*Desenho_MUS!$B$12</f>
        <v>0</v>
      </c>
      <c r="J82" s="5" t="s">
        <v>50</v>
      </c>
    </row>
    <row r="83" customFormat="false" ht="15" hidden="false" customHeight="false" outlineLevel="0" collapsed="false">
      <c r="A83" s="5" t="n">
        <v>79</v>
      </c>
      <c r="B83" s="5" t="s">
        <v>135</v>
      </c>
      <c r="C83" s="5" t="s">
        <v>48</v>
      </c>
      <c r="D83" s="5" t="s">
        <v>53</v>
      </c>
      <c r="E83" s="6" t="n">
        <v>1582976.55</v>
      </c>
      <c r="F83" s="6" t="n">
        <v>1582976.55</v>
      </c>
      <c r="G83" s="10" t="n">
        <f aca="false">E83-F83</f>
        <v>0</v>
      </c>
      <c r="H83" s="9" t="n">
        <f aca="false">G83/E83</f>
        <v>0</v>
      </c>
      <c r="I83" s="10" t="n">
        <f aca="false">H83*Desenho_MUS!$B$12</f>
        <v>0</v>
      </c>
      <c r="J83" s="5" t="s">
        <v>50</v>
      </c>
    </row>
    <row r="84" customFormat="false" ht="15" hidden="false" customHeight="false" outlineLevel="0" collapsed="false">
      <c r="A84" s="5" t="n">
        <v>80</v>
      </c>
      <c r="B84" s="5" t="s">
        <v>136</v>
      </c>
      <c r="C84" s="5" t="s">
        <v>52</v>
      </c>
      <c r="D84" s="5" t="s">
        <v>53</v>
      </c>
      <c r="E84" s="6" t="n">
        <v>3335230.86</v>
      </c>
      <c r="F84" s="6" t="n">
        <v>3335230.86</v>
      </c>
      <c r="G84" s="10" t="n">
        <f aca="false">E84-F84</f>
        <v>0</v>
      </c>
      <c r="H84" s="9" t="n">
        <f aca="false">G84/E84</f>
        <v>0</v>
      </c>
      <c r="I84" s="10" t="n">
        <f aca="false">H84*Desenho_MUS!$B$12</f>
        <v>0</v>
      </c>
      <c r="J84" s="5" t="s">
        <v>50</v>
      </c>
    </row>
    <row r="85" customFormat="false" ht="15" hidden="false" customHeight="false" outlineLevel="0" collapsed="false">
      <c r="A85" s="5" t="n">
        <v>81</v>
      </c>
      <c r="B85" s="5" t="s">
        <v>137</v>
      </c>
      <c r="C85" s="5" t="s">
        <v>52</v>
      </c>
      <c r="D85" s="5" t="s">
        <v>61</v>
      </c>
      <c r="E85" s="6" t="n">
        <v>32608.14</v>
      </c>
      <c r="F85" s="6" t="n">
        <v>32608.14</v>
      </c>
      <c r="G85" s="10" t="n">
        <f aca="false">E85-F85</f>
        <v>0</v>
      </c>
      <c r="H85" s="9" t="n">
        <f aca="false">G85/E85</f>
        <v>0</v>
      </c>
      <c r="I85" s="10" t="n">
        <f aca="false">H85*Desenho_MUS!$B$12</f>
        <v>0</v>
      </c>
      <c r="J85" s="5" t="s">
        <v>50</v>
      </c>
    </row>
    <row r="86" customFormat="false" ht="15" hidden="false" customHeight="false" outlineLevel="0" collapsed="false">
      <c r="A86" s="5" t="n">
        <v>82</v>
      </c>
      <c r="B86" s="5" t="s">
        <v>138</v>
      </c>
      <c r="C86" s="5" t="s">
        <v>59</v>
      </c>
      <c r="D86" s="5" t="s">
        <v>49</v>
      </c>
      <c r="E86" s="6" t="n">
        <v>99457.92</v>
      </c>
      <c r="F86" s="6" t="n">
        <v>99457.92</v>
      </c>
      <c r="G86" s="10" t="n">
        <f aca="false">E86-F86</f>
        <v>0</v>
      </c>
      <c r="H86" s="9" t="n">
        <f aca="false">G86/E86</f>
        <v>0</v>
      </c>
      <c r="I86" s="10" t="n">
        <f aca="false">H86*Desenho_MUS!$B$12</f>
        <v>0</v>
      </c>
      <c r="J86" s="5" t="s">
        <v>50</v>
      </c>
    </row>
    <row r="87" customFormat="false" ht="15" hidden="false" customHeight="false" outlineLevel="0" collapsed="false">
      <c r="A87" s="5" t="n">
        <v>83</v>
      </c>
      <c r="B87" s="5" t="s">
        <v>139</v>
      </c>
      <c r="C87" s="5" t="s">
        <v>52</v>
      </c>
      <c r="D87" s="5" t="s">
        <v>53</v>
      </c>
      <c r="E87" s="6" t="n">
        <v>1956557.15</v>
      </c>
      <c r="F87" s="6" t="n">
        <v>1956557.15</v>
      </c>
      <c r="G87" s="10" t="n">
        <f aca="false">E87-F87</f>
        <v>0</v>
      </c>
      <c r="H87" s="9" t="n">
        <f aca="false">G87/E87</f>
        <v>0</v>
      </c>
      <c r="I87" s="10" t="n">
        <f aca="false">H87*Desenho_MUS!$B$12</f>
        <v>0</v>
      </c>
      <c r="J87" s="5" t="s">
        <v>50</v>
      </c>
    </row>
    <row r="88" customFormat="false" ht="15" hidden="false" customHeight="false" outlineLevel="0" collapsed="false">
      <c r="A88" s="5" t="n">
        <v>84</v>
      </c>
      <c r="B88" s="5" t="s">
        <v>140</v>
      </c>
      <c r="C88" s="5" t="s">
        <v>56</v>
      </c>
      <c r="D88" s="5" t="s">
        <v>53</v>
      </c>
      <c r="E88" s="6" t="n">
        <v>750668.03</v>
      </c>
      <c r="F88" s="6" t="n">
        <v>750668.03</v>
      </c>
      <c r="G88" s="10" t="n">
        <f aca="false">E88-F88</f>
        <v>0</v>
      </c>
      <c r="H88" s="9" t="n">
        <f aca="false">G88/E88</f>
        <v>0</v>
      </c>
      <c r="I88" s="10" t="n">
        <f aca="false">H88*Desenho_MUS!$B$12</f>
        <v>0</v>
      </c>
      <c r="J88" s="5" t="s">
        <v>50</v>
      </c>
    </row>
    <row r="89" customFormat="false" ht="15" hidden="false" customHeight="false" outlineLevel="0" collapsed="false">
      <c r="A89" s="5" t="n">
        <v>85</v>
      </c>
      <c r="B89" s="5" t="s">
        <v>141</v>
      </c>
      <c r="C89" s="5" t="s">
        <v>52</v>
      </c>
      <c r="D89" s="5" t="s">
        <v>53</v>
      </c>
      <c r="E89" s="6" t="n">
        <v>2668299.5</v>
      </c>
      <c r="F89" s="6" t="n">
        <v>2668299.5</v>
      </c>
      <c r="G89" s="10" t="n">
        <f aca="false">E89-F89</f>
        <v>0</v>
      </c>
      <c r="H89" s="9" t="n">
        <f aca="false">G89/E89</f>
        <v>0</v>
      </c>
      <c r="I89" s="10" t="n">
        <f aca="false">H89*Desenho_MUS!$B$12</f>
        <v>0</v>
      </c>
      <c r="J89" s="5" t="s">
        <v>50</v>
      </c>
    </row>
    <row r="90" customFormat="false" ht="15" hidden="false" customHeight="false" outlineLevel="0" collapsed="false">
      <c r="A90" s="5" t="n">
        <v>86</v>
      </c>
      <c r="B90" s="5" t="s">
        <v>142</v>
      </c>
      <c r="C90" s="5" t="s">
        <v>59</v>
      </c>
      <c r="D90" s="5" t="s">
        <v>53</v>
      </c>
      <c r="E90" s="6" t="n">
        <v>627127.62</v>
      </c>
      <c r="F90" s="6" t="n">
        <v>627127.62</v>
      </c>
      <c r="G90" s="10" t="n">
        <f aca="false">E90-F90</f>
        <v>0</v>
      </c>
      <c r="H90" s="9" t="n">
        <f aca="false">G90/E90</f>
        <v>0</v>
      </c>
      <c r="I90" s="10" t="n">
        <f aca="false">H90*Desenho_MUS!$B$12</f>
        <v>0</v>
      </c>
      <c r="J90" s="5" t="s">
        <v>50</v>
      </c>
    </row>
    <row r="91" customFormat="false" ht="15" hidden="false" customHeight="false" outlineLevel="0" collapsed="false">
      <c r="A91" s="5" t="n">
        <v>87</v>
      </c>
      <c r="B91" s="5" t="s">
        <v>143</v>
      </c>
      <c r="C91" s="5" t="s">
        <v>52</v>
      </c>
      <c r="D91" s="5" t="s">
        <v>99</v>
      </c>
      <c r="E91" s="6" t="n">
        <v>38670.97</v>
      </c>
      <c r="F91" s="6" t="n">
        <v>38670.97</v>
      </c>
      <c r="G91" s="10" t="n">
        <f aca="false">E91-F91</f>
        <v>0</v>
      </c>
      <c r="H91" s="9" t="n">
        <f aca="false">G91/E91</f>
        <v>0</v>
      </c>
      <c r="I91" s="10" t="n">
        <f aca="false">H91*Desenho_MUS!$B$12</f>
        <v>0</v>
      </c>
      <c r="J91" s="5" t="s">
        <v>50</v>
      </c>
    </row>
    <row r="92" customFormat="false" ht="15" hidden="false" customHeight="false" outlineLevel="0" collapsed="false">
      <c r="A92" s="5" t="n">
        <v>88</v>
      </c>
      <c r="B92" s="5" t="s">
        <v>144</v>
      </c>
      <c r="C92" s="5" t="s">
        <v>59</v>
      </c>
      <c r="D92" s="5" t="s">
        <v>61</v>
      </c>
      <c r="E92" s="6" t="n">
        <v>55123.18</v>
      </c>
      <c r="F92" s="6" t="n">
        <v>55123.18</v>
      </c>
      <c r="G92" s="10" t="n">
        <f aca="false">E92-F92</f>
        <v>0</v>
      </c>
      <c r="H92" s="9" t="n">
        <f aca="false">G92/E92</f>
        <v>0</v>
      </c>
      <c r="I92" s="10" t="n">
        <f aca="false">H92*Desenho_MUS!$B$12</f>
        <v>0</v>
      </c>
      <c r="J92" s="5" t="s">
        <v>50</v>
      </c>
    </row>
    <row r="93" customFormat="false" ht="15" hidden="false" customHeight="false" outlineLevel="0" collapsed="false">
      <c r="A93" s="5" t="n">
        <v>89</v>
      </c>
      <c r="B93" s="5" t="s">
        <v>145</v>
      </c>
      <c r="C93" s="5" t="s">
        <v>59</v>
      </c>
      <c r="D93" s="5" t="s">
        <v>61</v>
      </c>
      <c r="E93" s="6" t="n">
        <v>85432</v>
      </c>
      <c r="F93" s="6" t="n">
        <v>85432</v>
      </c>
      <c r="G93" s="10" t="n">
        <f aca="false">E93-F93</f>
        <v>0</v>
      </c>
      <c r="H93" s="9" t="n">
        <f aca="false">G93/E93</f>
        <v>0</v>
      </c>
      <c r="I93" s="10" t="n">
        <f aca="false">H93*Desenho_MUS!$B$12</f>
        <v>0</v>
      </c>
      <c r="J93" s="5" t="s">
        <v>50</v>
      </c>
    </row>
    <row r="94" customFormat="false" ht="15" hidden="false" customHeight="false" outlineLevel="0" collapsed="false">
      <c r="A94" s="5" t="n">
        <v>90</v>
      </c>
      <c r="B94" s="5" t="s">
        <v>146</v>
      </c>
      <c r="C94" s="5" t="s">
        <v>52</v>
      </c>
      <c r="D94" s="5" t="s">
        <v>53</v>
      </c>
      <c r="E94" s="6" t="n">
        <v>2135622.94</v>
      </c>
      <c r="F94" s="6" t="n">
        <v>2135622.94</v>
      </c>
      <c r="G94" s="10" t="n">
        <f aca="false">E94-F94</f>
        <v>0</v>
      </c>
      <c r="H94" s="9" t="n">
        <f aca="false">G94/E94</f>
        <v>0</v>
      </c>
      <c r="I94" s="10" t="n">
        <f aca="false">H94*Desenho_MUS!$B$12</f>
        <v>0</v>
      </c>
      <c r="J94" s="5" t="s">
        <v>50</v>
      </c>
    </row>
    <row r="95" customFormat="false" ht="15" hidden="false" customHeight="false" outlineLevel="0" collapsed="false">
      <c r="A95" s="5" t="n">
        <v>91</v>
      </c>
      <c r="B95" s="5" t="s">
        <v>147</v>
      </c>
      <c r="C95" s="5" t="s">
        <v>52</v>
      </c>
      <c r="D95" s="5" t="s">
        <v>117</v>
      </c>
      <c r="E95" s="6" t="n">
        <v>12539.45</v>
      </c>
      <c r="F95" s="6" t="n">
        <v>12539.45</v>
      </c>
      <c r="G95" s="10" t="n">
        <f aca="false">E95-F95</f>
        <v>0</v>
      </c>
      <c r="H95" s="9" t="n">
        <f aca="false">G95/E95</f>
        <v>0</v>
      </c>
      <c r="I95" s="10" t="n">
        <f aca="false">H95*Desenho_MUS!$B$12</f>
        <v>0</v>
      </c>
      <c r="J95" s="5" t="s">
        <v>50</v>
      </c>
    </row>
    <row r="96" customFormat="false" ht="15" hidden="false" customHeight="false" outlineLevel="0" collapsed="false">
      <c r="A96" s="5" t="n">
        <v>92</v>
      </c>
      <c r="B96" s="5" t="s">
        <v>148</v>
      </c>
      <c r="C96" s="5" t="s">
        <v>56</v>
      </c>
      <c r="D96" s="5" t="s">
        <v>49</v>
      </c>
      <c r="E96" s="6" t="n">
        <v>86263.89</v>
      </c>
      <c r="F96" s="6" t="n">
        <v>86263.89</v>
      </c>
      <c r="G96" s="10" t="n">
        <f aca="false">E96-F96</f>
        <v>0</v>
      </c>
      <c r="H96" s="9" t="n">
        <f aca="false">G96/E96</f>
        <v>0</v>
      </c>
      <c r="I96" s="10" t="n">
        <f aca="false">H96*Desenho_MUS!$B$12</f>
        <v>0</v>
      </c>
      <c r="J96" s="5" t="s">
        <v>50</v>
      </c>
    </row>
    <row r="97" customFormat="false" ht="15" hidden="false" customHeight="false" outlineLevel="0" collapsed="false">
      <c r="A97" s="5" t="n">
        <v>93</v>
      </c>
      <c r="B97" s="5" t="s">
        <v>149</v>
      </c>
      <c r="C97" s="5" t="s">
        <v>59</v>
      </c>
      <c r="D97" s="5" t="s">
        <v>53</v>
      </c>
      <c r="E97" s="6" t="n">
        <v>505465.12</v>
      </c>
      <c r="F97" s="6" t="n">
        <v>0</v>
      </c>
      <c r="G97" s="10" t="n">
        <f aca="false">E97-F97</f>
        <v>505465.12</v>
      </c>
      <c r="H97" s="9" t="n">
        <f aca="false">G97/E97</f>
        <v>1</v>
      </c>
      <c r="I97" s="10" t="n">
        <f aca="false">H97*Desenho_MUS!$B$12</f>
        <v>76944464.9350649</v>
      </c>
      <c r="J97" s="5" t="s">
        <v>150</v>
      </c>
    </row>
    <row r="98" customFormat="false" ht="15" hidden="false" customHeight="false" outlineLevel="0" collapsed="false">
      <c r="A98" s="5" t="n">
        <v>94</v>
      </c>
      <c r="B98" s="5" t="s">
        <v>151</v>
      </c>
      <c r="C98" s="5" t="s">
        <v>59</v>
      </c>
      <c r="D98" s="5" t="s">
        <v>61</v>
      </c>
      <c r="E98" s="6" t="n">
        <v>99772.42</v>
      </c>
      <c r="F98" s="6" t="n">
        <v>99772.42</v>
      </c>
      <c r="G98" s="10" t="n">
        <f aca="false">E98-F98</f>
        <v>0</v>
      </c>
      <c r="H98" s="9" t="n">
        <f aca="false">G98/E98</f>
        <v>0</v>
      </c>
      <c r="I98" s="10" t="n">
        <f aca="false">H98*Desenho_MUS!$B$12</f>
        <v>0</v>
      </c>
      <c r="J98" s="5" t="s">
        <v>50</v>
      </c>
    </row>
    <row r="99" customFormat="false" ht="15" hidden="false" customHeight="false" outlineLevel="0" collapsed="false">
      <c r="A99" s="5" t="n">
        <v>95</v>
      </c>
      <c r="B99" s="5" t="s">
        <v>152</v>
      </c>
      <c r="C99" s="5" t="s">
        <v>59</v>
      </c>
      <c r="D99" s="5" t="s">
        <v>49</v>
      </c>
      <c r="E99" s="6" t="n">
        <v>4380.61</v>
      </c>
      <c r="F99" s="6" t="n">
        <v>4380.61</v>
      </c>
      <c r="G99" s="10" t="n">
        <f aca="false">E99-F99</f>
        <v>0</v>
      </c>
      <c r="H99" s="9" t="n">
        <f aca="false">G99/E99</f>
        <v>0</v>
      </c>
      <c r="I99" s="10" t="n">
        <f aca="false">H99*Desenho_MUS!$B$12</f>
        <v>0</v>
      </c>
      <c r="J99" s="5" t="s">
        <v>50</v>
      </c>
    </row>
    <row r="100" customFormat="false" ht="15" hidden="false" customHeight="false" outlineLevel="0" collapsed="false">
      <c r="A100" s="5" t="n">
        <v>96</v>
      </c>
      <c r="B100" s="5" t="s">
        <v>153</v>
      </c>
      <c r="C100" s="5" t="s">
        <v>59</v>
      </c>
      <c r="D100" s="5" t="s">
        <v>53</v>
      </c>
      <c r="E100" s="6" t="n">
        <v>386605.15</v>
      </c>
      <c r="F100" s="6" t="n">
        <v>456237.27</v>
      </c>
      <c r="G100" s="10" t="n">
        <f aca="false">E100-F100</f>
        <v>-69632.12</v>
      </c>
      <c r="H100" s="9" t="n">
        <f aca="false">G100/E100</f>
        <v>-0.180111723809163</v>
      </c>
      <c r="I100" s="10" t="n">
        <f aca="false">H100*Desenho_MUS!$B$12</f>
        <v>-13858600.2170282</v>
      </c>
      <c r="J100" s="5" t="s">
        <v>154</v>
      </c>
    </row>
    <row r="101" customFormat="false" ht="15" hidden="false" customHeight="false" outlineLevel="0" collapsed="false">
      <c r="A101" s="5" t="n">
        <v>97</v>
      </c>
      <c r="B101" s="5" t="s">
        <v>155</v>
      </c>
      <c r="C101" s="5" t="s">
        <v>52</v>
      </c>
      <c r="D101" s="5" t="s">
        <v>61</v>
      </c>
      <c r="E101" s="6" t="n">
        <v>78675.23</v>
      </c>
      <c r="F101" s="6" t="n">
        <v>78675.23</v>
      </c>
      <c r="G101" s="10" t="n">
        <f aca="false">E101-F101</f>
        <v>0</v>
      </c>
      <c r="H101" s="9" t="n">
        <f aca="false">G101/E101</f>
        <v>0</v>
      </c>
      <c r="I101" s="10" t="n">
        <f aca="false">H101*Desenho_MUS!$B$12</f>
        <v>0</v>
      </c>
      <c r="J101" s="5" t="s">
        <v>50</v>
      </c>
    </row>
    <row r="102" customFormat="false" ht="15" hidden="false" customHeight="false" outlineLevel="0" collapsed="false">
      <c r="A102" s="5" t="n">
        <v>98</v>
      </c>
      <c r="B102" s="5" t="s">
        <v>156</v>
      </c>
      <c r="C102" s="5" t="s">
        <v>59</v>
      </c>
      <c r="D102" s="5" t="s">
        <v>53</v>
      </c>
      <c r="E102" s="6" t="n">
        <v>2664978.87</v>
      </c>
      <c r="F102" s="6" t="n">
        <v>2664978.87</v>
      </c>
      <c r="G102" s="10" t="n">
        <f aca="false">E102-F102</f>
        <v>0</v>
      </c>
      <c r="H102" s="9" t="n">
        <f aca="false">G102/E102</f>
        <v>0</v>
      </c>
      <c r="I102" s="10" t="n">
        <f aca="false">H102*Desenho_MUS!$B$12</f>
        <v>0</v>
      </c>
      <c r="J102" s="5" t="s">
        <v>50</v>
      </c>
    </row>
    <row r="103" customFormat="false" ht="15" hidden="false" customHeight="false" outlineLevel="0" collapsed="false">
      <c r="A103" s="5" t="n">
        <v>99</v>
      </c>
      <c r="B103" s="5" t="s">
        <v>157</v>
      </c>
      <c r="C103" s="5" t="s">
        <v>56</v>
      </c>
      <c r="D103" s="5" t="s">
        <v>49</v>
      </c>
      <c r="E103" s="6" t="n">
        <v>102131.38</v>
      </c>
      <c r="F103" s="6" t="n">
        <v>102131.38</v>
      </c>
      <c r="G103" s="10" t="n">
        <f aca="false">E103-F103</f>
        <v>0</v>
      </c>
      <c r="H103" s="9" t="n">
        <f aca="false">G103/E103</f>
        <v>0</v>
      </c>
      <c r="I103" s="10" t="n">
        <f aca="false">H103*Desenho_MUS!$B$12</f>
        <v>0</v>
      </c>
      <c r="J103" s="5" t="s">
        <v>50</v>
      </c>
    </row>
    <row r="104" customFormat="false" ht="15" hidden="false" customHeight="false" outlineLevel="0" collapsed="false">
      <c r="A104" s="5" t="n">
        <v>100</v>
      </c>
      <c r="B104" s="5" t="s">
        <v>158</v>
      </c>
      <c r="C104" s="5" t="s">
        <v>59</v>
      </c>
      <c r="D104" s="5" t="s">
        <v>53</v>
      </c>
      <c r="E104" s="6" t="n">
        <v>176156.7</v>
      </c>
      <c r="F104" s="6" t="n">
        <v>176156.7</v>
      </c>
      <c r="G104" s="10" t="n">
        <f aca="false">E104-F104</f>
        <v>0</v>
      </c>
      <c r="H104" s="9" t="n">
        <f aca="false">G104/E104</f>
        <v>0</v>
      </c>
      <c r="I104" s="10" t="n">
        <f aca="false">H104*Desenho_MUS!$B$12</f>
        <v>0</v>
      </c>
      <c r="J104" s="5" t="s">
        <v>50</v>
      </c>
    </row>
    <row r="105" customFormat="false" ht="15" hidden="false" customHeight="false" outlineLevel="0" collapsed="false">
      <c r="A105" s="5" t="n">
        <v>101</v>
      </c>
      <c r="B105" s="5" t="s">
        <v>159</v>
      </c>
      <c r="C105" s="5" t="s">
        <v>52</v>
      </c>
      <c r="D105" s="5" t="s">
        <v>53</v>
      </c>
      <c r="E105" s="6" t="n">
        <v>1421106.07</v>
      </c>
      <c r="F105" s="6" t="n">
        <v>1421106.07</v>
      </c>
      <c r="G105" s="10" t="n">
        <f aca="false">E105-F105</f>
        <v>0</v>
      </c>
      <c r="H105" s="9" t="n">
        <f aca="false">G105/E105</f>
        <v>0</v>
      </c>
      <c r="I105" s="10" t="n">
        <f aca="false">H105*Desenho_MUS!$B$12</f>
        <v>0</v>
      </c>
      <c r="J105" s="5" t="s">
        <v>50</v>
      </c>
    </row>
    <row r="106" customFormat="false" ht="15" hidden="false" customHeight="false" outlineLevel="0" collapsed="false">
      <c r="A106" s="5" t="n">
        <v>102</v>
      </c>
      <c r="B106" s="5" t="s">
        <v>160</v>
      </c>
      <c r="C106" s="5" t="s">
        <v>52</v>
      </c>
      <c r="D106" s="5" t="s">
        <v>53</v>
      </c>
      <c r="E106" s="6" t="n">
        <v>1056799.45</v>
      </c>
      <c r="F106" s="6" t="n">
        <v>1056799.45</v>
      </c>
      <c r="G106" s="10" t="n">
        <f aca="false">E106-F106</f>
        <v>0</v>
      </c>
      <c r="H106" s="9" t="n">
        <f aca="false">G106/E106</f>
        <v>0</v>
      </c>
      <c r="I106" s="10" t="n">
        <f aca="false">H106*Desenho_MUS!$B$12</f>
        <v>0</v>
      </c>
      <c r="J106" s="5" t="s">
        <v>50</v>
      </c>
    </row>
    <row r="107" customFormat="false" ht="15" hidden="false" customHeight="false" outlineLevel="0" collapsed="false">
      <c r="A107" s="5" t="n">
        <v>103</v>
      </c>
      <c r="B107" s="5" t="s">
        <v>161</v>
      </c>
      <c r="C107" s="5" t="s">
        <v>59</v>
      </c>
      <c r="D107" s="5" t="s">
        <v>49</v>
      </c>
      <c r="E107" s="6" t="n">
        <v>89934.72</v>
      </c>
      <c r="F107" s="6" t="n">
        <v>89934.72</v>
      </c>
      <c r="G107" s="10" t="n">
        <f aca="false">E107-F107</f>
        <v>0</v>
      </c>
      <c r="H107" s="9" t="n">
        <f aca="false">G107/E107</f>
        <v>0</v>
      </c>
      <c r="I107" s="10" t="n">
        <f aca="false">H107*Desenho_MUS!$B$12</f>
        <v>0</v>
      </c>
      <c r="J107" s="5" t="s">
        <v>50</v>
      </c>
    </row>
    <row r="108" customFormat="false" ht="15" hidden="false" customHeight="false" outlineLevel="0" collapsed="false">
      <c r="A108" s="5" t="n">
        <v>104</v>
      </c>
      <c r="B108" s="5" t="s">
        <v>162</v>
      </c>
      <c r="C108" s="5" t="s">
        <v>52</v>
      </c>
      <c r="D108" s="5" t="s">
        <v>49</v>
      </c>
      <c r="E108" s="6" t="n">
        <v>216330.33</v>
      </c>
      <c r="F108" s="6" t="n">
        <v>216330.33</v>
      </c>
      <c r="G108" s="10" t="n">
        <f aca="false">E108-F108</f>
        <v>0</v>
      </c>
      <c r="H108" s="9" t="n">
        <f aca="false">G108/E108</f>
        <v>0</v>
      </c>
      <c r="I108" s="10" t="n">
        <f aca="false">H108*Desenho_MUS!$B$12</f>
        <v>0</v>
      </c>
      <c r="J108" s="5" t="s">
        <v>50</v>
      </c>
    </row>
    <row r="109" customFormat="false" ht="15" hidden="false" customHeight="false" outlineLevel="0" collapsed="false">
      <c r="A109" s="5" t="n">
        <v>105</v>
      </c>
      <c r="B109" s="5" t="s">
        <v>163</v>
      </c>
      <c r="C109" s="5" t="s">
        <v>59</v>
      </c>
      <c r="D109" s="5" t="s">
        <v>53</v>
      </c>
      <c r="E109" s="6" t="n">
        <v>1847288.77</v>
      </c>
      <c r="F109" s="6" t="n">
        <v>1847288.77</v>
      </c>
      <c r="G109" s="10" t="n">
        <f aca="false">E109-F109</f>
        <v>0</v>
      </c>
      <c r="H109" s="9" t="n">
        <f aca="false">G109/E109</f>
        <v>0</v>
      </c>
      <c r="I109" s="10" t="n">
        <f aca="false">H109*Desenho_MUS!$B$12</f>
        <v>0</v>
      </c>
      <c r="J109" s="5" t="s">
        <v>50</v>
      </c>
    </row>
    <row r="110" customFormat="false" ht="15" hidden="false" customHeight="false" outlineLevel="0" collapsed="false">
      <c r="A110" s="5" t="n">
        <v>106</v>
      </c>
      <c r="B110" s="5" t="s">
        <v>164</v>
      </c>
      <c r="C110" s="5" t="s">
        <v>59</v>
      </c>
      <c r="D110" s="5" t="s">
        <v>49</v>
      </c>
      <c r="E110" s="6" t="n">
        <v>68260.37</v>
      </c>
      <c r="F110" s="6" t="n">
        <v>68260.37</v>
      </c>
      <c r="G110" s="10" t="n">
        <f aca="false">E110-F110</f>
        <v>0</v>
      </c>
      <c r="H110" s="9" t="n">
        <f aca="false">G110/E110</f>
        <v>0</v>
      </c>
      <c r="I110" s="10" t="n">
        <f aca="false">H110*Desenho_MUS!$B$12</f>
        <v>0</v>
      </c>
      <c r="J110" s="5" t="s">
        <v>50</v>
      </c>
    </row>
    <row r="111" customFormat="false" ht="15" hidden="false" customHeight="false" outlineLevel="0" collapsed="false">
      <c r="A111" s="5" t="n">
        <v>107</v>
      </c>
      <c r="B111" s="5" t="s">
        <v>165</v>
      </c>
      <c r="C111" s="5" t="s">
        <v>59</v>
      </c>
      <c r="D111" s="5" t="s">
        <v>49</v>
      </c>
      <c r="E111" s="6" t="n">
        <v>81566.52</v>
      </c>
      <c r="F111" s="6" t="n">
        <v>81566.52</v>
      </c>
      <c r="G111" s="10" t="n">
        <f aca="false">E111-F111</f>
        <v>0</v>
      </c>
      <c r="H111" s="9" t="n">
        <f aca="false">G111/E111</f>
        <v>0</v>
      </c>
      <c r="I111" s="10" t="n">
        <f aca="false">H111*Desenho_MUS!$B$12</f>
        <v>0</v>
      </c>
      <c r="J111" s="5" t="s">
        <v>50</v>
      </c>
    </row>
    <row r="112" customFormat="false" ht="15" hidden="false" customHeight="false" outlineLevel="0" collapsed="false">
      <c r="A112" s="5" t="n">
        <v>108</v>
      </c>
      <c r="B112" s="5" t="s">
        <v>166</v>
      </c>
      <c r="C112" s="5" t="s">
        <v>52</v>
      </c>
      <c r="D112" s="5" t="s">
        <v>99</v>
      </c>
      <c r="E112" s="6" t="n">
        <v>35003.79</v>
      </c>
      <c r="F112" s="6" t="n">
        <v>35003.79</v>
      </c>
      <c r="G112" s="10" t="n">
        <f aca="false">E112-F112</f>
        <v>0</v>
      </c>
      <c r="H112" s="9" t="n">
        <f aca="false">G112/E112</f>
        <v>0</v>
      </c>
      <c r="I112" s="10" t="n">
        <f aca="false">H112*Desenho_MUS!$B$12</f>
        <v>0</v>
      </c>
      <c r="J112" s="5" t="s">
        <v>50</v>
      </c>
    </row>
    <row r="113" customFormat="false" ht="15" hidden="false" customHeight="false" outlineLevel="0" collapsed="false">
      <c r="A113" s="5" t="n">
        <v>109</v>
      </c>
      <c r="B113" s="5" t="s">
        <v>167</v>
      </c>
      <c r="C113" s="5" t="s">
        <v>52</v>
      </c>
      <c r="D113" s="5" t="s">
        <v>61</v>
      </c>
      <c r="E113" s="6" t="n">
        <v>92473.49</v>
      </c>
      <c r="F113" s="6" t="n">
        <v>92473.49</v>
      </c>
      <c r="G113" s="10" t="n">
        <f aca="false">E113-F113</f>
        <v>0</v>
      </c>
      <c r="H113" s="9" t="n">
        <f aca="false">G113/E113</f>
        <v>0</v>
      </c>
      <c r="I113" s="10" t="n">
        <f aca="false">H113*Desenho_MUS!$B$12</f>
        <v>0</v>
      </c>
      <c r="J113" s="5" t="s">
        <v>50</v>
      </c>
    </row>
    <row r="114" customFormat="false" ht="15" hidden="false" customHeight="false" outlineLevel="0" collapsed="false">
      <c r="A114" s="5" t="n">
        <v>110</v>
      </c>
      <c r="B114" s="5" t="s">
        <v>168</v>
      </c>
      <c r="C114" s="5" t="s">
        <v>56</v>
      </c>
      <c r="D114" s="5" t="s">
        <v>61</v>
      </c>
      <c r="E114" s="6" t="n">
        <v>26183.13</v>
      </c>
      <c r="F114" s="6" t="n">
        <v>26183.13</v>
      </c>
      <c r="G114" s="10" t="n">
        <f aca="false">E114-F114</f>
        <v>0</v>
      </c>
      <c r="H114" s="9" t="n">
        <f aca="false">G114/E114</f>
        <v>0</v>
      </c>
      <c r="I114" s="10" t="n">
        <f aca="false">H114*Desenho_MUS!$B$12</f>
        <v>0</v>
      </c>
      <c r="J114" s="5" t="s">
        <v>50</v>
      </c>
    </row>
    <row r="115" customFormat="false" ht="15" hidden="false" customHeight="false" outlineLevel="0" collapsed="false">
      <c r="A115" s="5" t="n">
        <v>111</v>
      </c>
      <c r="B115" s="5" t="s">
        <v>169</v>
      </c>
      <c r="C115" s="5" t="s">
        <v>52</v>
      </c>
      <c r="D115" s="5" t="s">
        <v>99</v>
      </c>
      <c r="E115" s="6" t="n">
        <v>11209.97</v>
      </c>
      <c r="F115" s="6" t="n">
        <v>11209.97</v>
      </c>
      <c r="G115" s="10" t="n">
        <f aca="false">E115-F115</f>
        <v>0</v>
      </c>
      <c r="H115" s="9" t="n">
        <f aca="false">G115/E115</f>
        <v>0</v>
      </c>
      <c r="I115" s="10" t="n">
        <f aca="false">H115*Desenho_MUS!$B$12</f>
        <v>0</v>
      </c>
      <c r="J115" s="5" t="s">
        <v>50</v>
      </c>
    </row>
    <row r="116" customFormat="false" ht="15" hidden="false" customHeight="false" outlineLevel="0" collapsed="false">
      <c r="A116" s="5" t="n">
        <v>112</v>
      </c>
      <c r="B116" s="5" t="s">
        <v>170</v>
      </c>
      <c r="C116" s="5" t="s">
        <v>52</v>
      </c>
      <c r="D116" s="5" t="s">
        <v>53</v>
      </c>
      <c r="E116" s="6" t="n">
        <v>469830.24</v>
      </c>
      <c r="F116" s="6" t="n">
        <v>469830.24</v>
      </c>
      <c r="G116" s="10" t="n">
        <f aca="false">E116-F116</f>
        <v>0</v>
      </c>
      <c r="H116" s="9" t="n">
        <f aca="false">G116/E116</f>
        <v>0</v>
      </c>
      <c r="I116" s="10" t="n">
        <f aca="false">H116*Desenho_MUS!$B$12</f>
        <v>0</v>
      </c>
      <c r="J116" s="5" t="s">
        <v>50</v>
      </c>
    </row>
    <row r="117" customFormat="false" ht="15" hidden="false" customHeight="false" outlineLevel="0" collapsed="false">
      <c r="A117" s="5" t="n">
        <v>113</v>
      </c>
      <c r="B117" s="5" t="s">
        <v>171</v>
      </c>
      <c r="C117" s="5" t="s">
        <v>52</v>
      </c>
      <c r="D117" s="5" t="s">
        <v>53</v>
      </c>
      <c r="E117" s="6" t="n">
        <v>783960.12</v>
      </c>
      <c r="F117" s="6" t="n">
        <v>783960.12</v>
      </c>
      <c r="G117" s="10" t="n">
        <f aca="false">E117-F117</f>
        <v>0</v>
      </c>
      <c r="H117" s="9" t="n">
        <f aca="false">G117/E117</f>
        <v>0</v>
      </c>
      <c r="I117" s="10" t="n">
        <f aca="false">H117*Desenho_MUS!$B$12</f>
        <v>0</v>
      </c>
      <c r="J117" s="5" t="s">
        <v>50</v>
      </c>
    </row>
    <row r="118" customFormat="false" ht="15" hidden="false" customHeight="false" outlineLevel="0" collapsed="false">
      <c r="A118" s="5" t="n">
        <v>114</v>
      </c>
      <c r="B118" s="5" t="s">
        <v>172</v>
      </c>
      <c r="C118" s="5" t="s">
        <v>52</v>
      </c>
      <c r="D118" s="5" t="s">
        <v>61</v>
      </c>
      <c r="E118" s="6" t="n">
        <v>86319.04</v>
      </c>
      <c r="F118" s="6" t="n">
        <v>86319.04</v>
      </c>
      <c r="G118" s="10" t="n">
        <f aca="false">E118-F118</f>
        <v>0</v>
      </c>
      <c r="H118" s="9" t="n">
        <f aca="false">G118/E118</f>
        <v>0</v>
      </c>
      <c r="I118" s="10" t="n">
        <f aca="false">H118*Desenho_MUS!$B$12</f>
        <v>0</v>
      </c>
      <c r="J118" s="5" t="s">
        <v>50</v>
      </c>
    </row>
    <row r="119" customFormat="false" ht="15" hidden="false" customHeight="false" outlineLevel="0" collapsed="false">
      <c r="A119" s="5" t="n">
        <v>115</v>
      </c>
      <c r="B119" s="5" t="s">
        <v>173</v>
      </c>
      <c r="C119" s="5" t="s">
        <v>52</v>
      </c>
      <c r="D119" s="5" t="s">
        <v>53</v>
      </c>
      <c r="E119" s="6" t="n">
        <v>1284205.58</v>
      </c>
      <c r="F119" s="6" t="n">
        <v>1284205.58</v>
      </c>
      <c r="G119" s="10" t="n">
        <f aca="false">E119-F119</f>
        <v>0</v>
      </c>
      <c r="H119" s="9" t="n">
        <f aca="false">G119/E119</f>
        <v>0</v>
      </c>
      <c r="I119" s="10" t="n">
        <f aca="false">H119*Desenho_MUS!$B$12</f>
        <v>0</v>
      </c>
      <c r="J119" s="5" t="s">
        <v>50</v>
      </c>
    </row>
    <row r="120" customFormat="false" ht="15" hidden="false" customHeight="false" outlineLevel="0" collapsed="false">
      <c r="A120" s="5" t="n">
        <v>116</v>
      </c>
      <c r="B120" s="5" t="s">
        <v>174</v>
      </c>
      <c r="C120" s="5" t="s">
        <v>59</v>
      </c>
      <c r="D120" s="5" t="s">
        <v>53</v>
      </c>
      <c r="E120" s="6" t="n">
        <v>1172059.07</v>
      </c>
      <c r="F120" s="6" t="n">
        <v>1172059.07</v>
      </c>
      <c r="G120" s="10" t="n">
        <f aca="false">E120-F120</f>
        <v>0</v>
      </c>
      <c r="H120" s="9" t="n">
        <f aca="false">G120/E120</f>
        <v>0</v>
      </c>
      <c r="I120" s="10" t="n">
        <f aca="false">H120*Desenho_MUS!$B$12</f>
        <v>0</v>
      </c>
      <c r="J120" s="5" t="s">
        <v>50</v>
      </c>
    </row>
    <row r="121" customFormat="false" ht="15" hidden="false" customHeight="false" outlineLevel="0" collapsed="false">
      <c r="A121" s="5" t="n">
        <v>117</v>
      </c>
      <c r="B121" s="5" t="s">
        <v>175</v>
      </c>
      <c r="C121" s="5" t="s">
        <v>52</v>
      </c>
      <c r="D121" s="5" t="s">
        <v>53</v>
      </c>
      <c r="E121" s="6" t="n">
        <v>1388333.6</v>
      </c>
      <c r="F121" s="6" t="n">
        <v>1388333.6</v>
      </c>
      <c r="G121" s="10" t="n">
        <f aca="false">E121-F121</f>
        <v>0</v>
      </c>
      <c r="H121" s="9" t="n">
        <f aca="false">G121/E121</f>
        <v>0</v>
      </c>
      <c r="I121" s="10" t="n">
        <f aca="false">H121*Desenho_MUS!$B$12</f>
        <v>0</v>
      </c>
      <c r="J121" s="5" t="s">
        <v>50</v>
      </c>
    </row>
    <row r="122" customFormat="false" ht="15" hidden="false" customHeight="false" outlineLevel="0" collapsed="false">
      <c r="A122" s="5" t="n">
        <v>118</v>
      </c>
      <c r="B122" s="5" t="s">
        <v>176</v>
      </c>
      <c r="C122" s="5" t="s">
        <v>52</v>
      </c>
      <c r="D122" s="5" t="s">
        <v>99</v>
      </c>
      <c r="E122" s="6" t="n">
        <v>34285.44</v>
      </c>
      <c r="F122" s="6" t="n">
        <v>34285.44</v>
      </c>
      <c r="G122" s="10" t="n">
        <f aca="false">E122-F122</f>
        <v>0</v>
      </c>
      <c r="H122" s="9" t="n">
        <f aca="false">G122/E122</f>
        <v>0</v>
      </c>
      <c r="I122" s="10" t="n">
        <f aca="false">H122*Desenho_MUS!$B$12</f>
        <v>0</v>
      </c>
      <c r="J122" s="5" t="s">
        <v>50</v>
      </c>
    </row>
    <row r="123" customFormat="false" ht="15" hidden="false" customHeight="false" outlineLevel="0" collapsed="false">
      <c r="A123" s="5" t="n">
        <v>119</v>
      </c>
      <c r="B123" s="5" t="s">
        <v>177</v>
      </c>
      <c r="C123" s="5" t="s">
        <v>52</v>
      </c>
      <c r="D123" s="5" t="s">
        <v>53</v>
      </c>
      <c r="E123" s="6" t="n">
        <v>606647.74</v>
      </c>
      <c r="F123" s="6" t="n">
        <v>606647.74</v>
      </c>
      <c r="G123" s="10" t="n">
        <f aca="false">E123-F123</f>
        <v>0</v>
      </c>
      <c r="H123" s="9" t="n">
        <f aca="false">G123/E123</f>
        <v>0</v>
      </c>
      <c r="I123" s="10" t="n">
        <f aca="false">H123*Desenho_MUS!$B$12</f>
        <v>0</v>
      </c>
      <c r="J123" s="5" t="s">
        <v>50</v>
      </c>
    </row>
    <row r="124" customFormat="false" ht="15" hidden="false" customHeight="false" outlineLevel="0" collapsed="false">
      <c r="A124" s="5" t="n">
        <v>120</v>
      </c>
      <c r="B124" s="5" t="s">
        <v>178</v>
      </c>
      <c r="C124" s="5" t="s">
        <v>52</v>
      </c>
      <c r="D124" s="5" t="s">
        <v>53</v>
      </c>
      <c r="E124" s="6" t="n">
        <v>1998398.7</v>
      </c>
      <c r="F124" s="6" t="n">
        <v>1998398.7</v>
      </c>
      <c r="G124" s="10" t="n">
        <f aca="false">E124-F124</f>
        <v>0</v>
      </c>
      <c r="H124" s="9" t="n">
        <f aca="false">G124/E124</f>
        <v>0</v>
      </c>
      <c r="I124" s="10" t="n">
        <f aca="false">H124*Desenho_MUS!$B$12</f>
        <v>0</v>
      </c>
      <c r="J124" s="5" t="s">
        <v>50</v>
      </c>
    </row>
    <row r="125" customFormat="false" ht="15" hidden="false" customHeight="false" outlineLevel="0" collapsed="false">
      <c r="A125" s="5" t="n">
        <v>121</v>
      </c>
      <c r="B125" s="5" t="s">
        <v>179</v>
      </c>
      <c r="C125" s="5" t="s">
        <v>52</v>
      </c>
      <c r="D125" s="5" t="s">
        <v>53</v>
      </c>
      <c r="E125" s="6" t="n">
        <v>283951.4</v>
      </c>
      <c r="F125" s="6" t="n">
        <v>283951.4</v>
      </c>
      <c r="G125" s="10" t="n">
        <f aca="false">E125-F125</f>
        <v>0</v>
      </c>
      <c r="H125" s="9" t="n">
        <f aca="false">G125/E125</f>
        <v>0</v>
      </c>
      <c r="I125" s="10" t="n">
        <f aca="false">H125*Desenho_MUS!$B$12</f>
        <v>0</v>
      </c>
      <c r="J125" s="5" t="s">
        <v>50</v>
      </c>
    </row>
    <row r="126" customFormat="false" ht="15" hidden="false" customHeight="false" outlineLevel="0" collapsed="false">
      <c r="A126" s="5" t="n">
        <v>122</v>
      </c>
      <c r="B126" s="5" t="s">
        <v>180</v>
      </c>
      <c r="C126" s="5" t="s">
        <v>52</v>
      </c>
      <c r="D126" s="5" t="s">
        <v>53</v>
      </c>
      <c r="E126" s="6" t="n">
        <v>2965399.6</v>
      </c>
      <c r="F126" s="6" t="n">
        <v>2965399.6</v>
      </c>
      <c r="G126" s="10" t="n">
        <f aca="false">E126-F126</f>
        <v>0</v>
      </c>
      <c r="H126" s="9" t="n">
        <f aca="false">G126/E126</f>
        <v>0</v>
      </c>
      <c r="I126" s="10" t="n">
        <f aca="false">H126*Desenho_MUS!$B$12</f>
        <v>0</v>
      </c>
      <c r="J126" s="5" t="s">
        <v>50</v>
      </c>
    </row>
    <row r="127" customFormat="false" ht="15" hidden="false" customHeight="false" outlineLevel="0" collapsed="false">
      <c r="A127" s="5" t="n">
        <v>123</v>
      </c>
      <c r="B127" s="5" t="s">
        <v>181</v>
      </c>
      <c r="C127" s="5" t="s">
        <v>52</v>
      </c>
      <c r="D127" s="5" t="s">
        <v>61</v>
      </c>
      <c r="E127" s="6" t="n">
        <v>41496.57</v>
      </c>
      <c r="F127" s="6" t="n">
        <v>41496.57</v>
      </c>
      <c r="G127" s="10" t="n">
        <f aca="false">E127-F127</f>
        <v>0</v>
      </c>
      <c r="H127" s="9" t="n">
        <f aca="false">G127/E127</f>
        <v>0</v>
      </c>
      <c r="I127" s="10" t="n">
        <f aca="false">H127*Desenho_MUS!$B$12</f>
        <v>0</v>
      </c>
      <c r="J127" s="5" t="s">
        <v>50</v>
      </c>
    </row>
    <row r="128" customFormat="false" ht="15" hidden="false" customHeight="false" outlineLevel="0" collapsed="false">
      <c r="A128" s="5" t="n">
        <v>124</v>
      </c>
      <c r="B128" s="5" t="s">
        <v>182</v>
      </c>
      <c r="C128" s="5" t="s">
        <v>52</v>
      </c>
      <c r="D128" s="5" t="s">
        <v>49</v>
      </c>
      <c r="E128" s="6" t="n">
        <v>127913.34</v>
      </c>
      <c r="F128" s="6" t="n">
        <v>127913.34</v>
      </c>
      <c r="G128" s="10" t="n">
        <f aca="false">E128-F128</f>
        <v>0</v>
      </c>
      <c r="H128" s="9" t="n">
        <f aca="false">G128/E128</f>
        <v>0</v>
      </c>
      <c r="I128" s="10" t="n">
        <f aca="false">H128*Desenho_MUS!$B$12</f>
        <v>0</v>
      </c>
      <c r="J128" s="5" t="s">
        <v>50</v>
      </c>
    </row>
    <row r="129" customFormat="false" ht="15" hidden="false" customHeight="false" outlineLevel="0" collapsed="false">
      <c r="A129" s="5" t="n">
        <v>125</v>
      </c>
      <c r="B129" s="5" t="s">
        <v>183</v>
      </c>
      <c r="C129" s="5" t="s">
        <v>52</v>
      </c>
      <c r="D129" s="5" t="s">
        <v>49</v>
      </c>
      <c r="E129" s="6" t="n">
        <v>73678.51</v>
      </c>
      <c r="F129" s="6" t="n">
        <v>73678.51</v>
      </c>
      <c r="G129" s="10" t="n">
        <f aca="false">E129-F129</f>
        <v>0</v>
      </c>
      <c r="H129" s="9" t="n">
        <f aca="false">G129/E129</f>
        <v>0</v>
      </c>
      <c r="I129" s="10" t="n">
        <f aca="false">H129*Desenho_MUS!$B$12</f>
        <v>0</v>
      </c>
      <c r="J129" s="5" t="s">
        <v>50</v>
      </c>
    </row>
    <row r="130" customFormat="false" ht="15" hidden="false" customHeight="false" outlineLevel="0" collapsed="false">
      <c r="A130" s="5" t="n">
        <v>126</v>
      </c>
      <c r="B130" s="5" t="s">
        <v>184</v>
      </c>
      <c r="C130" s="5" t="s">
        <v>52</v>
      </c>
      <c r="D130" s="5" t="s">
        <v>61</v>
      </c>
      <c r="E130" s="6" t="n">
        <v>23727.48</v>
      </c>
      <c r="F130" s="6" t="n">
        <v>23727.48</v>
      </c>
      <c r="G130" s="10" t="n">
        <f aca="false">E130-F130</f>
        <v>0</v>
      </c>
      <c r="H130" s="9" t="n">
        <f aca="false">G130/E130</f>
        <v>0</v>
      </c>
      <c r="I130" s="10" t="n">
        <f aca="false">H130*Desenho_MUS!$B$12</f>
        <v>0</v>
      </c>
      <c r="J130" s="5" t="s">
        <v>50</v>
      </c>
    </row>
    <row r="131" customFormat="false" ht="15" hidden="false" customHeight="false" outlineLevel="0" collapsed="false">
      <c r="A131" s="5" t="n">
        <v>127</v>
      </c>
      <c r="B131" s="5" t="s">
        <v>185</v>
      </c>
      <c r="C131" s="5" t="s">
        <v>52</v>
      </c>
      <c r="D131" s="5" t="s">
        <v>99</v>
      </c>
      <c r="E131" s="6" t="n">
        <v>8066.4</v>
      </c>
      <c r="F131" s="6" t="n">
        <v>8066.4</v>
      </c>
      <c r="G131" s="10" t="n">
        <f aca="false">E131-F131</f>
        <v>0</v>
      </c>
      <c r="H131" s="9" t="n">
        <f aca="false">G131/E131</f>
        <v>0</v>
      </c>
      <c r="I131" s="10" t="n">
        <f aca="false">H131*Desenho_MUS!$B$12</f>
        <v>0</v>
      </c>
      <c r="J131" s="5" t="s">
        <v>50</v>
      </c>
    </row>
    <row r="132" customFormat="false" ht="15" hidden="false" customHeight="false" outlineLevel="0" collapsed="false">
      <c r="A132" s="5" t="n">
        <v>128</v>
      </c>
      <c r="B132" s="5" t="s">
        <v>186</v>
      </c>
      <c r="C132" s="5" t="s">
        <v>59</v>
      </c>
      <c r="D132" s="5" t="s">
        <v>53</v>
      </c>
      <c r="E132" s="6" t="n">
        <v>1948343.3</v>
      </c>
      <c r="F132" s="6" t="n">
        <v>1948343.3</v>
      </c>
      <c r="G132" s="10" t="n">
        <f aca="false">E132-F132</f>
        <v>0</v>
      </c>
      <c r="H132" s="9" t="n">
        <f aca="false">G132/E132</f>
        <v>0</v>
      </c>
      <c r="I132" s="10" t="n">
        <f aca="false">H132*Desenho_MUS!$B$12</f>
        <v>0</v>
      </c>
      <c r="J132" s="5" t="s">
        <v>50</v>
      </c>
    </row>
    <row r="133" customFormat="false" ht="15" hidden="false" customHeight="false" outlineLevel="0" collapsed="false">
      <c r="A133" s="5" t="n">
        <v>129</v>
      </c>
      <c r="B133" s="5" t="s">
        <v>187</v>
      </c>
      <c r="C133" s="5" t="s">
        <v>59</v>
      </c>
      <c r="D133" s="5" t="s">
        <v>99</v>
      </c>
      <c r="E133" s="6" t="n">
        <v>21473.06</v>
      </c>
      <c r="F133" s="6" t="n">
        <v>21473.06</v>
      </c>
      <c r="G133" s="10" t="n">
        <f aca="false">E133-F133</f>
        <v>0</v>
      </c>
      <c r="H133" s="9" t="n">
        <f aca="false">G133/E133</f>
        <v>0</v>
      </c>
      <c r="I133" s="10" t="n">
        <f aca="false">H133*Desenho_MUS!$B$12</f>
        <v>0</v>
      </c>
      <c r="J133" s="5" t="s">
        <v>50</v>
      </c>
    </row>
    <row r="134" customFormat="false" ht="15" hidden="false" customHeight="false" outlineLevel="0" collapsed="false">
      <c r="A134" s="5" t="n">
        <v>130</v>
      </c>
      <c r="B134" s="5" t="s">
        <v>188</v>
      </c>
      <c r="C134" s="5" t="s">
        <v>59</v>
      </c>
      <c r="D134" s="5" t="s">
        <v>61</v>
      </c>
      <c r="E134" s="6" t="n">
        <v>31926.57</v>
      </c>
      <c r="F134" s="6" t="n">
        <v>31926.57</v>
      </c>
      <c r="G134" s="10" t="n">
        <f aca="false">E134-F134</f>
        <v>0</v>
      </c>
      <c r="H134" s="9" t="n">
        <f aca="false">G134/E134</f>
        <v>0</v>
      </c>
      <c r="I134" s="10" t="n">
        <f aca="false">H134*Desenho_MUS!$B$12</f>
        <v>0</v>
      </c>
      <c r="J134" s="5" t="s">
        <v>50</v>
      </c>
    </row>
    <row r="135" customFormat="false" ht="15" hidden="false" customHeight="false" outlineLevel="0" collapsed="false">
      <c r="A135" s="5" t="n">
        <v>131</v>
      </c>
      <c r="B135" s="5" t="s">
        <v>189</v>
      </c>
      <c r="C135" s="5" t="s">
        <v>59</v>
      </c>
      <c r="D135" s="5" t="s">
        <v>49</v>
      </c>
      <c r="E135" s="6" t="n">
        <v>24139.19</v>
      </c>
      <c r="F135" s="6" t="n">
        <v>24139.19</v>
      </c>
      <c r="G135" s="10" t="n">
        <f aca="false">E135-F135</f>
        <v>0</v>
      </c>
      <c r="H135" s="9" t="n">
        <f aca="false">G135/E135</f>
        <v>0</v>
      </c>
      <c r="I135" s="10" t="n">
        <f aca="false">H135*Desenho_MUS!$B$12</f>
        <v>0</v>
      </c>
      <c r="J135" s="5" t="s">
        <v>50</v>
      </c>
    </row>
    <row r="136" customFormat="false" ht="15" hidden="false" customHeight="false" outlineLevel="0" collapsed="false">
      <c r="A136" s="5" t="n">
        <v>132</v>
      </c>
      <c r="B136" s="5" t="s">
        <v>190</v>
      </c>
      <c r="C136" s="5" t="s">
        <v>59</v>
      </c>
      <c r="D136" s="5" t="s">
        <v>49</v>
      </c>
      <c r="E136" s="6" t="n">
        <v>17007.45</v>
      </c>
      <c r="F136" s="6" t="n">
        <v>17007.45</v>
      </c>
      <c r="G136" s="10" t="n">
        <f aca="false">E136-F136</f>
        <v>0</v>
      </c>
      <c r="H136" s="9" t="n">
        <f aca="false">G136/E136</f>
        <v>0</v>
      </c>
      <c r="I136" s="10" t="n">
        <f aca="false">H136*Desenho_MUS!$B$12</f>
        <v>0</v>
      </c>
      <c r="J136" s="5" t="s">
        <v>50</v>
      </c>
    </row>
    <row r="137" customFormat="false" ht="15" hidden="false" customHeight="false" outlineLevel="0" collapsed="false">
      <c r="A137" s="5" t="n">
        <v>133</v>
      </c>
      <c r="B137" s="5" t="s">
        <v>191</v>
      </c>
      <c r="C137" s="5" t="s">
        <v>52</v>
      </c>
      <c r="D137" s="5" t="s">
        <v>61</v>
      </c>
      <c r="E137" s="6" t="n">
        <v>85070.15</v>
      </c>
      <c r="F137" s="6" t="n">
        <v>85070.15</v>
      </c>
      <c r="G137" s="10" t="n">
        <f aca="false">E137-F137</f>
        <v>0</v>
      </c>
      <c r="H137" s="9" t="n">
        <f aca="false">G137/E137</f>
        <v>0</v>
      </c>
      <c r="I137" s="10" t="n">
        <f aca="false">H137*Desenho_MUS!$B$12</f>
        <v>0</v>
      </c>
      <c r="J137" s="5" t="s">
        <v>50</v>
      </c>
    </row>
    <row r="138" customFormat="false" ht="15" hidden="false" customHeight="false" outlineLevel="0" collapsed="false">
      <c r="A138" s="5" t="n">
        <v>134</v>
      </c>
      <c r="B138" s="5" t="s">
        <v>192</v>
      </c>
      <c r="C138" s="5" t="s">
        <v>59</v>
      </c>
      <c r="D138" s="5" t="s">
        <v>53</v>
      </c>
      <c r="E138" s="6" t="n">
        <v>2185380.93</v>
      </c>
      <c r="F138" s="6" t="n">
        <v>2185380.93</v>
      </c>
      <c r="G138" s="10" t="n">
        <f aca="false">E138-F138</f>
        <v>0</v>
      </c>
      <c r="H138" s="9" t="n">
        <f aca="false">G138/E138</f>
        <v>0</v>
      </c>
      <c r="I138" s="10" t="n">
        <f aca="false">H138*Desenho_MUS!$B$12</f>
        <v>0</v>
      </c>
      <c r="J138" s="5" t="s">
        <v>50</v>
      </c>
    </row>
    <row r="139" customFormat="false" ht="15" hidden="false" customHeight="false" outlineLevel="0" collapsed="false">
      <c r="A139" s="5" t="n">
        <v>135</v>
      </c>
      <c r="B139" s="5" t="s">
        <v>193</v>
      </c>
      <c r="C139" s="5" t="s">
        <v>52</v>
      </c>
      <c r="D139" s="5" t="s">
        <v>53</v>
      </c>
      <c r="E139" s="6" t="n">
        <v>2020843.31</v>
      </c>
      <c r="F139" s="6" t="n">
        <v>2020843.31</v>
      </c>
      <c r="G139" s="10" t="n">
        <f aca="false">E139-F139</f>
        <v>0</v>
      </c>
      <c r="H139" s="9" t="n">
        <f aca="false">G139/E139</f>
        <v>0</v>
      </c>
      <c r="I139" s="10" t="n">
        <f aca="false">H139*Desenho_MUS!$B$12</f>
        <v>0</v>
      </c>
      <c r="J139" s="5" t="s">
        <v>50</v>
      </c>
    </row>
    <row r="140" customFormat="false" ht="15" hidden="false" customHeight="false" outlineLevel="0" collapsed="false">
      <c r="A140" s="5" t="n">
        <v>136</v>
      </c>
      <c r="B140" s="5" t="s">
        <v>194</v>
      </c>
      <c r="C140" s="5" t="s">
        <v>59</v>
      </c>
      <c r="D140" s="5" t="s">
        <v>99</v>
      </c>
      <c r="E140" s="6" t="n">
        <v>51506.68</v>
      </c>
      <c r="F140" s="6" t="n">
        <v>51506.68</v>
      </c>
      <c r="G140" s="10" t="n">
        <f aca="false">E140-F140</f>
        <v>0</v>
      </c>
      <c r="H140" s="9" t="n">
        <f aca="false">G140/E140</f>
        <v>0</v>
      </c>
      <c r="I140" s="10" t="n">
        <f aca="false">H140*Desenho_MUS!$B$12</f>
        <v>0</v>
      </c>
      <c r="J140" s="5" t="s">
        <v>50</v>
      </c>
    </row>
    <row r="141" customFormat="false" ht="15" hidden="false" customHeight="false" outlineLevel="0" collapsed="false">
      <c r="A141" s="5" t="n">
        <v>137</v>
      </c>
      <c r="B141" s="5" t="s">
        <v>195</v>
      </c>
      <c r="C141" s="5" t="s">
        <v>56</v>
      </c>
      <c r="D141" s="5" t="s">
        <v>53</v>
      </c>
      <c r="E141" s="6" t="n">
        <v>1358873.51</v>
      </c>
      <c r="F141" s="6" t="n">
        <v>1358873.51</v>
      </c>
      <c r="G141" s="10" t="n">
        <f aca="false">E141-F141</f>
        <v>0</v>
      </c>
      <c r="H141" s="9" t="n">
        <f aca="false">G141/E141</f>
        <v>0</v>
      </c>
      <c r="I141" s="10" t="n">
        <f aca="false">H141*Desenho_MUS!$B$12</f>
        <v>0</v>
      </c>
      <c r="J141" s="5" t="s">
        <v>50</v>
      </c>
    </row>
    <row r="142" customFormat="false" ht="15" hidden="false" customHeight="false" outlineLevel="0" collapsed="false">
      <c r="A142" s="5" t="n">
        <v>138</v>
      </c>
      <c r="B142" s="5" t="s">
        <v>196</v>
      </c>
      <c r="C142" s="5" t="s">
        <v>52</v>
      </c>
      <c r="D142" s="5" t="s">
        <v>53</v>
      </c>
      <c r="E142" s="6" t="n">
        <v>2752113.64</v>
      </c>
      <c r="F142" s="6" t="n">
        <v>2752113.64</v>
      </c>
      <c r="G142" s="10" t="n">
        <f aca="false">E142-F142</f>
        <v>0</v>
      </c>
      <c r="H142" s="9" t="n">
        <f aca="false">G142/E142</f>
        <v>0</v>
      </c>
      <c r="I142" s="10" t="n">
        <f aca="false">H142*Desenho_MUS!$B$12</f>
        <v>0</v>
      </c>
      <c r="J142" s="5" t="s">
        <v>50</v>
      </c>
    </row>
    <row r="143" customFormat="false" ht="15" hidden="false" customHeight="false" outlineLevel="0" collapsed="false">
      <c r="A143" s="5" t="n">
        <v>139</v>
      </c>
      <c r="B143" s="5" t="s">
        <v>197</v>
      </c>
      <c r="C143" s="5" t="s">
        <v>59</v>
      </c>
      <c r="D143" s="5" t="s">
        <v>61</v>
      </c>
      <c r="E143" s="6" t="n">
        <v>12451.32</v>
      </c>
      <c r="F143" s="6" t="n">
        <v>12451.32</v>
      </c>
      <c r="G143" s="10" t="n">
        <f aca="false">E143-F143</f>
        <v>0</v>
      </c>
      <c r="H143" s="9" t="n">
        <f aca="false">G143/E143</f>
        <v>0</v>
      </c>
      <c r="I143" s="10" t="n">
        <f aca="false">H143*Desenho_MUS!$B$12</f>
        <v>0</v>
      </c>
      <c r="J143" s="5" t="s">
        <v>50</v>
      </c>
    </row>
    <row r="144" customFormat="false" ht="15" hidden="false" customHeight="false" outlineLevel="0" collapsed="false">
      <c r="A144" s="5" t="n">
        <v>140</v>
      </c>
      <c r="B144" s="5" t="s">
        <v>198</v>
      </c>
      <c r="C144" s="5" t="s">
        <v>59</v>
      </c>
      <c r="D144" s="5" t="s">
        <v>49</v>
      </c>
      <c r="E144" s="6" t="n">
        <v>106329.71</v>
      </c>
      <c r="F144" s="6" t="n">
        <v>106329.71</v>
      </c>
      <c r="G144" s="10" t="n">
        <f aca="false">E144-F144</f>
        <v>0</v>
      </c>
      <c r="H144" s="9" t="n">
        <f aca="false">G144/E144</f>
        <v>0</v>
      </c>
      <c r="I144" s="10" t="n">
        <f aca="false">H144*Desenho_MUS!$B$12</f>
        <v>0</v>
      </c>
      <c r="J144" s="5" t="s">
        <v>50</v>
      </c>
    </row>
    <row r="145" customFormat="false" ht="15" hidden="false" customHeight="false" outlineLevel="0" collapsed="false">
      <c r="A145" s="5" t="n">
        <v>141</v>
      </c>
      <c r="B145" s="5" t="s">
        <v>199</v>
      </c>
      <c r="C145" s="5" t="s">
        <v>52</v>
      </c>
      <c r="D145" s="5" t="s">
        <v>53</v>
      </c>
      <c r="E145" s="6" t="n">
        <v>2005868.48</v>
      </c>
      <c r="F145" s="6" t="n">
        <v>2005868.48</v>
      </c>
      <c r="G145" s="10" t="n">
        <f aca="false">E145-F145</f>
        <v>0</v>
      </c>
      <c r="H145" s="9" t="n">
        <f aca="false">G145/E145</f>
        <v>0</v>
      </c>
      <c r="I145" s="10" t="n">
        <f aca="false">H145*Desenho_MUS!$B$12</f>
        <v>0</v>
      </c>
      <c r="J145" s="5" t="s">
        <v>50</v>
      </c>
    </row>
    <row r="146" customFormat="false" ht="15" hidden="false" customHeight="false" outlineLevel="0" collapsed="false">
      <c r="A146" s="5" t="n">
        <v>142</v>
      </c>
      <c r="B146" s="5" t="s">
        <v>200</v>
      </c>
      <c r="C146" s="5" t="s">
        <v>56</v>
      </c>
      <c r="D146" s="5" t="s">
        <v>61</v>
      </c>
      <c r="E146" s="6" t="n">
        <v>105955.14</v>
      </c>
      <c r="F146" s="6" t="n">
        <v>105955.14</v>
      </c>
      <c r="G146" s="10" t="n">
        <f aca="false">E146-F146</f>
        <v>0</v>
      </c>
      <c r="H146" s="9" t="n">
        <f aca="false">G146/E146</f>
        <v>0</v>
      </c>
      <c r="I146" s="10" t="n">
        <f aca="false">H146*Desenho_MUS!$B$12</f>
        <v>0</v>
      </c>
      <c r="J146" s="5" t="s">
        <v>50</v>
      </c>
    </row>
    <row r="147" customFormat="false" ht="15" hidden="false" customHeight="false" outlineLevel="0" collapsed="false">
      <c r="A147" s="5" t="n">
        <v>143</v>
      </c>
      <c r="B147" s="5" t="s">
        <v>201</v>
      </c>
      <c r="C147" s="5" t="s">
        <v>52</v>
      </c>
      <c r="D147" s="5" t="s">
        <v>49</v>
      </c>
      <c r="E147" s="6" t="n">
        <v>197780.89</v>
      </c>
      <c r="F147" s="6" t="n">
        <v>197780.89</v>
      </c>
      <c r="G147" s="10" t="n">
        <f aca="false">E147-F147</f>
        <v>0</v>
      </c>
      <c r="H147" s="9" t="n">
        <f aca="false">G147/E147</f>
        <v>0</v>
      </c>
      <c r="I147" s="10" t="n">
        <f aca="false">H147*Desenho_MUS!$B$12</f>
        <v>0</v>
      </c>
      <c r="J147" s="5" t="s">
        <v>50</v>
      </c>
    </row>
    <row r="148" customFormat="false" ht="15" hidden="false" customHeight="false" outlineLevel="0" collapsed="false">
      <c r="A148" s="5" t="n">
        <v>144</v>
      </c>
      <c r="B148" s="5" t="s">
        <v>202</v>
      </c>
      <c r="C148" s="5" t="s">
        <v>59</v>
      </c>
      <c r="D148" s="5" t="s">
        <v>49</v>
      </c>
      <c r="E148" s="6" t="n">
        <v>6835.32</v>
      </c>
      <c r="F148" s="6" t="n">
        <v>6835.32</v>
      </c>
      <c r="G148" s="10" t="n">
        <f aca="false">E148-F148</f>
        <v>0</v>
      </c>
      <c r="H148" s="9" t="n">
        <f aca="false">G148/E148</f>
        <v>0</v>
      </c>
      <c r="I148" s="10" t="n">
        <f aca="false">H148*Desenho_MUS!$B$12</f>
        <v>0</v>
      </c>
      <c r="J148" s="5" t="s">
        <v>50</v>
      </c>
    </row>
    <row r="149" customFormat="false" ht="15" hidden="false" customHeight="false" outlineLevel="0" collapsed="false">
      <c r="A149" s="5" t="n">
        <v>145</v>
      </c>
      <c r="B149" s="5" t="s">
        <v>203</v>
      </c>
      <c r="C149" s="5" t="s">
        <v>59</v>
      </c>
      <c r="D149" s="5" t="s">
        <v>49</v>
      </c>
      <c r="E149" s="6" t="n">
        <v>100716.07</v>
      </c>
      <c r="F149" s="6" t="n">
        <v>100716.07</v>
      </c>
      <c r="G149" s="10" t="n">
        <f aca="false">E149-F149</f>
        <v>0</v>
      </c>
      <c r="H149" s="9" t="n">
        <f aca="false">G149/E149</f>
        <v>0</v>
      </c>
      <c r="I149" s="10" t="n">
        <f aca="false">H149*Desenho_MUS!$B$12</f>
        <v>0</v>
      </c>
      <c r="J149" s="5" t="s">
        <v>50</v>
      </c>
    </row>
    <row r="150" customFormat="false" ht="15" hidden="false" customHeight="false" outlineLevel="0" collapsed="false">
      <c r="A150" s="5" t="n">
        <v>146</v>
      </c>
      <c r="B150" s="5" t="s">
        <v>204</v>
      </c>
      <c r="C150" s="5" t="s">
        <v>59</v>
      </c>
      <c r="D150" s="5" t="s">
        <v>53</v>
      </c>
      <c r="E150" s="6" t="n">
        <v>660889.27</v>
      </c>
      <c r="F150" s="6" t="n">
        <v>660889.27</v>
      </c>
      <c r="G150" s="10" t="n">
        <f aca="false">E150-F150</f>
        <v>0</v>
      </c>
      <c r="H150" s="9" t="n">
        <f aca="false">G150/E150</f>
        <v>0</v>
      </c>
      <c r="I150" s="10" t="n">
        <f aca="false">H150*Desenho_MUS!$B$12</f>
        <v>0</v>
      </c>
      <c r="J150" s="5" t="s">
        <v>50</v>
      </c>
    </row>
    <row r="151" customFormat="false" ht="15" hidden="false" customHeight="false" outlineLevel="0" collapsed="false">
      <c r="A151" s="5" t="n">
        <v>147</v>
      </c>
      <c r="B151" s="5" t="s">
        <v>205</v>
      </c>
      <c r="C151" s="5" t="s">
        <v>59</v>
      </c>
      <c r="D151" s="5" t="s">
        <v>53</v>
      </c>
      <c r="E151" s="6" t="n">
        <v>2297323.3</v>
      </c>
      <c r="F151" s="6" t="n">
        <v>2297323.3</v>
      </c>
      <c r="G151" s="10" t="n">
        <f aca="false">E151-F151</f>
        <v>0</v>
      </c>
      <c r="H151" s="9" t="n">
        <f aca="false">G151/E151</f>
        <v>0</v>
      </c>
      <c r="I151" s="10" t="n">
        <f aca="false">H151*Desenho_MUS!$B$12</f>
        <v>0</v>
      </c>
      <c r="J151" s="5" t="s">
        <v>50</v>
      </c>
    </row>
    <row r="152" customFormat="false" ht="15" hidden="false" customHeight="false" outlineLevel="0" collapsed="false">
      <c r="A152" s="5" t="n">
        <v>148</v>
      </c>
      <c r="B152" s="5" t="s">
        <v>206</v>
      </c>
      <c r="C152" s="5" t="s">
        <v>52</v>
      </c>
      <c r="D152" s="5" t="s">
        <v>53</v>
      </c>
      <c r="E152" s="6" t="n">
        <v>1838204.22</v>
      </c>
      <c r="F152" s="6" t="n">
        <v>1838204.22</v>
      </c>
      <c r="G152" s="10" t="n">
        <f aca="false">E152-F152</f>
        <v>0</v>
      </c>
      <c r="H152" s="9" t="n">
        <f aca="false">G152/E152</f>
        <v>0</v>
      </c>
      <c r="I152" s="10" t="n">
        <f aca="false">H152*Desenho_MUS!$B$12</f>
        <v>0</v>
      </c>
      <c r="J152" s="5" t="s">
        <v>50</v>
      </c>
    </row>
    <row r="153" customFormat="false" ht="15" hidden="false" customHeight="false" outlineLevel="0" collapsed="false">
      <c r="A153" s="5" t="n">
        <v>149</v>
      </c>
      <c r="B153" s="5" t="s">
        <v>207</v>
      </c>
      <c r="C153" s="5" t="s">
        <v>59</v>
      </c>
      <c r="D153" s="5" t="s">
        <v>53</v>
      </c>
      <c r="E153" s="6" t="n">
        <v>307661.88</v>
      </c>
      <c r="F153" s="6" t="n">
        <v>307661.88</v>
      </c>
      <c r="G153" s="10" t="n">
        <f aca="false">E153-F153</f>
        <v>0</v>
      </c>
      <c r="H153" s="9" t="n">
        <f aca="false">G153/E153</f>
        <v>0</v>
      </c>
      <c r="I153" s="10" t="n">
        <f aca="false">H153*Desenho_MUS!$B$12</f>
        <v>0</v>
      </c>
      <c r="J153" s="5" t="s">
        <v>50</v>
      </c>
    </row>
    <row r="154" customFormat="false" ht="15" hidden="false" customHeight="false" outlineLevel="0" collapsed="false">
      <c r="A154" s="5" t="n">
        <v>150</v>
      </c>
      <c r="B154" s="5" t="s">
        <v>208</v>
      </c>
      <c r="C154" s="5" t="s">
        <v>52</v>
      </c>
      <c r="D154" s="5" t="s">
        <v>53</v>
      </c>
      <c r="E154" s="6" t="n">
        <v>1216873.17</v>
      </c>
      <c r="F154" s="6" t="n">
        <v>1216873.17</v>
      </c>
      <c r="G154" s="10" t="n">
        <f aca="false">E154-F154</f>
        <v>0</v>
      </c>
      <c r="H154" s="9" t="n">
        <f aca="false">G154/E154</f>
        <v>0</v>
      </c>
      <c r="I154" s="10" t="n">
        <f aca="false">H154*Desenho_MUS!$B$12</f>
        <v>0</v>
      </c>
      <c r="J154" s="5" t="s">
        <v>50</v>
      </c>
    </row>
    <row r="155" customFormat="false" ht="15" hidden="false" customHeight="false" outlineLevel="0" collapsed="false">
      <c r="A155" s="5" t="n">
        <v>151</v>
      </c>
      <c r="B155" s="5" t="s">
        <v>209</v>
      </c>
      <c r="C155" s="5" t="s">
        <v>59</v>
      </c>
      <c r="D155" s="5" t="s">
        <v>53</v>
      </c>
      <c r="E155" s="6" t="n">
        <v>2755092.12</v>
      </c>
      <c r="F155" s="6" t="n">
        <v>2755092.12</v>
      </c>
      <c r="G155" s="10" t="n">
        <f aca="false">E155-F155</f>
        <v>0</v>
      </c>
      <c r="H155" s="9" t="n">
        <f aca="false">G155/E155</f>
        <v>0</v>
      </c>
      <c r="I155" s="10" t="n">
        <f aca="false">H155*Desenho_MUS!$B$12</f>
        <v>0</v>
      </c>
      <c r="J155" s="5" t="s">
        <v>50</v>
      </c>
    </row>
    <row r="156" customFormat="false" ht="15" hidden="false" customHeight="false" outlineLevel="0" collapsed="false">
      <c r="A156" s="5" t="n">
        <v>152</v>
      </c>
      <c r="B156" s="5" t="s">
        <v>210</v>
      </c>
      <c r="C156" s="5" t="s">
        <v>59</v>
      </c>
      <c r="D156" s="5" t="s">
        <v>53</v>
      </c>
      <c r="E156" s="6" t="n">
        <v>2730126.2</v>
      </c>
      <c r="F156" s="6" t="n">
        <v>2730126.2</v>
      </c>
      <c r="G156" s="10" t="n">
        <f aca="false">E156-F156</f>
        <v>0</v>
      </c>
      <c r="H156" s="9" t="n">
        <f aca="false">G156/E156</f>
        <v>0</v>
      </c>
      <c r="I156" s="10" t="n">
        <f aca="false">H156*Desenho_MUS!$B$12</f>
        <v>0</v>
      </c>
      <c r="J156" s="5" t="s">
        <v>50</v>
      </c>
    </row>
    <row r="157" customFormat="false" ht="15" hidden="false" customHeight="false" outlineLevel="0" collapsed="false">
      <c r="A157" s="5" t="n">
        <v>153</v>
      </c>
      <c r="B157" s="5" t="s">
        <v>211</v>
      </c>
      <c r="C157" s="5" t="s">
        <v>59</v>
      </c>
      <c r="D157" s="5" t="s">
        <v>53</v>
      </c>
      <c r="E157" s="6" t="n">
        <v>1001645.22</v>
      </c>
      <c r="F157" s="6" t="n">
        <v>1001645.22</v>
      </c>
      <c r="G157" s="10" t="n">
        <f aca="false">E157-F157</f>
        <v>0</v>
      </c>
      <c r="H157" s="9" t="n">
        <f aca="false">G157/E157</f>
        <v>0</v>
      </c>
      <c r="I157" s="10" t="n">
        <f aca="false">H157*Desenho_MUS!$B$12</f>
        <v>0</v>
      </c>
      <c r="J157" s="5" t="s">
        <v>50</v>
      </c>
    </row>
    <row r="158" customFormat="false" ht="15" hidden="false" customHeight="false" outlineLevel="0" collapsed="false">
      <c r="A158" s="5" t="n">
        <v>154</v>
      </c>
      <c r="B158" s="5" t="s">
        <v>212</v>
      </c>
      <c r="C158" s="5" t="s">
        <v>52</v>
      </c>
      <c r="D158" s="5" t="s">
        <v>53</v>
      </c>
      <c r="E158" s="6" t="n">
        <v>2809038.11</v>
      </c>
      <c r="F158" s="6" t="n">
        <v>2809038.11</v>
      </c>
      <c r="G158" s="10" t="n">
        <f aca="false">E158-F158</f>
        <v>0</v>
      </c>
      <c r="H158" s="9" t="n">
        <f aca="false">G158/E158</f>
        <v>0</v>
      </c>
      <c r="I158" s="10" t="n">
        <f aca="false">H158*Desenho_MUS!$B$12</f>
        <v>0</v>
      </c>
      <c r="J158" s="5" t="s">
        <v>50</v>
      </c>
    </row>
    <row r="159" customFormat="false" ht="15" hidden="false" customHeight="false" outlineLevel="0" collapsed="false">
      <c r="A159" s="5" t="n">
        <v>155</v>
      </c>
      <c r="B159" s="5" t="s">
        <v>213</v>
      </c>
      <c r="C159" s="5" t="s">
        <v>59</v>
      </c>
      <c r="D159" s="5" t="s">
        <v>53</v>
      </c>
      <c r="E159" s="6" t="n">
        <v>749076.68</v>
      </c>
      <c r="F159" s="6" t="n">
        <v>749076.68</v>
      </c>
      <c r="G159" s="10" t="n">
        <f aca="false">E159-F159</f>
        <v>0</v>
      </c>
      <c r="H159" s="9" t="n">
        <f aca="false">G159/E159</f>
        <v>0</v>
      </c>
      <c r="I159" s="10" t="n">
        <f aca="false">H159*Desenho_MUS!$B$12</f>
        <v>0</v>
      </c>
      <c r="J159" s="5" t="s">
        <v>50</v>
      </c>
    </row>
    <row r="160" customFormat="false" ht="15" hidden="false" customHeight="false" outlineLevel="0" collapsed="false">
      <c r="A160" s="5" t="n">
        <v>156</v>
      </c>
      <c r="B160" s="5" t="s">
        <v>214</v>
      </c>
      <c r="C160" s="5" t="s">
        <v>56</v>
      </c>
      <c r="D160" s="5" t="s">
        <v>53</v>
      </c>
      <c r="E160" s="6" t="n">
        <v>2740021.08</v>
      </c>
      <c r="F160" s="6" t="n">
        <v>2740021.08</v>
      </c>
      <c r="G160" s="10" t="n">
        <f aca="false">E160-F160</f>
        <v>0</v>
      </c>
      <c r="H160" s="9" t="n">
        <f aca="false">G160/E160</f>
        <v>0</v>
      </c>
      <c r="I160" s="10" t="n">
        <f aca="false">H160*Desenho_MUS!$B$12</f>
        <v>0</v>
      </c>
      <c r="J160" s="5" t="s">
        <v>50</v>
      </c>
    </row>
    <row r="161" customFormat="false" ht="15" hidden="false" customHeight="false" outlineLevel="0" collapsed="false">
      <c r="A161" s="5" t="n">
        <v>157</v>
      </c>
      <c r="B161" s="5" t="s">
        <v>215</v>
      </c>
      <c r="C161" s="5" t="s">
        <v>59</v>
      </c>
      <c r="D161" s="5" t="s">
        <v>53</v>
      </c>
      <c r="E161" s="6" t="n">
        <v>634307.71</v>
      </c>
      <c r="F161" s="6" t="n">
        <v>634307.71</v>
      </c>
      <c r="G161" s="10" t="n">
        <f aca="false">E161-F161</f>
        <v>0</v>
      </c>
      <c r="H161" s="9" t="n">
        <f aca="false">G161/E161</f>
        <v>0</v>
      </c>
      <c r="I161" s="10" t="n">
        <f aca="false">H161*Desenho_MUS!$B$12</f>
        <v>0</v>
      </c>
      <c r="J161" s="5" t="s">
        <v>50</v>
      </c>
    </row>
    <row r="162" customFormat="false" ht="15" hidden="false" customHeight="false" outlineLevel="0" collapsed="false">
      <c r="A162" s="5" t="n">
        <v>158</v>
      </c>
      <c r="B162" s="5" t="s">
        <v>216</v>
      </c>
      <c r="C162" s="5" t="s">
        <v>52</v>
      </c>
      <c r="D162" s="5" t="s">
        <v>61</v>
      </c>
      <c r="E162" s="6" t="n">
        <v>90769.78</v>
      </c>
      <c r="F162" s="6" t="n">
        <v>90769.78</v>
      </c>
      <c r="G162" s="10" t="n">
        <f aca="false">E162-F162</f>
        <v>0</v>
      </c>
      <c r="H162" s="9" t="n">
        <f aca="false">G162/E162</f>
        <v>0</v>
      </c>
      <c r="I162" s="10" t="n">
        <f aca="false">H162*Desenho_MUS!$B$12</f>
        <v>0</v>
      </c>
      <c r="J162" s="5" t="s">
        <v>50</v>
      </c>
    </row>
    <row r="163" customFormat="false" ht="15" hidden="false" customHeight="false" outlineLevel="0" collapsed="false">
      <c r="A163" s="5" t="n">
        <v>159</v>
      </c>
      <c r="B163" s="5" t="s">
        <v>217</v>
      </c>
      <c r="C163" s="5" t="s">
        <v>59</v>
      </c>
      <c r="D163" s="5" t="s">
        <v>53</v>
      </c>
      <c r="E163" s="6" t="n">
        <v>971041.55</v>
      </c>
      <c r="F163" s="6" t="n">
        <v>971041.55</v>
      </c>
      <c r="G163" s="10" t="n">
        <f aca="false">E163-F163</f>
        <v>0</v>
      </c>
      <c r="H163" s="9" t="n">
        <f aca="false">G163/E163</f>
        <v>0</v>
      </c>
      <c r="I163" s="10" t="n">
        <f aca="false">H163*Desenho_MUS!$B$12</f>
        <v>0</v>
      </c>
      <c r="J163" s="5" t="s">
        <v>50</v>
      </c>
    </row>
    <row r="164" customFormat="false" ht="15" hidden="false" customHeight="false" outlineLevel="0" collapsed="false">
      <c r="A164" s="5" t="n">
        <v>160</v>
      </c>
      <c r="B164" s="5" t="s">
        <v>218</v>
      </c>
      <c r="C164" s="5" t="s">
        <v>52</v>
      </c>
      <c r="D164" s="5" t="s">
        <v>61</v>
      </c>
      <c r="E164" s="6" t="n">
        <v>71966.86</v>
      </c>
      <c r="F164" s="6" t="n">
        <v>71966.86</v>
      </c>
      <c r="G164" s="10" t="n">
        <f aca="false">E164-F164</f>
        <v>0</v>
      </c>
      <c r="H164" s="9" t="n">
        <f aca="false">G164/E164</f>
        <v>0</v>
      </c>
      <c r="I164" s="10" t="n">
        <f aca="false">H164*Desenho_MUS!$B$12</f>
        <v>0</v>
      </c>
      <c r="J164" s="5" t="s">
        <v>50</v>
      </c>
    </row>
    <row r="165" customFormat="false" ht="15" hidden="false" customHeight="false" outlineLevel="0" collapsed="false">
      <c r="A165" s="5" t="n">
        <v>161</v>
      </c>
      <c r="B165" s="5" t="s">
        <v>219</v>
      </c>
      <c r="C165" s="5" t="s">
        <v>59</v>
      </c>
      <c r="D165" s="5" t="s">
        <v>53</v>
      </c>
      <c r="E165" s="6" t="n">
        <v>1736884.72</v>
      </c>
      <c r="F165" s="6" t="n">
        <v>1736884.72</v>
      </c>
      <c r="G165" s="10" t="n">
        <f aca="false">E165-F165</f>
        <v>0</v>
      </c>
      <c r="H165" s="9" t="n">
        <f aca="false">G165/E165</f>
        <v>0</v>
      </c>
      <c r="I165" s="10" t="n">
        <f aca="false">H165*Desenho_MUS!$B$12</f>
        <v>0</v>
      </c>
      <c r="J165" s="5" t="s">
        <v>50</v>
      </c>
    </row>
    <row r="166" customFormat="false" ht="15" hidden="false" customHeight="false" outlineLevel="0" collapsed="false">
      <c r="A166" s="5" t="n">
        <v>162</v>
      </c>
      <c r="B166" s="5" t="s">
        <v>220</v>
      </c>
      <c r="C166" s="5" t="s">
        <v>59</v>
      </c>
      <c r="D166" s="5" t="s">
        <v>53</v>
      </c>
      <c r="E166" s="6" t="n">
        <v>1739590.63</v>
      </c>
      <c r="F166" s="6" t="n">
        <v>1739590.63</v>
      </c>
      <c r="G166" s="10" t="n">
        <f aca="false">E166-F166</f>
        <v>0</v>
      </c>
      <c r="H166" s="9" t="n">
        <f aca="false">G166/E166</f>
        <v>0</v>
      </c>
      <c r="I166" s="10" t="n">
        <f aca="false">H166*Desenho_MUS!$B$12</f>
        <v>0</v>
      </c>
      <c r="J166" s="5" t="s">
        <v>50</v>
      </c>
    </row>
    <row r="167" customFormat="false" ht="15" hidden="false" customHeight="false" outlineLevel="0" collapsed="false">
      <c r="A167" s="5" t="n">
        <v>163</v>
      </c>
      <c r="B167" s="5" t="s">
        <v>221</v>
      </c>
      <c r="C167" s="5" t="s">
        <v>52</v>
      </c>
      <c r="D167" s="5" t="s">
        <v>53</v>
      </c>
      <c r="E167" s="6" t="n">
        <v>798878.41</v>
      </c>
      <c r="F167" s="6" t="n">
        <v>798878.41</v>
      </c>
      <c r="G167" s="10" t="n">
        <f aca="false">E167-F167</f>
        <v>0</v>
      </c>
      <c r="H167" s="9" t="n">
        <f aca="false">G167/E167</f>
        <v>0</v>
      </c>
      <c r="I167" s="10" t="n">
        <f aca="false">H167*Desenho_MUS!$B$12</f>
        <v>0</v>
      </c>
      <c r="J167" s="5" t="s">
        <v>50</v>
      </c>
    </row>
    <row r="168" customFormat="false" ht="15" hidden="false" customHeight="false" outlineLevel="0" collapsed="false">
      <c r="A168" s="5" t="n">
        <v>164</v>
      </c>
      <c r="B168" s="5" t="s">
        <v>222</v>
      </c>
      <c r="C168" s="5" t="s">
        <v>52</v>
      </c>
      <c r="D168" s="5" t="s">
        <v>53</v>
      </c>
      <c r="E168" s="6" t="n">
        <v>3127157.69</v>
      </c>
      <c r="F168" s="6" t="n">
        <v>3127157.69</v>
      </c>
      <c r="G168" s="10" t="n">
        <f aca="false">E168-F168</f>
        <v>0</v>
      </c>
      <c r="H168" s="9" t="n">
        <f aca="false">G168/E168</f>
        <v>0</v>
      </c>
      <c r="I168" s="10" t="n">
        <f aca="false">H168*Desenho_MUS!$B$12</f>
        <v>0</v>
      </c>
      <c r="J168" s="5" t="s">
        <v>50</v>
      </c>
    </row>
    <row r="169" customFormat="false" ht="15" hidden="false" customHeight="false" outlineLevel="0" collapsed="false">
      <c r="A169" s="5" t="n">
        <v>165</v>
      </c>
      <c r="B169" s="5" t="s">
        <v>223</v>
      </c>
      <c r="C169" s="5" t="s">
        <v>56</v>
      </c>
      <c r="D169" s="5" t="s">
        <v>99</v>
      </c>
      <c r="E169" s="6" t="n">
        <v>21346.58</v>
      </c>
      <c r="F169" s="6" t="n">
        <v>21346.58</v>
      </c>
      <c r="G169" s="10" t="n">
        <f aca="false">E169-F169</f>
        <v>0</v>
      </c>
      <c r="H169" s="9" t="n">
        <f aca="false">G169/E169</f>
        <v>0</v>
      </c>
      <c r="I169" s="10" t="n">
        <f aca="false">H169*Desenho_MUS!$B$12</f>
        <v>0</v>
      </c>
      <c r="J169" s="5" t="s">
        <v>50</v>
      </c>
    </row>
    <row r="170" customFormat="false" ht="15" hidden="false" customHeight="false" outlineLevel="0" collapsed="false">
      <c r="A170" s="5" t="n">
        <v>166</v>
      </c>
      <c r="B170" s="5" t="s">
        <v>224</v>
      </c>
      <c r="C170" s="5" t="s">
        <v>59</v>
      </c>
      <c r="D170" s="5" t="s">
        <v>99</v>
      </c>
      <c r="E170" s="6" t="n">
        <v>27752.32</v>
      </c>
      <c r="F170" s="6" t="n">
        <v>27752.32</v>
      </c>
      <c r="G170" s="10" t="n">
        <f aca="false">E170-F170</f>
        <v>0</v>
      </c>
      <c r="H170" s="9" t="n">
        <f aca="false">G170/E170</f>
        <v>0</v>
      </c>
      <c r="I170" s="10" t="n">
        <f aca="false">H170*Desenho_MUS!$B$12</f>
        <v>0</v>
      </c>
      <c r="J170" s="5" t="s">
        <v>50</v>
      </c>
    </row>
    <row r="171" customFormat="false" ht="15" hidden="false" customHeight="false" outlineLevel="0" collapsed="false">
      <c r="A171" s="5" t="n">
        <v>167</v>
      </c>
      <c r="B171" s="5" t="s">
        <v>225</v>
      </c>
      <c r="C171" s="5" t="s">
        <v>52</v>
      </c>
      <c r="D171" s="5" t="s">
        <v>53</v>
      </c>
      <c r="E171" s="6" t="n">
        <v>1124752.41</v>
      </c>
      <c r="F171" s="6" t="n">
        <v>1124752.41</v>
      </c>
      <c r="G171" s="10" t="n">
        <f aca="false">E171-F171</f>
        <v>0</v>
      </c>
      <c r="H171" s="9" t="n">
        <f aca="false">G171/E171</f>
        <v>0</v>
      </c>
      <c r="I171" s="10" t="n">
        <f aca="false">H171*Desenho_MUS!$B$12</f>
        <v>0</v>
      </c>
      <c r="J171" s="5" t="s">
        <v>50</v>
      </c>
    </row>
    <row r="172" customFormat="false" ht="15" hidden="false" customHeight="false" outlineLevel="0" collapsed="false">
      <c r="A172" s="5" t="n">
        <v>168</v>
      </c>
      <c r="B172" s="5" t="s">
        <v>226</v>
      </c>
      <c r="C172" s="5" t="s">
        <v>59</v>
      </c>
      <c r="D172" s="5" t="s">
        <v>49</v>
      </c>
      <c r="E172" s="6" t="n">
        <v>129831.81</v>
      </c>
      <c r="F172" s="6" t="n">
        <v>129831.81</v>
      </c>
      <c r="G172" s="10" t="n">
        <f aca="false">E172-F172</f>
        <v>0</v>
      </c>
      <c r="H172" s="9" t="n">
        <f aca="false">G172/E172</f>
        <v>0</v>
      </c>
      <c r="I172" s="10" t="n">
        <f aca="false">H172*Desenho_MUS!$B$12</f>
        <v>0</v>
      </c>
      <c r="J172" s="5" t="s">
        <v>50</v>
      </c>
    </row>
    <row r="173" customFormat="false" ht="15" hidden="false" customHeight="false" outlineLevel="0" collapsed="false">
      <c r="A173" s="5" t="n">
        <v>169</v>
      </c>
      <c r="B173" s="5" t="s">
        <v>227</v>
      </c>
      <c r="C173" s="5" t="s">
        <v>52</v>
      </c>
      <c r="D173" s="5" t="s">
        <v>53</v>
      </c>
      <c r="E173" s="6" t="n">
        <v>875225.6</v>
      </c>
      <c r="F173" s="6" t="n">
        <v>875225.6</v>
      </c>
      <c r="G173" s="10" t="n">
        <f aca="false">E173-F173</f>
        <v>0</v>
      </c>
      <c r="H173" s="9" t="n">
        <f aca="false">G173/E173</f>
        <v>0</v>
      </c>
      <c r="I173" s="10" t="n">
        <f aca="false">H173*Desenho_MUS!$B$12</f>
        <v>0</v>
      </c>
      <c r="J173" s="5" t="s">
        <v>50</v>
      </c>
    </row>
    <row r="174" customFormat="false" ht="15" hidden="false" customHeight="false" outlineLevel="0" collapsed="false">
      <c r="A174" s="5" t="n">
        <v>170</v>
      </c>
      <c r="B174" s="5" t="s">
        <v>228</v>
      </c>
      <c r="C174" s="5" t="s">
        <v>52</v>
      </c>
      <c r="D174" s="5" t="s">
        <v>53</v>
      </c>
      <c r="E174" s="6" t="n">
        <v>1114578.53</v>
      </c>
      <c r="F174" s="6" t="n">
        <v>1114578.53</v>
      </c>
      <c r="G174" s="10" t="n">
        <f aca="false">E174-F174</f>
        <v>0</v>
      </c>
      <c r="H174" s="9" t="n">
        <f aca="false">G174/E174</f>
        <v>0</v>
      </c>
      <c r="I174" s="10" t="n">
        <f aca="false">H174*Desenho_MUS!$B$12</f>
        <v>0</v>
      </c>
      <c r="J174" s="5" t="s">
        <v>50</v>
      </c>
    </row>
    <row r="175" customFormat="false" ht="15" hidden="false" customHeight="false" outlineLevel="0" collapsed="false">
      <c r="A175" s="5" t="n">
        <v>171</v>
      </c>
      <c r="B175" s="5" t="s">
        <v>229</v>
      </c>
      <c r="C175" s="5" t="s">
        <v>59</v>
      </c>
      <c r="D175" s="5" t="s">
        <v>61</v>
      </c>
      <c r="E175" s="6" t="n">
        <v>36508.18</v>
      </c>
      <c r="F175" s="6" t="n">
        <v>36508.18</v>
      </c>
      <c r="G175" s="10" t="n">
        <f aca="false">E175-F175</f>
        <v>0</v>
      </c>
      <c r="H175" s="9" t="n">
        <f aca="false">G175/E175</f>
        <v>0</v>
      </c>
      <c r="I175" s="10" t="n">
        <f aca="false">H175*Desenho_MUS!$B$12</f>
        <v>0</v>
      </c>
      <c r="J175" s="5" t="s">
        <v>50</v>
      </c>
    </row>
    <row r="176" customFormat="false" ht="15" hidden="false" customHeight="false" outlineLevel="0" collapsed="false">
      <c r="A176" s="5" t="n">
        <v>172</v>
      </c>
      <c r="B176" s="5" t="s">
        <v>230</v>
      </c>
      <c r="C176" s="5" t="s">
        <v>56</v>
      </c>
      <c r="D176" s="5" t="s">
        <v>53</v>
      </c>
      <c r="E176" s="6" t="n">
        <v>733988.88</v>
      </c>
      <c r="F176" s="6" t="n">
        <v>733988.88</v>
      </c>
      <c r="G176" s="10" t="n">
        <f aca="false">E176-F176</f>
        <v>0</v>
      </c>
      <c r="H176" s="9" t="n">
        <f aca="false">G176/E176</f>
        <v>0</v>
      </c>
      <c r="I176" s="10" t="n">
        <f aca="false">H176*Desenho_MUS!$B$12</f>
        <v>0</v>
      </c>
      <c r="J176" s="5" t="s">
        <v>50</v>
      </c>
    </row>
    <row r="177" customFormat="false" ht="15" hidden="false" customHeight="false" outlineLevel="0" collapsed="false">
      <c r="A177" s="5" t="n">
        <v>173</v>
      </c>
      <c r="B177" s="5" t="s">
        <v>231</v>
      </c>
      <c r="C177" s="5" t="s">
        <v>59</v>
      </c>
      <c r="D177" s="5" t="s">
        <v>49</v>
      </c>
      <c r="E177" s="6" t="n">
        <v>84380.8</v>
      </c>
      <c r="F177" s="6" t="n">
        <v>84380.8</v>
      </c>
      <c r="G177" s="10" t="n">
        <f aca="false">E177-F177</f>
        <v>0</v>
      </c>
      <c r="H177" s="9" t="n">
        <f aca="false">G177/E177</f>
        <v>0</v>
      </c>
      <c r="I177" s="10" t="n">
        <f aca="false">H177*Desenho_MUS!$B$12</f>
        <v>0</v>
      </c>
      <c r="J177" s="5" t="s">
        <v>50</v>
      </c>
    </row>
    <row r="178" customFormat="false" ht="15" hidden="false" customHeight="false" outlineLevel="0" collapsed="false">
      <c r="A178" s="5" t="n">
        <v>174</v>
      </c>
      <c r="B178" s="5" t="s">
        <v>232</v>
      </c>
      <c r="C178" s="5" t="s">
        <v>59</v>
      </c>
      <c r="D178" s="5" t="s">
        <v>49</v>
      </c>
      <c r="E178" s="6" t="n">
        <v>73337.53</v>
      </c>
      <c r="F178" s="6" t="n">
        <v>73337.53</v>
      </c>
      <c r="G178" s="10" t="n">
        <f aca="false">E178-F178</f>
        <v>0</v>
      </c>
      <c r="H178" s="9" t="n">
        <f aca="false">G178/E178</f>
        <v>0</v>
      </c>
      <c r="I178" s="10" t="n">
        <f aca="false">H178*Desenho_MUS!$B$12</f>
        <v>0</v>
      </c>
      <c r="J178" s="5" t="s">
        <v>50</v>
      </c>
    </row>
    <row r="179" customFormat="false" ht="15" hidden="false" customHeight="false" outlineLevel="0" collapsed="false">
      <c r="A179" s="5" t="n">
        <v>175</v>
      </c>
      <c r="B179" s="5" t="s">
        <v>233</v>
      </c>
      <c r="C179" s="5" t="s">
        <v>52</v>
      </c>
      <c r="D179" s="5" t="s">
        <v>49</v>
      </c>
      <c r="E179" s="6" t="n">
        <v>99231.85</v>
      </c>
      <c r="F179" s="6" t="n">
        <v>99231.85</v>
      </c>
      <c r="G179" s="10" t="n">
        <f aca="false">E179-F179</f>
        <v>0</v>
      </c>
      <c r="H179" s="9" t="n">
        <f aca="false">G179/E179</f>
        <v>0</v>
      </c>
      <c r="I179" s="10" t="n">
        <f aca="false">H179*Desenho_MUS!$B$12</f>
        <v>0</v>
      </c>
      <c r="J179" s="5" t="s">
        <v>50</v>
      </c>
    </row>
    <row r="180" customFormat="false" ht="15" hidden="false" customHeight="false" outlineLevel="0" collapsed="false">
      <c r="A180" s="5" t="n">
        <v>176</v>
      </c>
      <c r="B180" s="5" t="s">
        <v>234</v>
      </c>
      <c r="C180" s="5" t="s">
        <v>52</v>
      </c>
      <c r="D180" s="5" t="s">
        <v>53</v>
      </c>
      <c r="E180" s="6" t="n">
        <v>1422436.92</v>
      </c>
      <c r="F180" s="6" t="n">
        <v>1422436.92</v>
      </c>
      <c r="G180" s="10" t="n">
        <f aca="false">E180-F180</f>
        <v>0</v>
      </c>
      <c r="H180" s="9" t="n">
        <f aca="false">G180/E180</f>
        <v>0</v>
      </c>
      <c r="I180" s="10" t="n">
        <f aca="false">H180*Desenho_MUS!$B$12</f>
        <v>0</v>
      </c>
      <c r="J180" s="5" t="s">
        <v>50</v>
      </c>
    </row>
    <row r="181" customFormat="false" ht="15" hidden="false" customHeight="false" outlineLevel="0" collapsed="false">
      <c r="A181" s="5" t="n">
        <v>177</v>
      </c>
      <c r="B181" s="5" t="s">
        <v>235</v>
      </c>
      <c r="C181" s="5" t="s">
        <v>56</v>
      </c>
      <c r="D181" s="5" t="s">
        <v>53</v>
      </c>
      <c r="E181" s="6" t="n">
        <v>2047052.84</v>
      </c>
      <c r="F181" s="6" t="n">
        <v>2047052.84</v>
      </c>
      <c r="G181" s="10" t="n">
        <f aca="false">E181-F181</f>
        <v>0</v>
      </c>
      <c r="H181" s="9" t="n">
        <f aca="false">G181/E181</f>
        <v>0</v>
      </c>
      <c r="I181" s="10" t="n">
        <f aca="false">H181*Desenho_MUS!$B$12</f>
        <v>0</v>
      </c>
      <c r="J181" s="5" t="s">
        <v>50</v>
      </c>
    </row>
    <row r="182" customFormat="false" ht="15" hidden="false" customHeight="false" outlineLevel="0" collapsed="false">
      <c r="A182" s="5" t="n">
        <v>178</v>
      </c>
      <c r="B182" s="5" t="s">
        <v>236</v>
      </c>
      <c r="C182" s="5" t="s">
        <v>56</v>
      </c>
      <c r="D182" s="5" t="s">
        <v>49</v>
      </c>
      <c r="E182" s="6" t="n">
        <v>51936.12</v>
      </c>
      <c r="F182" s="6" t="n">
        <v>51936.12</v>
      </c>
      <c r="G182" s="10" t="n">
        <f aca="false">E182-F182</f>
        <v>0</v>
      </c>
      <c r="H182" s="9" t="n">
        <f aca="false">G182/E182</f>
        <v>0</v>
      </c>
      <c r="I182" s="10" t="n">
        <f aca="false">H182*Desenho_MUS!$B$12</f>
        <v>0</v>
      </c>
      <c r="J182" s="5" t="s">
        <v>50</v>
      </c>
    </row>
    <row r="183" customFormat="false" ht="15" hidden="false" customHeight="false" outlineLevel="0" collapsed="false">
      <c r="A183" s="5" t="n">
        <v>179</v>
      </c>
      <c r="B183" s="5" t="s">
        <v>237</v>
      </c>
      <c r="C183" s="5" t="s">
        <v>52</v>
      </c>
      <c r="D183" s="5" t="s">
        <v>99</v>
      </c>
      <c r="E183" s="6" t="n">
        <v>34157.85</v>
      </c>
      <c r="F183" s="6" t="n">
        <v>34157.85</v>
      </c>
      <c r="G183" s="10" t="n">
        <f aca="false">E183-F183</f>
        <v>0</v>
      </c>
      <c r="H183" s="9" t="n">
        <f aca="false">G183/E183</f>
        <v>0</v>
      </c>
      <c r="I183" s="10" t="n">
        <f aca="false">H183*Desenho_MUS!$B$12</f>
        <v>0</v>
      </c>
      <c r="J183" s="5" t="s">
        <v>50</v>
      </c>
    </row>
    <row r="184" customFormat="false" ht="15" hidden="false" customHeight="false" outlineLevel="0" collapsed="false">
      <c r="A184" s="5" t="n">
        <v>180</v>
      </c>
      <c r="B184" s="5" t="s">
        <v>238</v>
      </c>
      <c r="C184" s="5" t="s">
        <v>59</v>
      </c>
      <c r="D184" s="5" t="s">
        <v>61</v>
      </c>
      <c r="E184" s="6" t="n">
        <v>65325.27</v>
      </c>
      <c r="F184" s="6" t="n">
        <v>65325.27</v>
      </c>
      <c r="G184" s="10" t="n">
        <f aca="false">E184-F184</f>
        <v>0</v>
      </c>
      <c r="H184" s="9" t="n">
        <f aca="false">G184/E184</f>
        <v>0</v>
      </c>
      <c r="I184" s="10" t="n">
        <f aca="false">H184*Desenho_MUS!$B$12</f>
        <v>0</v>
      </c>
      <c r="J184" s="5" t="s">
        <v>50</v>
      </c>
    </row>
    <row r="185" customFormat="false" ht="15" hidden="false" customHeight="false" outlineLevel="0" collapsed="false">
      <c r="A185" s="5" t="n">
        <v>181</v>
      </c>
      <c r="B185" s="5" t="s">
        <v>239</v>
      </c>
      <c r="C185" s="5" t="s">
        <v>59</v>
      </c>
      <c r="D185" s="5" t="s">
        <v>53</v>
      </c>
      <c r="E185" s="6" t="n">
        <v>2558984.56</v>
      </c>
      <c r="F185" s="6" t="n">
        <v>2558984.56</v>
      </c>
      <c r="G185" s="10" t="n">
        <f aca="false">E185-F185</f>
        <v>0</v>
      </c>
      <c r="H185" s="9" t="n">
        <f aca="false">G185/E185</f>
        <v>0</v>
      </c>
      <c r="I185" s="10" t="n">
        <f aca="false">H185*Desenho_MUS!$B$12</f>
        <v>0</v>
      </c>
      <c r="J185" s="5" t="s">
        <v>50</v>
      </c>
    </row>
    <row r="186" customFormat="false" ht="15" hidden="false" customHeight="false" outlineLevel="0" collapsed="false">
      <c r="A186" s="5" t="n">
        <v>182</v>
      </c>
      <c r="B186" s="5" t="s">
        <v>240</v>
      </c>
      <c r="C186" s="5" t="s">
        <v>52</v>
      </c>
      <c r="D186" s="5" t="s">
        <v>49</v>
      </c>
      <c r="E186" s="6" t="n">
        <v>168752.06</v>
      </c>
      <c r="F186" s="6" t="n">
        <v>168752.06</v>
      </c>
      <c r="G186" s="10" t="n">
        <f aca="false">E186-F186</f>
        <v>0</v>
      </c>
      <c r="H186" s="9" t="n">
        <f aca="false">G186/E186</f>
        <v>0</v>
      </c>
      <c r="I186" s="10" t="n">
        <f aca="false">H186*Desenho_MUS!$B$12</f>
        <v>0</v>
      </c>
      <c r="J186" s="5" t="s">
        <v>50</v>
      </c>
    </row>
    <row r="187" customFormat="false" ht="15" hidden="false" customHeight="false" outlineLevel="0" collapsed="false">
      <c r="A187" s="5" t="n">
        <v>183</v>
      </c>
      <c r="B187" s="5" t="s">
        <v>241</v>
      </c>
      <c r="C187" s="5" t="s">
        <v>52</v>
      </c>
      <c r="D187" s="5" t="s">
        <v>53</v>
      </c>
      <c r="E187" s="6" t="n">
        <v>2926810.61</v>
      </c>
      <c r="F187" s="6" t="n">
        <v>2926810.61</v>
      </c>
      <c r="G187" s="10" t="n">
        <f aca="false">E187-F187</f>
        <v>0</v>
      </c>
      <c r="H187" s="9" t="n">
        <f aca="false">G187/E187</f>
        <v>0</v>
      </c>
      <c r="I187" s="10" t="n">
        <f aca="false">H187*Desenho_MUS!$B$12</f>
        <v>0</v>
      </c>
      <c r="J187" s="5" t="s">
        <v>50</v>
      </c>
    </row>
    <row r="188" customFormat="false" ht="15" hidden="false" customHeight="false" outlineLevel="0" collapsed="false">
      <c r="A188" s="5" t="n">
        <v>184</v>
      </c>
      <c r="B188" s="5" t="s">
        <v>242</v>
      </c>
      <c r="C188" s="5" t="s">
        <v>59</v>
      </c>
      <c r="D188" s="5" t="s">
        <v>99</v>
      </c>
      <c r="E188" s="6" t="n">
        <v>11106.49</v>
      </c>
      <c r="F188" s="6" t="n">
        <v>11106.49</v>
      </c>
      <c r="G188" s="10" t="n">
        <f aca="false">E188-F188</f>
        <v>0</v>
      </c>
      <c r="H188" s="9" t="n">
        <f aca="false">G188/E188</f>
        <v>0</v>
      </c>
      <c r="I188" s="10" t="n">
        <f aca="false">H188*Desenho_MUS!$B$12</f>
        <v>0</v>
      </c>
      <c r="J188" s="5" t="s">
        <v>50</v>
      </c>
    </row>
    <row r="189" customFormat="false" ht="15" hidden="false" customHeight="false" outlineLevel="0" collapsed="false">
      <c r="A189" s="5" t="n">
        <v>185</v>
      </c>
      <c r="B189" s="5" t="s">
        <v>243</v>
      </c>
      <c r="C189" s="5" t="s">
        <v>52</v>
      </c>
      <c r="D189" s="5" t="s">
        <v>99</v>
      </c>
      <c r="E189" s="6" t="n">
        <v>11771.75</v>
      </c>
      <c r="F189" s="6" t="n">
        <v>11771.75</v>
      </c>
      <c r="G189" s="10" t="n">
        <f aca="false">E189-F189</f>
        <v>0</v>
      </c>
      <c r="H189" s="9" t="n">
        <f aca="false">G189/E189</f>
        <v>0</v>
      </c>
      <c r="I189" s="10" t="n">
        <f aca="false">H189*Desenho_MUS!$B$12</f>
        <v>0</v>
      </c>
      <c r="J189" s="5" t="s">
        <v>50</v>
      </c>
    </row>
    <row r="190" customFormat="false" ht="15" hidden="false" customHeight="false" outlineLevel="0" collapsed="false">
      <c r="A190" s="5" t="n">
        <v>186</v>
      </c>
      <c r="B190" s="5" t="s">
        <v>244</v>
      </c>
      <c r="C190" s="5" t="s">
        <v>59</v>
      </c>
      <c r="D190" s="5" t="s">
        <v>49</v>
      </c>
      <c r="E190" s="6" t="n">
        <v>59185.84</v>
      </c>
      <c r="F190" s="6" t="n">
        <v>59185.84</v>
      </c>
      <c r="G190" s="10" t="n">
        <f aca="false">E190-F190</f>
        <v>0</v>
      </c>
      <c r="H190" s="9" t="n">
        <f aca="false">G190/E190</f>
        <v>0</v>
      </c>
      <c r="I190" s="10" t="n">
        <f aca="false">H190*Desenho_MUS!$B$12</f>
        <v>0</v>
      </c>
      <c r="J190" s="5" t="s">
        <v>50</v>
      </c>
    </row>
    <row r="191" customFormat="false" ht="15" hidden="false" customHeight="false" outlineLevel="0" collapsed="false">
      <c r="A191" s="5" t="n">
        <v>187</v>
      </c>
      <c r="B191" s="5" t="s">
        <v>245</v>
      </c>
      <c r="C191" s="5" t="s">
        <v>52</v>
      </c>
      <c r="D191" s="5" t="s">
        <v>49</v>
      </c>
      <c r="E191" s="6" t="n">
        <v>17727.41</v>
      </c>
      <c r="F191" s="6" t="n">
        <v>0</v>
      </c>
      <c r="G191" s="10" t="n">
        <f aca="false">E191-F191</f>
        <v>17727.41</v>
      </c>
      <c r="H191" s="9" t="n">
        <f aca="false">G191/E191</f>
        <v>1</v>
      </c>
      <c r="I191" s="10" t="n">
        <f aca="false">H191*Desenho_MUS!$B$12</f>
        <v>76944464.9350649</v>
      </c>
      <c r="J191" s="5" t="s">
        <v>246</v>
      </c>
    </row>
    <row r="192" customFormat="false" ht="15" hidden="false" customHeight="false" outlineLevel="0" collapsed="false">
      <c r="A192" s="5" t="n">
        <v>188</v>
      </c>
      <c r="B192" s="5" t="s">
        <v>247</v>
      </c>
      <c r="C192" s="5" t="s">
        <v>56</v>
      </c>
      <c r="D192" s="5" t="s">
        <v>99</v>
      </c>
      <c r="E192" s="6" t="n">
        <v>11861.3</v>
      </c>
      <c r="F192" s="6" t="n">
        <v>11861.3</v>
      </c>
      <c r="G192" s="10" t="n">
        <f aca="false">E192-F192</f>
        <v>0</v>
      </c>
      <c r="H192" s="9" t="n">
        <f aca="false">G192/E192</f>
        <v>0</v>
      </c>
      <c r="I192" s="10" t="n">
        <f aca="false">H192*Desenho_MUS!$B$12</f>
        <v>0</v>
      </c>
      <c r="J192" s="5" t="s">
        <v>50</v>
      </c>
    </row>
    <row r="193" customFormat="false" ht="15" hidden="false" customHeight="false" outlineLevel="0" collapsed="false">
      <c r="A193" s="5" t="n">
        <v>189</v>
      </c>
      <c r="B193" s="5" t="s">
        <v>248</v>
      </c>
      <c r="C193" s="5" t="s">
        <v>52</v>
      </c>
      <c r="D193" s="5" t="s">
        <v>117</v>
      </c>
      <c r="E193" s="6" t="n">
        <v>5338.48</v>
      </c>
      <c r="F193" s="6" t="n">
        <v>5338.48</v>
      </c>
      <c r="G193" s="10" t="n">
        <f aca="false">E193-F193</f>
        <v>0</v>
      </c>
      <c r="H193" s="9" t="n">
        <f aca="false">G193/E193</f>
        <v>0</v>
      </c>
      <c r="I193" s="10" t="n">
        <f aca="false">H193*Desenho_MUS!$B$12</f>
        <v>0</v>
      </c>
      <c r="J193" s="5" t="s">
        <v>50</v>
      </c>
    </row>
    <row r="194" customFormat="false" ht="15" hidden="false" customHeight="false" outlineLevel="0" collapsed="false">
      <c r="A194" s="5" t="n">
        <v>190</v>
      </c>
      <c r="B194" s="5" t="s">
        <v>249</v>
      </c>
      <c r="C194" s="5" t="s">
        <v>56</v>
      </c>
      <c r="D194" s="5" t="s">
        <v>49</v>
      </c>
      <c r="E194" s="6" t="n">
        <v>98683.49</v>
      </c>
      <c r="F194" s="6" t="n">
        <v>98683.49</v>
      </c>
      <c r="G194" s="10" t="n">
        <f aca="false">E194-F194</f>
        <v>0</v>
      </c>
      <c r="H194" s="9" t="n">
        <f aca="false">G194/E194</f>
        <v>0</v>
      </c>
      <c r="I194" s="10" t="n">
        <f aca="false">H194*Desenho_MUS!$B$12</f>
        <v>0</v>
      </c>
      <c r="J194" s="5" t="s">
        <v>50</v>
      </c>
    </row>
    <row r="195" customFormat="false" ht="15" hidden="false" customHeight="false" outlineLevel="0" collapsed="false">
      <c r="A195" s="5" t="n">
        <v>191</v>
      </c>
      <c r="B195" s="5" t="s">
        <v>250</v>
      </c>
      <c r="C195" s="5" t="s">
        <v>52</v>
      </c>
      <c r="D195" s="5" t="s">
        <v>61</v>
      </c>
      <c r="E195" s="6" t="n">
        <v>45216.63</v>
      </c>
      <c r="F195" s="6" t="n">
        <v>45216.63</v>
      </c>
      <c r="G195" s="10" t="n">
        <f aca="false">E195-F195</f>
        <v>0</v>
      </c>
      <c r="H195" s="9" t="n">
        <f aca="false">G195/E195</f>
        <v>0</v>
      </c>
      <c r="I195" s="10" t="n">
        <f aca="false">H195*Desenho_MUS!$B$12</f>
        <v>0</v>
      </c>
      <c r="J195" s="5" t="s">
        <v>50</v>
      </c>
    </row>
    <row r="196" customFormat="false" ht="15" hidden="false" customHeight="false" outlineLevel="0" collapsed="false">
      <c r="A196" s="5" t="n">
        <v>192</v>
      </c>
      <c r="B196" s="5" t="s">
        <v>251</v>
      </c>
      <c r="C196" s="5" t="s">
        <v>52</v>
      </c>
      <c r="D196" s="5" t="s">
        <v>53</v>
      </c>
      <c r="E196" s="6" t="n">
        <v>917494.89</v>
      </c>
      <c r="F196" s="6" t="n">
        <v>917494.89</v>
      </c>
      <c r="G196" s="10" t="n">
        <f aca="false">E196-F196</f>
        <v>0</v>
      </c>
      <c r="H196" s="9" t="n">
        <f aca="false">G196/E196</f>
        <v>0</v>
      </c>
      <c r="I196" s="10" t="n">
        <f aca="false">H196*Desenho_MUS!$B$12</f>
        <v>0</v>
      </c>
      <c r="J196" s="5" t="s">
        <v>50</v>
      </c>
    </row>
    <row r="197" customFormat="false" ht="15" hidden="false" customHeight="false" outlineLevel="0" collapsed="false">
      <c r="A197" s="5" t="n">
        <v>193</v>
      </c>
      <c r="B197" s="5" t="s">
        <v>252</v>
      </c>
      <c r="C197" s="5" t="s">
        <v>59</v>
      </c>
      <c r="D197" s="5" t="s">
        <v>49</v>
      </c>
      <c r="E197" s="6" t="n">
        <v>175655.44</v>
      </c>
      <c r="F197" s="6" t="n">
        <v>175655.44</v>
      </c>
      <c r="G197" s="10" t="n">
        <f aca="false">E197-F197</f>
        <v>0</v>
      </c>
      <c r="H197" s="9" t="n">
        <f aca="false">G197/E197</f>
        <v>0</v>
      </c>
      <c r="I197" s="10" t="n">
        <f aca="false">H197*Desenho_MUS!$B$12</f>
        <v>0</v>
      </c>
      <c r="J197" s="5" t="s">
        <v>50</v>
      </c>
    </row>
    <row r="198" customFormat="false" ht="15" hidden="false" customHeight="false" outlineLevel="0" collapsed="false">
      <c r="A198" s="5" t="n">
        <v>194</v>
      </c>
      <c r="B198" s="5" t="s">
        <v>253</v>
      </c>
      <c r="C198" s="5" t="s">
        <v>59</v>
      </c>
      <c r="D198" s="5" t="s">
        <v>61</v>
      </c>
      <c r="E198" s="6" t="n">
        <v>81971.4</v>
      </c>
      <c r="F198" s="6" t="n">
        <v>81971.4</v>
      </c>
      <c r="G198" s="10" t="n">
        <f aca="false">E198-F198</f>
        <v>0</v>
      </c>
      <c r="H198" s="9" t="n">
        <f aca="false">G198/E198</f>
        <v>0</v>
      </c>
      <c r="I198" s="10" t="n">
        <f aca="false">H198*Desenho_MUS!$B$12</f>
        <v>0</v>
      </c>
      <c r="J198" s="5" t="s">
        <v>50</v>
      </c>
    </row>
    <row r="199" customFormat="false" ht="15" hidden="false" customHeight="false" outlineLevel="0" collapsed="false">
      <c r="A199" s="5" t="n">
        <v>195</v>
      </c>
      <c r="B199" s="5" t="s">
        <v>254</v>
      </c>
      <c r="C199" s="5" t="s">
        <v>52</v>
      </c>
      <c r="D199" s="5" t="s">
        <v>53</v>
      </c>
      <c r="E199" s="6" t="n">
        <v>1924885.49</v>
      </c>
      <c r="F199" s="6" t="n">
        <v>1924885.49</v>
      </c>
      <c r="G199" s="10" t="n">
        <f aca="false">E199-F199</f>
        <v>0</v>
      </c>
      <c r="H199" s="9" t="n">
        <f aca="false">G199/E199</f>
        <v>0</v>
      </c>
      <c r="I199" s="10" t="n">
        <f aca="false">H199*Desenho_MUS!$B$12</f>
        <v>0</v>
      </c>
      <c r="J199" s="5" t="s">
        <v>50</v>
      </c>
    </row>
    <row r="200" customFormat="false" ht="15" hidden="false" customHeight="false" outlineLevel="0" collapsed="false">
      <c r="A200" s="5" t="n">
        <v>196</v>
      </c>
      <c r="B200" s="5" t="s">
        <v>255</v>
      </c>
      <c r="C200" s="5" t="s">
        <v>59</v>
      </c>
      <c r="D200" s="5" t="s">
        <v>61</v>
      </c>
      <c r="E200" s="6" t="n">
        <v>110853.29</v>
      </c>
      <c r="F200" s="6" t="n">
        <v>110853.29</v>
      </c>
      <c r="G200" s="10" t="n">
        <f aca="false">E200-F200</f>
        <v>0</v>
      </c>
      <c r="H200" s="9" t="n">
        <f aca="false">G200/E200</f>
        <v>0</v>
      </c>
      <c r="I200" s="10" t="n">
        <f aca="false">H200*Desenho_MUS!$B$12</f>
        <v>0</v>
      </c>
      <c r="J200" s="5" t="s">
        <v>50</v>
      </c>
    </row>
    <row r="201" customFormat="false" ht="15" hidden="false" customHeight="false" outlineLevel="0" collapsed="false">
      <c r="A201" s="5" t="n">
        <v>197</v>
      </c>
      <c r="B201" s="5" t="s">
        <v>256</v>
      </c>
      <c r="C201" s="5" t="s">
        <v>59</v>
      </c>
      <c r="D201" s="5" t="s">
        <v>49</v>
      </c>
      <c r="E201" s="6" t="n">
        <v>200840.44</v>
      </c>
      <c r="F201" s="6" t="n">
        <v>200840.44</v>
      </c>
      <c r="G201" s="10" t="n">
        <f aca="false">E201-F201</f>
        <v>0</v>
      </c>
      <c r="H201" s="9" t="n">
        <f aca="false">G201/E201</f>
        <v>0</v>
      </c>
      <c r="I201" s="10" t="n">
        <f aca="false">H201*Desenho_MUS!$B$12</f>
        <v>0</v>
      </c>
      <c r="J201" s="5" t="s">
        <v>50</v>
      </c>
    </row>
    <row r="202" customFormat="false" ht="15" hidden="false" customHeight="false" outlineLevel="0" collapsed="false">
      <c r="A202" s="5" t="n">
        <v>198</v>
      </c>
      <c r="B202" s="5" t="s">
        <v>257</v>
      </c>
      <c r="C202" s="5" t="s">
        <v>52</v>
      </c>
      <c r="D202" s="5" t="s">
        <v>53</v>
      </c>
      <c r="E202" s="6" t="n">
        <v>2144382.92</v>
      </c>
      <c r="F202" s="6" t="n">
        <v>2144382.92</v>
      </c>
      <c r="G202" s="10" t="n">
        <f aca="false">E202-F202</f>
        <v>0</v>
      </c>
      <c r="H202" s="9" t="n">
        <f aca="false">G202/E202</f>
        <v>0</v>
      </c>
      <c r="I202" s="10" t="n">
        <f aca="false">H202*Desenho_MUS!$B$12</f>
        <v>0</v>
      </c>
      <c r="J202" s="5" t="s">
        <v>50</v>
      </c>
    </row>
    <row r="203" customFormat="false" ht="15" hidden="false" customHeight="false" outlineLevel="0" collapsed="false">
      <c r="A203" s="5" t="n">
        <v>199</v>
      </c>
      <c r="B203" s="5" t="s">
        <v>258</v>
      </c>
      <c r="C203" s="5" t="s">
        <v>59</v>
      </c>
      <c r="D203" s="5" t="s">
        <v>53</v>
      </c>
      <c r="E203" s="6" t="n">
        <v>1386579.3</v>
      </c>
      <c r="F203" s="6" t="n">
        <v>1386579.3</v>
      </c>
      <c r="G203" s="10" t="n">
        <f aca="false">E203-F203</f>
        <v>0</v>
      </c>
      <c r="H203" s="9" t="n">
        <f aca="false">G203/E203</f>
        <v>0</v>
      </c>
      <c r="I203" s="10" t="n">
        <f aca="false">H203*Desenho_MUS!$B$12</f>
        <v>0</v>
      </c>
      <c r="J203" s="5" t="s">
        <v>50</v>
      </c>
    </row>
    <row r="204" customFormat="false" ht="15" hidden="false" customHeight="false" outlineLevel="0" collapsed="false">
      <c r="A204" s="5" t="n">
        <v>200</v>
      </c>
      <c r="B204" s="5" t="s">
        <v>259</v>
      </c>
      <c r="C204" s="5" t="s">
        <v>52</v>
      </c>
      <c r="D204" s="5" t="s">
        <v>61</v>
      </c>
      <c r="E204" s="6" t="n">
        <v>37072.63</v>
      </c>
      <c r="F204" s="6" t="n">
        <v>37072.63</v>
      </c>
      <c r="G204" s="10" t="n">
        <f aca="false">E204-F204</f>
        <v>0</v>
      </c>
      <c r="H204" s="9" t="n">
        <f aca="false">G204/E204</f>
        <v>0</v>
      </c>
      <c r="I204" s="10" t="n">
        <f aca="false">H204*Desenho_MUS!$B$12</f>
        <v>0</v>
      </c>
      <c r="J204" s="5" t="s">
        <v>50</v>
      </c>
    </row>
    <row r="205" customFormat="false" ht="15" hidden="false" customHeight="false" outlineLevel="0" collapsed="false">
      <c r="A205" s="5" t="n">
        <v>201</v>
      </c>
      <c r="B205" s="5" t="s">
        <v>260</v>
      </c>
      <c r="C205" s="5" t="s">
        <v>59</v>
      </c>
      <c r="D205" s="5" t="s">
        <v>53</v>
      </c>
      <c r="E205" s="6" t="n">
        <v>1571537.27</v>
      </c>
      <c r="F205" s="6" t="n">
        <v>1571537.27</v>
      </c>
      <c r="G205" s="10" t="n">
        <f aca="false">E205-F205</f>
        <v>0</v>
      </c>
      <c r="H205" s="9" t="n">
        <f aca="false">G205/E205</f>
        <v>0</v>
      </c>
      <c r="I205" s="10" t="n">
        <f aca="false">H205*Desenho_MUS!$B$12</f>
        <v>0</v>
      </c>
      <c r="J205" s="5" t="s">
        <v>50</v>
      </c>
    </row>
    <row r="206" customFormat="false" ht="15" hidden="false" customHeight="false" outlineLevel="0" collapsed="false">
      <c r="A206" s="5" t="n">
        <v>202</v>
      </c>
      <c r="B206" s="5" t="s">
        <v>261</v>
      </c>
      <c r="C206" s="5" t="s">
        <v>52</v>
      </c>
      <c r="D206" s="5" t="s">
        <v>53</v>
      </c>
      <c r="E206" s="6" t="n">
        <v>2441469.08</v>
      </c>
      <c r="F206" s="6" t="n">
        <v>2441469.08</v>
      </c>
      <c r="G206" s="10" t="n">
        <f aca="false">E206-F206</f>
        <v>0</v>
      </c>
      <c r="H206" s="9" t="n">
        <f aca="false">G206/E206</f>
        <v>0</v>
      </c>
      <c r="I206" s="10" t="n">
        <f aca="false">H206*Desenho_MUS!$B$12</f>
        <v>0</v>
      </c>
      <c r="J206" s="5" t="s">
        <v>50</v>
      </c>
    </row>
    <row r="207" customFormat="false" ht="15" hidden="false" customHeight="false" outlineLevel="0" collapsed="false">
      <c r="A207" s="5" t="n">
        <v>203</v>
      </c>
      <c r="B207" s="5" t="s">
        <v>262</v>
      </c>
      <c r="C207" s="5" t="s">
        <v>52</v>
      </c>
      <c r="D207" s="5" t="s">
        <v>61</v>
      </c>
      <c r="E207" s="6" t="n">
        <v>41073.3</v>
      </c>
      <c r="F207" s="6" t="n">
        <v>41073.3</v>
      </c>
      <c r="G207" s="10" t="n">
        <f aca="false">E207-F207</f>
        <v>0</v>
      </c>
      <c r="H207" s="9" t="n">
        <f aca="false">G207/E207</f>
        <v>0</v>
      </c>
      <c r="I207" s="10" t="n">
        <f aca="false">H207*Desenho_MUS!$B$12</f>
        <v>0</v>
      </c>
      <c r="J207" s="5" t="s">
        <v>50</v>
      </c>
    </row>
    <row r="208" customFormat="false" ht="15" hidden="false" customHeight="false" outlineLevel="0" collapsed="false">
      <c r="A208" s="5" t="n">
        <v>204</v>
      </c>
      <c r="B208" s="5" t="s">
        <v>263</v>
      </c>
      <c r="C208" s="5" t="s">
        <v>59</v>
      </c>
      <c r="D208" s="5" t="s">
        <v>61</v>
      </c>
      <c r="E208" s="6" t="n">
        <v>64084.15</v>
      </c>
      <c r="F208" s="6" t="n">
        <v>64084.15</v>
      </c>
      <c r="G208" s="10" t="n">
        <f aca="false">E208-F208</f>
        <v>0</v>
      </c>
      <c r="H208" s="9" t="n">
        <f aca="false">G208/E208</f>
        <v>0</v>
      </c>
      <c r="I208" s="10" t="n">
        <f aca="false">H208*Desenho_MUS!$B$12</f>
        <v>0</v>
      </c>
      <c r="J208" s="5" t="s">
        <v>50</v>
      </c>
    </row>
    <row r="209" customFormat="false" ht="15" hidden="false" customHeight="false" outlineLevel="0" collapsed="false">
      <c r="A209" s="5" t="n">
        <v>205</v>
      </c>
      <c r="B209" s="5" t="s">
        <v>264</v>
      </c>
      <c r="C209" s="5" t="s">
        <v>56</v>
      </c>
      <c r="D209" s="5" t="s">
        <v>53</v>
      </c>
      <c r="E209" s="6" t="n">
        <v>1115268.16</v>
      </c>
      <c r="F209" s="6" t="n">
        <v>1115268.16</v>
      </c>
      <c r="G209" s="10" t="n">
        <f aca="false">E209-F209</f>
        <v>0</v>
      </c>
      <c r="H209" s="9" t="n">
        <f aca="false">G209/E209</f>
        <v>0</v>
      </c>
      <c r="I209" s="10" t="n">
        <f aca="false">H209*Desenho_MUS!$B$12</f>
        <v>0</v>
      </c>
      <c r="J209" s="5" t="s">
        <v>50</v>
      </c>
    </row>
    <row r="210" customFormat="false" ht="15" hidden="false" customHeight="false" outlineLevel="0" collapsed="false">
      <c r="A210" s="5" t="n">
        <v>206</v>
      </c>
      <c r="B210" s="5" t="s">
        <v>265</v>
      </c>
      <c r="C210" s="5" t="s">
        <v>59</v>
      </c>
      <c r="D210" s="5" t="s">
        <v>49</v>
      </c>
      <c r="E210" s="6" t="n">
        <v>231479.08</v>
      </c>
      <c r="F210" s="6" t="n">
        <v>231479.08</v>
      </c>
      <c r="G210" s="10" t="n">
        <f aca="false">E210-F210</f>
        <v>0</v>
      </c>
      <c r="H210" s="9" t="n">
        <f aca="false">G210/E210</f>
        <v>0</v>
      </c>
      <c r="I210" s="10" t="n">
        <f aca="false">H210*Desenho_MUS!$B$12</f>
        <v>0</v>
      </c>
      <c r="J210" s="5" t="s">
        <v>50</v>
      </c>
    </row>
    <row r="211" customFormat="false" ht="15" hidden="false" customHeight="false" outlineLevel="0" collapsed="false">
      <c r="A211" s="5" t="n">
        <v>207</v>
      </c>
      <c r="B211" s="5" t="s">
        <v>266</v>
      </c>
      <c r="C211" s="5" t="s">
        <v>52</v>
      </c>
      <c r="D211" s="5" t="s">
        <v>53</v>
      </c>
      <c r="E211" s="6" t="n">
        <v>851245.45</v>
      </c>
      <c r="F211" s="6" t="n">
        <v>851245.45</v>
      </c>
      <c r="G211" s="10" t="n">
        <f aca="false">E211-F211</f>
        <v>0</v>
      </c>
      <c r="H211" s="9" t="n">
        <f aca="false">G211/E211</f>
        <v>0</v>
      </c>
      <c r="I211" s="10" t="n">
        <f aca="false">H211*Desenho_MUS!$B$12</f>
        <v>0</v>
      </c>
      <c r="J211" s="5" t="s">
        <v>50</v>
      </c>
    </row>
    <row r="212" customFormat="false" ht="15" hidden="false" customHeight="false" outlineLevel="0" collapsed="false">
      <c r="A212" s="5" t="n">
        <v>208</v>
      </c>
      <c r="B212" s="5" t="s">
        <v>267</v>
      </c>
      <c r="C212" s="5" t="s">
        <v>59</v>
      </c>
      <c r="D212" s="5" t="s">
        <v>53</v>
      </c>
      <c r="E212" s="6" t="n">
        <v>1837410.74</v>
      </c>
      <c r="F212" s="6" t="n">
        <v>1837410.74</v>
      </c>
      <c r="G212" s="10" t="n">
        <f aca="false">E212-F212</f>
        <v>0</v>
      </c>
      <c r="H212" s="9" t="n">
        <f aca="false">G212/E212</f>
        <v>0</v>
      </c>
      <c r="I212" s="10" t="n">
        <f aca="false">H212*Desenho_MUS!$B$12</f>
        <v>0</v>
      </c>
      <c r="J212" s="5" t="s">
        <v>50</v>
      </c>
    </row>
    <row r="213" customFormat="false" ht="15" hidden="false" customHeight="false" outlineLevel="0" collapsed="false">
      <c r="A213" s="5" t="n">
        <v>209</v>
      </c>
      <c r="B213" s="5" t="s">
        <v>268</v>
      </c>
      <c r="C213" s="5" t="s">
        <v>59</v>
      </c>
      <c r="D213" s="5" t="s">
        <v>49</v>
      </c>
      <c r="E213" s="6" t="n">
        <v>76701.65</v>
      </c>
      <c r="F213" s="6" t="n">
        <v>76701.65</v>
      </c>
      <c r="G213" s="10" t="n">
        <f aca="false">E213-F213</f>
        <v>0</v>
      </c>
      <c r="H213" s="9" t="n">
        <f aca="false">G213/E213</f>
        <v>0</v>
      </c>
      <c r="I213" s="10" t="n">
        <f aca="false">H213*Desenho_MUS!$B$12</f>
        <v>0</v>
      </c>
      <c r="J213" s="5" t="s">
        <v>50</v>
      </c>
    </row>
    <row r="214" customFormat="false" ht="15" hidden="false" customHeight="false" outlineLevel="0" collapsed="false">
      <c r="A214" s="5" t="n">
        <v>210</v>
      </c>
      <c r="B214" s="5" t="s">
        <v>269</v>
      </c>
      <c r="C214" s="5" t="s">
        <v>52</v>
      </c>
      <c r="D214" s="5" t="s">
        <v>53</v>
      </c>
      <c r="E214" s="6" t="n">
        <v>1105868.61</v>
      </c>
      <c r="F214" s="6" t="n">
        <v>1105868.61</v>
      </c>
      <c r="G214" s="10" t="n">
        <f aca="false">E214-F214</f>
        <v>0</v>
      </c>
      <c r="H214" s="9" t="n">
        <f aca="false">G214/E214</f>
        <v>0</v>
      </c>
      <c r="I214" s="10" t="n">
        <f aca="false">H214*Desenho_MUS!$B$12</f>
        <v>0</v>
      </c>
      <c r="J214" s="5" t="s">
        <v>50</v>
      </c>
    </row>
    <row r="215" customFormat="false" ht="15" hidden="false" customHeight="false" outlineLevel="0" collapsed="false">
      <c r="A215" s="5" t="n">
        <v>211</v>
      </c>
      <c r="B215" s="5" t="s">
        <v>270</v>
      </c>
      <c r="C215" s="5" t="s">
        <v>52</v>
      </c>
      <c r="D215" s="5" t="s">
        <v>61</v>
      </c>
      <c r="E215" s="6" t="n">
        <v>43962.56</v>
      </c>
      <c r="F215" s="6" t="n">
        <v>43962.56</v>
      </c>
      <c r="G215" s="10" t="n">
        <f aca="false">E215-F215</f>
        <v>0</v>
      </c>
      <c r="H215" s="9" t="n">
        <f aca="false">G215/E215</f>
        <v>0</v>
      </c>
      <c r="I215" s="10" t="n">
        <f aca="false">H215*Desenho_MUS!$B$12</f>
        <v>0</v>
      </c>
      <c r="J215" s="5" t="s">
        <v>50</v>
      </c>
    </row>
    <row r="216" customFormat="false" ht="15" hidden="false" customHeight="false" outlineLevel="0" collapsed="false">
      <c r="A216" s="5" t="n">
        <v>212</v>
      </c>
      <c r="B216" s="5" t="s">
        <v>271</v>
      </c>
      <c r="C216" s="5" t="s">
        <v>52</v>
      </c>
      <c r="D216" s="5" t="s">
        <v>61</v>
      </c>
      <c r="E216" s="6" t="n">
        <v>101485.01</v>
      </c>
      <c r="F216" s="6" t="n">
        <v>101485.01</v>
      </c>
      <c r="G216" s="10" t="n">
        <f aca="false">E216-F216</f>
        <v>0</v>
      </c>
      <c r="H216" s="9" t="n">
        <f aca="false">G216/E216</f>
        <v>0</v>
      </c>
      <c r="I216" s="10" t="n">
        <f aca="false">H216*Desenho_MUS!$B$12</f>
        <v>0</v>
      </c>
      <c r="J216" s="5" t="s">
        <v>50</v>
      </c>
    </row>
    <row r="217" customFormat="false" ht="15" hidden="false" customHeight="false" outlineLevel="0" collapsed="false">
      <c r="A217" s="5" t="n">
        <v>213</v>
      </c>
      <c r="B217" s="5" t="s">
        <v>272</v>
      </c>
      <c r="C217" s="5" t="s">
        <v>52</v>
      </c>
      <c r="D217" s="5" t="s">
        <v>53</v>
      </c>
      <c r="E217" s="6" t="n">
        <v>1619064.27</v>
      </c>
      <c r="F217" s="6" t="n">
        <v>1619064.27</v>
      </c>
      <c r="G217" s="10" t="n">
        <f aca="false">E217-F217</f>
        <v>0</v>
      </c>
      <c r="H217" s="9" t="n">
        <f aca="false">G217/E217</f>
        <v>0</v>
      </c>
      <c r="I217" s="10" t="n">
        <f aca="false">H217*Desenho_MUS!$B$12</f>
        <v>0</v>
      </c>
      <c r="J217" s="5" t="s">
        <v>50</v>
      </c>
    </row>
    <row r="218" customFormat="false" ht="15" hidden="false" customHeight="false" outlineLevel="0" collapsed="false">
      <c r="A218" s="5" t="n">
        <v>214</v>
      </c>
      <c r="B218" s="5" t="s">
        <v>273</v>
      </c>
      <c r="C218" s="5" t="s">
        <v>52</v>
      </c>
      <c r="D218" s="5" t="s">
        <v>53</v>
      </c>
      <c r="E218" s="6" t="n">
        <v>2881135.56</v>
      </c>
      <c r="F218" s="6" t="n">
        <v>2881135.56</v>
      </c>
      <c r="G218" s="10" t="n">
        <f aca="false">E218-F218</f>
        <v>0</v>
      </c>
      <c r="H218" s="9" t="n">
        <f aca="false">G218/E218</f>
        <v>0</v>
      </c>
      <c r="I218" s="10" t="n">
        <f aca="false">H218*Desenho_MUS!$B$12</f>
        <v>0</v>
      </c>
      <c r="J218" s="5" t="s">
        <v>50</v>
      </c>
    </row>
    <row r="219" customFormat="false" ht="15" hidden="false" customHeight="false" outlineLevel="0" collapsed="false">
      <c r="A219" s="5" t="n">
        <v>215</v>
      </c>
      <c r="B219" s="5" t="s">
        <v>274</v>
      </c>
      <c r="C219" s="5" t="s">
        <v>59</v>
      </c>
      <c r="D219" s="5" t="s">
        <v>99</v>
      </c>
      <c r="E219" s="6" t="n">
        <v>1384.1</v>
      </c>
      <c r="F219" s="6" t="n">
        <v>1384.1</v>
      </c>
      <c r="G219" s="10" t="n">
        <f aca="false">E219-F219</f>
        <v>0</v>
      </c>
      <c r="H219" s="9" t="n">
        <f aca="false">G219/E219</f>
        <v>0</v>
      </c>
      <c r="I219" s="10" t="n">
        <f aca="false">H219*Desenho_MUS!$B$12</f>
        <v>0</v>
      </c>
      <c r="J219" s="5" t="s">
        <v>50</v>
      </c>
    </row>
    <row r="220" customFormat="false" ht="15" hidden="false" customHeight="false" outlineLevel="0" collapsed="false">
      <c r="A220" s="5" t="n">
        <v>216</v>
      </c>
      <c r="B220" s="5" t="s">
        <v>275</v>
      </c>
      <c r="C220" s="5" t="s">
        <v>52</v>
      </c>
      <c r="D220" s="5" t="s">
        <v>53</v>
      </c>
      <c r="E220" s="6" t="n">
        <v>1734576.1</v>
      </c>
      <c r="F220" s="6" t="n">
        <v>1734576.1</v>
      </c>
      <c r="G220" s="10" t="n">
        <f aca="false">E220-F220</f>
        <v>0</v>
      </c>
      <c r="H220" s="9" t="n">
        <f aca="false">G220/E220</f>
        <v>0</v>
      </c>
      <c r="I220" s="10" t="n">
        <f aca="false">H220*Desenho_MUS!$B$12</f>
        <v>0</v>
      </c>
      <c r="J220" s="5" t="s">
        <v>50</v>
      </c>
    </row>
    <row r="221" customFormat="false" ht="15" hidden="false" customHeight="false" outlineLevel="0" collapsed="false">
      <c r="A221" s="5" t="n">
        <v>217</v>
      </c>
      <c r="B221" s="5" t="s">
        <v>276</v>
      </c>
      <c r="C221" s="5" t="s">
        <v>52</v>
      </c>
      <c r="D221" s="5" t="s">
        <v>61</v>
      </c>
      <c r="E221" s="6" t="n">
        <v>100714.34</v>
      </c>
      <c r="F221" s="6" t="n">
        <v>100714.34</v>
      </c>
      <c r="G221" s="10" t="n">
        <f aca="false">E221-F221</f>
        <v>0</v>
      </c>
      <c r="H221" s="9" t="n">
        <f aca="false">G221/E221</f>
        <v>0</v>
      </c>
      <c r="I221" s="10" t="n">
        <f aca="false">H221*Desenho_MUS!$B$12</f>
        <v>0</v>
      </c>
      <c r="J221" s="5" t="s">
        <v>50</v>
      </c>
    </row>
    <row r="222" customFormat="false" ht="15" hidden="false" customHeight="false" outlineLevel="0" collapsed="false">
      <c r="A222" s="5" t="n">
        <v>218</v>
      </c>
      <c r="B222" s="5" t="s">
        <v>277</v>
      </c>
      <c r="C222" s="5" t="s">
        <v>52</v>
      </c>
      <c r="D222" s="5" t="s">
        <v>99</v>
      </c>
      <c r="E222" s="6" t="n">
        <v>4491.6</v>
      </c>
      <c r="F222" s="6" t="n">
        <v>4491.6</v>
      </c>
      <c r="G222" s="10" t="n">
        <f aca="false">E222-F222</f>
        <v>0</v>
      </c>
      <c r="H222" s="9" t="n">
        <f aca="false">G222/E222</f>
        <v>0</v>
      </c>
      <c r="I222" s="10" t="n">
        <f aca="false">H222*Desenho_MUS!$B$12</f>
        <v>0</v>
      </c>
      <c r="J222" s="5" t="s">
        <v>50</v>
      </c>
    </row>
    <row r="223" customFormat="false" ht="15" hidden="false" customHeight="false" outlineLevel="0" collapsed="false">
      <c r="A223" s="5" t="n">
        <v>219</v>
      </c>
      <c r="B223" s="5" t="s">
        <v>278</v>
      </c>
      <c r="C223" s="5" t="s">
        <v>59</v>
      </c>
      <c r="D223" s="5" t="s">
        <v>53</v>
      </c>
      <c r="E223" s="6" t="n">
        <v>2039406.43</v>
      </c>
      <c r="F223" s="6" t="n">
        <v>2039406.43</v>
      </c>
      <c r="G223" s="10" t="n">
        <f aca="false">E223-F223</f>
        <v>0</v>
      </c>
      <c r="H223" s="9" t="n">
        <f aca="false">G223/E223</f>
        <v>0</v>
      </c>
      <c r="I223" s="10" t="n">
        <f aca="false">H223*Desenho_MUS!$B$12</f>
        <v>0</v>
      </c>
      <c r="J223" s="5" t="s">
        <v>50</v>
      </c>
    </row>
    <row r="224" customFormat="false" ht="15" hidden="false" customHeight="false" outlineLevel="0" collapsed="false">
      <c r="A224" s="5" t="n">
        <v>220</v>
      </c>
      <c r="B224" s="5" t="s">
        <v>279</v>
      </c>
      <c r="C224" s="5" t="s">
        <v>52</v>
      </c>
      <c r="D224" s="5" t="s">
        <v>49</v>
      </c>
      <c r="E224" s="6" t="n">
        <v>172177.11</v>
      </c>
      <c r="F224" s="6" t="n">
        <v>172177.11</v>
      </c>
      <c r="G224" s="10" t="n">
        <f aca="false">E224-F224</f>
        <v>0</v>
      </c>
      <c r="H224" s="9" t="n">
        <f aca="false">G224/E224</f>
        <v>0</v>
      </c>
      <c r="I224" s="10" t="n">
        <f aca="false">H224*Desenho_MUS!$B$12</f>
        <v>0</v>
      </c>
      <c r="J224" s="5" t="s">
        <v>50</v>
      </c>
    </row>
    <row r="225" customFormat="false" ht="15" hidden="false" customHeight="false" outlineLevel="0" collapsed="false">
      <c r="A225" s="5" t="n">
        <v>221</v>
      </c>
      <c r="B225" s="5" t="s">
        <v>280</v>
      </c>
      <c r="C225" s="5" t="s">
        <v>59</v>
      </c>
      <c r="D225" s="5" t="s">
        <v>61</v>
      </c>
      <c r="E225" s="6" t="n">
        <v>20939.65</v>
      </c>
      <c r="F225" s="6" t="n">
        <v>20939.65</v>
      </c>
      <c r="G225" s="10" t="n">
        <f aca="false">E225-F225</f>
        <v>0</v>
      </c>
      <c r="H225" s="9" t="n">
        <f aca="false">G225/E225</f>
        <v>0</v>
      </c>
      <c r="I225" s="10" t="n">
        <f aca="false">H225*Desenho_MUS!$B$12</f>
        <v>0</v>
      </c>
      <c r="J225" s="5" t="s">
        <v>50</v>
      </c>
    </row>
    <row r="226" customFormat="false" ht="15" hidden="false" customHeight="false" outlineLevel="0" collapsed="false">
      <c r="A226" s="5" t="n">
        <v>222</v>
      </c>
      <c r="B226" s="5" t="s">
        <v>281</v>
      </c>
      <c r="C226" s="5" t="s">
        <v>59</v>
      </c>
      <c r="D226" s="5" t="s">
        <v>49</v>
      </c>
      <c r="E226" s="6" t="n">
        <v>43340.24</v>
      </c>
      <c r="F226" s="6" t="n">
        <v>43340.24</v>
      </c>
      <c r="G226" s="10" t="n">
        <f aca="false">E226-F226</f>
        <v>0</v>
      </c>
      <c r="H226" s="9" t="n">
        <f aca="false">G226/E226</f>
        <v>0</v>
      </c>
      <c r="I226" s="10" t="n">
        <f aca="false">H226*Desenho_MUS!$B$12</f>
        <v>0</v>
      </c>
      <c r="J226" s="5" t="s">
        <v>50</v>
      </c>
    </row>
    <row r="227" customFormat="false" ht="15" hidden="false" customHeight="false" outlineLevel="0" collapsed="false">
      <c r="A227" s="5" t="n">
        <v>223</v>
      </c>
      <c r="B227" s="5" t="s">
        <v>282</v>
      </c>
      <c r="C227" s="5" t="s">
        <v>52</v>
      </c>
      <c r="D227" s="5" t="s">
        <v>53</v>
      </c>
      <c r="E227" s="6" t="n">
        <v>1613208.71</v>
      </c>
      <c r="F227" s="6" t="n">
        <v>1613208.71</v>
      </c>
      <c r="G227" s="10" t="n">
        <f aca="false">E227-F227</f>
        <v>0</v>
      </c>
      <c r="H227" s="9" t="n">
        <f aca="false">G227/E227</f>
        <v>0</v>
      </c>
      <c r="I227" s="10" t="n">
        <f aca="false">H227*Desenho_MUS!$B$12</f>
        <v>0</v>
      </c>
      <c r="J227" s="5" t="s">
        <v>50</v>
      </c>
    </row>
    <row r="228" customFormat="false" ht="15" hidden="false" customHeight="false" outlineLevel="0" collapsed="false">
      <c r="A228" s="5" t="n">
        <v>224</v>
      </c>
      <c r="B228" s="5" t="s">
        <v>283</v>
      </c>
      <c r="C228" s="5" t="s">
        <v>52</v>
      </c>
      <c r="D228" s="5" t="s">
        <v>61</v>
      </c>
      <c r="E228" s="6" t="n">
        <v>70861.87</v>
      </c>
      <c r="F228" s="6" t="n">
        <v>70861.87</v>
      </c>
      <c r="G228" s="10" t="n">
        <f aca="false">E228-F228</f>
        <v>0</v>
      </c>
      <c r="H228" s="9" t="n">
        <f aca="false">G228/E228</f>
        <v>0</v>
      </c>
      <c r="I228" s="10" t="n">
        <f aca="false">H228*Desenho_MUS!$B$12</f>
        <v>0</v>
      </c>
      <c r="J228" s="5" t="s">
        <v>50</v>
      </c>
    </row>
    <row r="229" customFormat="false" ht="15" hidden="false" customHeight="false" outlineLevel="0" collapsed="false">
      <c r="A229" s="5" t="n">
        <v>225</v>
      </c>
      <c r="B229" s="5" t="s">
        <v>284</v>
      </c>
      <c r="C229" s="5" t="s">
        <v>59</v>
      </c>
      <c r="D229" s="5" t="s">
        <v>49</v>
      </c>
      <c r="E229" s="6" t="n">
        <v>81513.92</v>
      </c>
      <c r="F229" s="6" t="n">
        <v>81513.92</v>
      </c>
      <c r="G229" s="10" t="n">
        <f aca="false">E229-F229</f>
        <v>0</v>
      </c>
      <c r="H229" s="9" t="n">
        <f aca="false">G229/E229</f>
        <v>0</v>
      </c>
      <c r="I229" s="10" t="n">
        <f aca="false">H229*Desenho_MUS!$B$12</f>
        <v>0</v>
      </c>
      <c r="J229" s="5" t="s">
        <v>50</v>
      </c>
    </row>
    <row r="230" customFormat="false" ht="15" hidden="false" customHeight="false" outlineLevel="0" collapsed="false">
      <c r="A230" s="5" t="n">
        <v>226</v>
      </c>
      <c r="B230" s="5" t="s">
        <v>285</v>
      </c>
      <c r="C230" s="5" t="s">
        <v>52</v>
      </c>
      <c r="D230" s="5" t="s">
        <v>49</v>
      </c>
      <c r="E230" s="6" t="n">
        <v>132681.54</v>
      </c>
      <c r="F230" s="6" t="n">
        <v>132681.54</v>
      </c>
      <c r="G230" s="10" t="n">
        <f aca="false">E230-F230</f>
        <v>0</v>
      </c>
      <c r="H230" s="9" t="n">
        <f aca="false">G230/E230</f>
        <v>0</v>
      </c>
      <c r="I230" s="10" t="n">
        <f aca="false">H230*Desenho_MUS!$B$12</f>
        <v>0</v>
      </c>
      <c r="J230" s="5" t="s">
        <v>50</v>
      </c>
    </row>
    <row r="231" customFormat="false" ht="15" hidden="false" customHeight="false" outlineLevel="0" collapsed="false">
      <c r="A231" s="5" t="n">
        <v>227</v>
      </c>
      <c r="B231" s="5" t="s">
        <v>286</v>
      </c>
      <c r="C231" s="5" t="s">
        <v>59</v>
      </c>
      <c r="D231" s="5" t="s">
        <v>53</v>
      </c>
      <c r="E231" s="6" t="n">
        <v>1438391.94</v>
      </c>
      <c r="F231" s="6" t="n">
        <v>1438391.94</v>
      </c>
      <c r="G231" s="10" t="n">
        <f aca="false">E231-F231</f>
        <v>0</v>
      </c>
      <c r="H231" s="9" t="n">
        <f aca="false">G231/E231</f>
        <v>0</v>
      </c>
      <c r="I231" s="10" t="n">
        <f aca="false">H231*Desenho_MUS!$B$12</f>
        <v>0</v>
      </c>
      <c r="J231" s="5" t="s">
        <v>50</v>
      </c>
    </row>
    <row r="232" customFormat="false" ht="15" hidden="false" customHeight="false" outlineLevel="0" collapsed="false">
      <c r="A232" s="5" t="n">
        <v>228</v>
      </c>
      <c r="B232" s="5" t="s">
        <v>287</v>
      </c>
      <c r="C232" s="5" t="s">
        <v>52</v>
      </c>
      <c r="D232" s="5" t="s">
        <v>99</v>
      </c>
      <c r="E232" s="6" t="n">
        <v>29366.3</v>
      </c>
      <c r="F232" s="6" t="n">
        <v>29366.3</v>
      </c>
      <c r="G232" s="10" t="n">
        <f aca="false">E232-F232</f>
        <v>0</v>
      </c>
      <c r="H232" s="9" t="n">
        <f aca="false">G232/E232</f>
        <v>0</v>
      </c>
      <c r="I232" s="10" t="n">
        <f aca="false">H232*Desenho_MUS!$B$12</f>
        <v>0</v>
      </c>
      <c r="J232" s="5" t="s">
        <v>50</v>
      </c>
    </row>
    <row r="233" customFormat="false" ht="15" hidden="false" customHeight="false" outlineLevel="0" collapsed="false">
      <c r="A233" s="5" t="n">
        <v>229</v>
      </c>
      <c r="B233" s="5" t="s">
        <v>288</v>
      </c>
      <c r="C233" s="5" t="s">
        <v>59</v>
      </c>
      <c r="D233" s="5" t="s">
        <v>53</v>
      </c>
      <c r="E233" s="6" t="n">
        <v>1628616.34</v>
      </c>
      <c r="F233" s="6" t="n">
        <v>1628616.34</v>
      </c>
      <c r="G233" s="10" t="n">
        <f aca="false">E233-F233</f>
        <v>0</v>
      </c>
      <c r="H233" s="9" t="n">
        <f aca="false">G233/E233</f>
        <v>0</v>
      </c>
      <c r="I233" s="10" t="n">
        <f aca="false">H233*Desenho_MUS!$B$12</f>
        <v>0</v>
      </c>
      <c r="J233" s="5" t="s">
        <v>50</v>
      </c>
    </row>
    <row r="234" customFormat="false" ht="15" hidden="false" customHeight="false" outlineLevel="0" collapsed="false">
      <c r="A234" s="5" t="n">
        <v>230</v>
      </c>
      <c r="B234" s="5" t="s">
        <v>289</v>
      </c>
      <c r="C234" s="5" t="s">
        <v>56</v>
      </c>
      <c r="D234" s="5" t="s">
        <v>49</v>
      </c>
      <c r="E234" s="6" t="n">
        <v>203781.48</v>
      </c>
      <c r="F234" s="6" t="n">
        <v>203781.48</v>
      </c>
      <c r="G234" s="10" t="n">
        <f aca="false">E234-F234</f>
        <v>0</v>
      </c>
      <c r="H234" s="9" t="n">
        <f aca="false">G234/E234</f>
        <v>0</v>
      </c>
      <c r="I234" s="10" t="n">
        <f aca="false">H234*Desenho_MUS!$B$12</f>
        <v>0</v>
      </c>
      <c r="J234" s="5" t="s">
        <v>50</v>
      </c>
    </row>
    <row r="235" customFormat="false" ht="15" hidden="false" customHeight="false" outlineLevel="0" collapsed="false">
      <c r="A235" s="5" t="n">
        <v>231</v>
      </c>
      <c r="B235" s="5" t="s">
        <v>290</v>
      </c>
      <c r="C235" s="5" t="s">
        <v>59</v>
      </c>
      <c r="D235" s="5" t="s">
        <v>53</v>
      </c>
      <c r="E235" s="6" t="n">
        <v>2551884.03</v>
      </c>
      <c r="F235" s="6" t="n">
        <v>2551884.03</v>
      </c>
      <c r="G235" s="10" t="n">
        <f aca="false">E235-F235</f>
        <v>0</v>
      </c>
      <c r="H235" s="9" t="n">
        <f aca="false">G235/E235</f>
        <v>0</v>
      </c>
      <c r="I235" s="10" t="n">
        <f aca="false">H235*Desenho_MUS!$B$12</f>
        <v>0</v>
      </c>
      <c r="J235" s="5" t="s">
        <v>50</v>
      </c>
    </row>
    <row r="236" customFormat="false" ht="15" hidden="false" customHeight="false" outlineLevel="0" collapsed="false">
      <c r="A236" s="5" t="n">
        <v>232</v>
      </c>
      <c r="B236" s="5" t="s">
        <v>291</v>
      </c>
      <c r="C236" s="5" t="s">
        <v>59</v>
      </c>
      <c r="D236" s="5" t="s">
        <v>49</v>
      </c>
      <c r="E236" s="6" t="n">
        <v>77161.98</v>
      </c>
      <c r="F236" s="6" t="n">
        <v>89877.34</v>
      </c>
      <c r="G236" s="10" t="n">
        <f aca="false">E236-F236</f>
        <v>-12715.36</v>
      </c>
      <c r="H236" s="9" t="n">
        <f aca="false">G236/E236</f>
        <v>-0.164787891653376</v>
      </c>
      <c r="I236" s="10" t="n">
        <f aca="false">H236*Desenho_MUS!$B$12</f>
        <v>-12679516.1510465</v>
      </c>
      <c r="J236" s="5" t="s">
        <v>292</v>
      </c>
    </row>
    <row r="237" customFormat="false" ht="15" hidden="false" customHeight="false" outlineLevel="0" collapsed="false">
      <c r="A237" s="5" t="n">
        <v>233</v>
      </c>
      <c r="B237" s="5" t="s">
        <v>293</v>
      </c>
      <c r="C237" s="5" t="s">
        <v>56</v>
      </c>
      <c r="D237" s="5" t="s">
        <v>49</v>
      </c>
      <c r="E237" s="6" t="n">
        <v>141814.92</v>
      </c>
      <c r="F237" s="6" t="n">
        <v>141814.92</v>
      </c>
      <c r="G237" s="10" t="n">
        <f aca="false">E237-F237</f>
        <v>0</v>
      </c>
      <c r="H237" s="9" t="n">
        <f aca="false">G237/E237</f>
        <v>0</v>
      </c>
      <c r="I237" s="10" t="n">
        <f aca="false">H237*Desenho_MUS!$B$12</f>
        <v>0</v>
      </c>
      <c r="J237" s="5" t="s">
        <v>50</v>
      </c>
    </row>
    <row r="238" customFormat="false" ht="15" hidden="false" customHeight="false" outlineLevel="0" collapsed="false">
      <c r="A238" s="5" t="n">
        <v>234</v>
      </c>
      <c r="B238" s="5" t="s">
        <v>294</v>
      </c>
      <c r="C238" s="5" t="s">
        <v>56</v>
      </c>
      <c r="D238" s="5" t="s">
        <v>49</v>
      </c>
      <c r="E238" s="6" t="n">
        <v>156199.59</v>
      </c>
      <c r="F238" s="6" t="n">
        <v>156199.59</v>
      </c>
      <c r="G238" s="10" t="n">
        <f aca="false">E238-F238</f>
        <v>0</v>
      </c>
      <c r="H238" s="9" t="n">
        <f aca="false">G238/E238</f>
        <v>0</v>
      </c>
      <c r="I238" s="10" t="n">
        <f aca="false">H238*Desenho_MUS!$B$12</f>
        <v>0</v>
      </c>
      <c r="J238" s="5" t="s">
        <v>50</v>
      </c>
    </row>
    <row r="239" customFormat="false" ht="15" hidden="false" customHeight="false" outlineLevel="0" collapsed="false">
      <c r="A239" s="5" t="n">
        <v>235</v>
      </c>
      <c r="B239" s="5" t="s">
        <v>295</v>
      </c>
      <c r="C239" s="5" t="s">
        <v>56</v>
      </c>
      <c r="D239" s="5" t="s">
        <v>99</v>
      </c>
      <c r="E239" s="6" t="n">
        <v>14530.51</v>
      </c>
      <c r="F239" s="6" t="n">
        <v>14530.51</v>
      </c>
      <c r="G239" s="10" t="n">
        <f aca="false">E239-F239</f>
        <v>0</v>
      </c>
      <c r="H239" s="9" t="n">
        <f aca="false">G239/E239</f>
        <v>0</v>
      </c>
      <c r="I239" s="10" t="n">
        <f aca="false">H239*Desenho_MUS!$B$12</f>
        <v>0</v>
      </c>
      <c r="J239" s="5" t="s">
        <v>50</v>
      </c>
    </row>
    <row r="240" customFormat="false" ht="15" hidden="false" customHeight="false" outlineLevel="0" collapsed="false">
      <c r="A240" s="5" t="n">
        <v>236</v>
      </c>
      <c r="B240" s="5" t="s">
        <v>296</v>
      </c>
      <c r="C240" s="5" t="s">
        <v>59</v>
      </c>
      <c r="D240" s="5" t="s">
        <v>53</v>
      </c>
      <c r="E240" s="6" t="n">
        <v>1635584.24</v>
      </c>
      <c r="F240" s="6" t="n">
        <v>1635584.24</v>
      </c>
      <c r="G240" s="10" t="n">
        <f aca="false">E240-F240</f>
        <v>0</v>
      </c>
      <c r="H240" s="9" t="n">
        <f aca="false">G240/E240</f>
        <v>0</v>
      </c>
      <c r="I240" s="10" t="n">
        <f aca="false">H240*Desenho_MUS!$B$12</f>
        <v>0</v>
      </c>
      <c r="J240" s="5" t="s">
        <v>50</v>
      </c>
    </row>
    <row r="241" customFormat="false" ht="15" hidden="false" customHeight="false" outlineLevel="0" collapsed="false">
      <c r="A241" s="5" t="n">
        <v>237</v>
      </c>
      <c r="B241" s="5" t="s">
        <v>297</v>
      </c>
      <c r="C241" s="5" t="s">
        <v>59</v>
      </c>
      <c r="D241" s="5" t="s">
        <v>61</v>
      </c>
      <c r="E241" s="6" t="n">
        <v>58392.79</v>
      </c>
      <c r="F241" s="6" t="n">
        <v>58392.79</v>
      </c>
      <c r="G241" s="10" t="n">
        <f aca="false">E241-F241</f>
        <v>0</v>
      </c>
      <c r="H241" s="9" t="n">
        <f aca="false">G241/E241</f>
        <v>0</v>
      </c>
      <c r="I241" s="10" t="n">
        <f aca="false">H241*Desenho_MUS!$B$12</f>
        <v>0</v>
      </c>
      <c r="J241" s="5" t="s">
        <v>50</v>
      </c>
    </row>
    <row r="242" customFormat="false" ht="15" hidden="false" customHeight="false" outlineLevel="0" collapsed="false">
      <c r="A242" s="5" t="n">
        <v>238</v>
      </c>
      <c r="B242" s="5" t="s">
        <v>298</v>
      </c>
      <c r="C242" s="5" t="s">
        <v>59</v>
      </c>
      <c r="D242" s="5" t="s">
        <v>49</v>
      </c>
      <c r="E242" s="6" t="n">
        <v>64514.89</v>
      </c>
      <c r="F242" s="6" t="n">
        <v>64514.89</v>
      </c>
      <c r="G242" s="10" t="n">
        <f aca="false">E242-F242</f>
        <v>0</v>
      </c>
      <c r="H242" s="9" t="n">
        <f aca="false">G242/E242</f>
        <v>0</v>
      </c>
      <c r="I242" s="10" t="n">
        <f aca="false">H242*Desenho_MUS!$B$12</f>
        <v>0</v>
      </c>
      <c r="J242" s="5" t="s">
        <v>50</v>
      </c>
    </row>
    <row r="243" customFormat="false" ht="15" hidden="false" customHeight="false" outlineLevel="0" collapsed="false">
      <c r="A243" s="5" t="n">
        <v>239</v>
      </c>
      <c r="B243" s="5" t="s">
        <v>299</v>
      </c>
      <c r="C243" s="5" t="s">
        <v>59</v>
      </c>
      <c r="D243" s="5" t="s">
        <v>53</v>
      </c>
      <c r="E243" s="6" t="n">
        <v>260237.95</v>
      </c>
      <c r="F243" s="6" t="n">
        <v>260237.95</v>
      </c>
      <c r="G243" s="10" t="n">
        <f aca="false">E243-F243</f>
        <v>0</v>
      </c>
      <c r="H243" s="9" t="n">
        <f aca="false">G243/E243</f>
        <v>0</v>
      </c>
      <c r="I243" s="10" t="n">
        <f aca="false">H243*Desenho_MUS!$B$12</f>
        <v>0</v>
      </c>
      <c r="J243" s="5" t="s">
        <v>50</v>
      </c>
    </row>
    <row r="244" customFormat="false" ht="15" hidden="false" customHeight="false" outlineLevel="0" collapsed="false">
      <c r="A244" s="5" t="n">
        <v>240</v>
      </c>
      <c r="B244" s="5" t="s">
        <v>300</v>
      </c>
      <c r="C244" s="5" t="s">
        <v>52</v>
      </c>
      <c r="D244" s="5" t="s">
        <v>61</v>
      </c>
      <c r="E244" s="6" t="n">
        <v>37065.73</v>
      </c>
      <c r="F244" s="6" t="n">
        <v>37065.73</v>
      </c>
      <c r="G244" s="10" t="n">
        <f aca="false">E244-F244</f>
        <v>0</v>
      </c>
      <c r="H244" s="9" t="n">
        <f aca="false">G244/E244</f>
        <v>0</v>
      </c>
      <c r="I244" s="10" t="n">
        <f aca="false">H244*Desenho_MUS!$B$12</f>
        <v>0</v>
      </c>
      <c r="J244" s="5" t="s">
        <v>50</v>
      </c>
    </row>
    <row r="245" customFormat="false" ht="15" hidden="false" customHeight="false" outlineLevel="0" collapsed="false">
      <c r="A245" s="5" t="n">
        <v>241</v>
      </c>
      <c r="B245" s="5" t="s">
        <v>301</v>
      </c>
      <c r="C245" s="5" t="s">
        <v>52</v>
      </c>
      <c r="D245" s="5" t="s">
        <v>49</v>
      </c>
      <c r="E245" s="6" t="n">
        <v>180229.85</v>
      </c>
      <c r="F245" s="6" t="n">
        <v>180229.85</v>
      </c>
      <c r="G245" s="10" t="n">
        <f aca="false">E245-F245</f>
        <v>0</v>
      </c>
      <c r="H245" s="9" t="n">
        <f aca="false">G245/E245</f>
        <v>0</v>
      </c>
      <c r="I245" s="10" t="n">
        <f aca="false">H245*Desenho_MUS!$B$12</f>
        <v>0</v>
      </c>
      <c r="J245" s="5" t="s">
        <v>50</v>
      </c>
    </row>
    <row r="246" customFormat="false" ht="15" hidden="false" customHeight="false" outlineLevel="0" collapsed="false">
      <c r="A246" s="5" t="n">
        <v>242</v>
      </c>
      <c r="B246" s="5" t="s">
        <v>302</v>
      </c>
      <c r="C246" s="5" t="s">
        <v>59</v>
      </c>
      <c r="D246" s="5" t="s">
        <v>61</v>
      </c>
      <c r="E246" s="6" t="n">
        <v>121399.96</v>
      </c>
      <c r="F246" s="6" t="n">
        <v>121399.96</v>
      </c>
      <c r="G246" s="10" t="n">
        <f aca="false">E246-F246</f>
        <v>0</v>
      </c>
      <c r="H246" s="9" t="n">
        <f aca="false">G246/E246</f>
        <v>0</v>
      </c>
      <c r="I246" s="10" t="n">
        <f aca="false">H246*Desenho_MUS!$B$12</f>
        <v>0</v>
      </c>
      <c r="J246" s="5" t="s">
        <v>50</v>
      </c>
    </row>
    <row r="247" customFormat="false" ht="15" hidden="false" customHeight="false" outlineLevel="0" collapsed="false">
      <c r="A247" s="5" t="n">
        <v>243</v>
      </c>
      <c r="B247" s="5" t="s">
        <v>303</v>
      </c>
      <c r="C247" s="5" t="s">
        <v>59</v>
      </c>
      <c r="D247" s="5" t="s">
        <v>53</v>
      </c>
      <c r="E247" s="6" t="n">
        <v>805340.17</v>
      </c>
      <c r="F247" s="6" t="n">
        <v>805340.17</v>
      </c>
      <c r="G247" s="10" t="n">
        <f aca="false">E247-F247</f>
        <v>0</v>
      </c>
      <c r="H247" s="9" t="n">
        <f aca="false">G247/E247</f>
        <v>0</v>
      </c>
      <c r="I247" s="10" t="n">
        <f aca="false">H247*Desenho_MUS!$B$12</f>
        <v>0</v>
      </c>
      <c r="J247" s="5" t="s">
        <v>50</v>
      </c>
    </row>
    <row r="248" customFormat="false" ht="15" hidden="false" customHeight="false" outlineLevel="0" collapsed="false">
      <c r="A248" s="5" t="n">
        <v>244</v>
      </c>
      <c r="B248" s="5" t="s">
        <v>304</v>
      </c>
      <c r="C248" s="5" t="s">
        <v>59</v>
      </c>
      <c r="D248" s="5" t="s">
        <v>53</v>
      </c>
      <c r="E248" s="6" t="n">
        <v>1272516.08</v>
      </c>
      <c r="F248" s="6" t="n">
        <v>1272516.08</v>
      </c>
      <c r="G248" s="10" t="n">
        <f aca="false">E248-F248</f>
        <v>0</v>
      </c>
      <c r="H248" s="9" t="n">
        <f aca="false">G248/E248</f>
        <v>0</v>
      </c>
      <c r="I248" s="10" t="n">
        <f aca="false">H248*Desenho_MUS!$B$12</f>
        <v>0</v>
      </c>
      <c r="J248" s="5" t="s">
        <v>50</v>
      </c>
    </row>
    <row r="249" customFormat="false" ht="15" hidden="false" customHeight="false" outlineLevel="0" collapsed="false">
      <c r="A249" s="5" t="n">
        <v>245</v>
      </c>
      <c r="B249" s="5" t="s">
        <v>305</v>
      </c>
      <c r="C249" s="5" t="s">
        <v>52</v>
      </c>
      <c r="D249" s="5" t="s">
        <v>61</v>
      </c>
      <c r="E249" s="6" t="n">
        <v>104094.81</v>
      </c>
      <c r="F249" s="6" t="n">
        <v>104094.81</v>
      </c>
      <c r="G249" s="10" t="n">
        <f aca="false">E249-F249</f>
        <v>0</v>
      </c>
      <c r="H249" s="9" t="n">
        <f aca="false">G249/E249</f>
        <v>0</v>
      </c>
      <c r="I249" s="10" t="n">
        <f aca="false">H249*Desenho_MUS!$B$12</f>
        <v>0</v>
      </c>
      <c r="J249" s="5" t="s">
        <v>50</v>
      </c>
    </row>
    <row r="250" customFormat="false" ht="15" hidden="false" customHeight="false" outlineLevel="0" collapsed="false">
      <c r="A250" s="5" t="n">
        <v>246</v>
      </c>
      <c r="B250" s="5" t="s">
        <v>306</v>
      </c>
      <c r="C250" s="5" t="s">
        <v>52</v>
      </c>
      <c r="D250" s="5" t="s">
        <v>53</v>
      </c>
      <c r="E250" s="6" t="n">
        <v>1383047.15</v>
      </c>
      <c r="F250" s="6" t="n">
        <v>1383047.15</v>
      </c>
      <c r="G250" s="10" t="n">
        <f aca="false">E250-F250</f>
        <v>0</v>
      </c>
      <c r="H250" s="9" t="n">
        <f aca="false">G250/E250</f>
        <v>0</v>
      </c>
      <c r="I250" s="10" t="n">
        <f aca="false">H250*Desenho_MUS!$B$12</f>
        <v>0</v>
      </c>
      <c r="J250" s="5" t="s">
        <v>50</v>
      </c>
    </row>
    <row r="251" customFormat="false" ht="15" hidden="false" customHeight="false" outlineLevel="0" collapsed="false">
      <c r="A251" s="5" t="n">
        <v>247</v>
      </c>
      <c r="B251" s="5" t="s">
        <v>307</v>
      </c>
      <c r="C251" s="5" t="s">
        <v>59</v>
      </c>
      <c r="D251" s="5" t="s">
        <v>53</v>
      </c>
      <c r="E251" s="6" t="n">
        <v>388273.7</v>
      </c>
      <c r="F251" s="6" t="n">
        <v>388273.7</v>
      </c>
      <c r="G251" s="10" t="n">
        <f aca="false">E251-F251</f>
        <v>0</v>
      </c>
      <c r="H251" s="9" t="n">
        <f aca="false">G251/E251</f>
        <v>0</v>
      </c>
      <c r="I251" s="10" t="n">
        <f aca="false">H251*Desenho_MUS!$B$12</f>
        <v>0</v>
      </c>
      <c r="J251" s="5" t="s">
        <v>50</v>
      </c>
    </row>
    <row r="252" customFormat="false" ht="15" hidden="false" customHeight="false" outlineLevel="0" collapsed="false">
      <c r="A252" s="5" t="n">
        <v>248</v>
      </c>
      <c r="B252" s="5" t="s">
        <v>308</v>
      </c>
      <c r="C252" s="5" t="s">
        <v>52</v>
      </c>
      <c r="D252" s="5" t="s">
        <v>53</v>
      </c>
      <c r="E252" s="6" t="n">
        <v>1952312.83</v>
      </c>
      <c r="F252" s="6" t="n">
        <v>1952312.83</v>
      </c>
      <c r="G252" s="10" t="n">
        <f aca="false">E252-F252</f>
        <v>0</v>
      </c>
      <c r="H252" s="9" t="n">
        <f aca="false">G252/E252</f>
        <v>0</v>
      </c>
      <c r="I252" s="10" t="n">
        <f aca="false">H252*Desenho_MUS!$B$12</f>
        <v>0</v>
      </c>
      <c r="J252" s="5" t="s">
        <v>50</v>
      </c>
    </row>
    <row r="253" customFormat="false" ht="15" hidden="false" customHeight="false" outlineLevel="0" collapsed="false">
      <c r="A253" s="5" t="n">
        <v>249</v>
      </c>
      <c r="B253" s="5" t="s">
        <v>309</v>
      </c>
      <c r="C253" s="5" t="s">
        <v>52</v>
      </c>
      <c r="D253" s="5" t="s">
        <v>61</v>
      </c>
      <c r="E253" s="6" t="n">
        <v>119439.89</v>
      </c>
      <c r="F253" s="6" t="n">
        <v>119439.89</v>
      </c>
      <c r="G253" s="10" t="n">
        <f aca="false">E253-F253</f>
        <v>0</v>
      </c>
      <c r="H253" s="9" t="n">
        <f aca="false">G253/E253</f>
        <v>0</v>
      </c>
      <c r="I253" s="10" t="n">
        <f aca="false">H253*Desenho_MUS!$B$12</f>
        <v>0</v>
      </c>
      <c r="J253" s="5" t="s">
        <v>50</v>
      </c>
    </row>
    <row r="254" customFormat="false" ht="15" hidden="false" customHeight="false" outlineLevel="0" collapsed="false">
      <c r="A254" s="5" t="n">
        <v>250</v>
      </c>
      <c r="B254" s="5" t="s">
        <v>310</v>
      </c>
      <c r="C254" s="5" t="s">
        <v>59</v>
      </c>
      <c r="D254" s="5" t="s">
        <v>53</v>
      </c>
      <c r="E254" s="6" t="n">
        <v>1949759.23</v>
      </c>
      <c r="F254" s="6" t="n">
        <v>1949759.23</v>
      </c>
      <c r="G254" s="10" t="n">
        <f aca="false">E254-F254</f>
        <v>0</v>
      </c>
      <c r="H254" s="9" t="n">
        <f aca="false">G254/E254</f>
        <v>0</v>
      </c>
      <c r="I254" s="10" t="n">
        <f aca="false">H254*Desenho_MUS!$B$12</f>
        <v>0</v>
      </c>
      <c r="J254" s="5" t="s">
        <v>50</v>
      </c>
    </row>
    <row r="255" customFormat="false" ht="15" hidden="false" customHeight="false" outlineLevel="0" collapsed="false">
      <c r="A255" s="5" t="n">
        <v>251</v>
      </c>
      <c r="B255" s="5" t="s">
        <v>311</v>
      </c>
      <c r="C255" s="5" t="s">
        <v>59</v>
      </c>
      <c r="D255" s="5" t="s">
        <v>61</v>
      </c>
      <c r="E255" s="6" t="n">
        <v>25602.86</v>
      </c>
      <c r="F255" s="6" t="n">
        <v>25602.86</v>
      </c>
      <c r="G255" s="10" t="n">
        <f aca="false">E255-F255</f>
        <v>0</v>
      </c>
      <c r="H255" s="9" t="n">
        <f aca="false">G255/E255</f>
        <v>0</v>
      </c>
      <c r="I255" s="10" t="n">
        <f aca="false">H255*Desenho_MUS!$B$12</f>
        <v>0</v>
      </c>
      <c r="J255" s="5" t="s">
        <v>50</v>
      </c>
    </row>
    <row r="256" customFormat="false" ht="15" hidden="false" customHeight="false" outlineLevel="0" collapsed="false">
      <c r="A256" s="5" t="n">
        <v>252</v>
      </c>
      <c r="B256" s="5" t="s">
        <v>312</v>
      </c>
      <c r="C256" s="5" t="s">
        <v>59</v>
      </c>
      <c r="D256" s="5" t="s">
        <v>61</v>
      </c>
      <c r="E256" s="6" t="n">
        <v>69989.41</v>
      </c>
      <c r="F256" s="6" t="n">
        <v>69989.41</v>
      </c>
      <c r="G256" s="10" t="n">
        <f aca="false">E256-F256</f>
        <v>0</v>
      </c>
      <c r="H256" s="9" t="n">
        <f aca="false">G256/E256</f>
        <v>0</v>
      </c>
      <c r="I256" s="10" t="n">
        <f aca="false">H256*Desenho_MUS!$B$12</f>
        <v>0</v>
      </c>
      <c r="J256" s="5" t="s">
        <v>50</v>
      </c>
    </row>
    <row r="257" customFormat="false" ht="15" hidden="false" customHeight="false" outlineLevel="0" collapsed="false">
      <c r="A257" s="5" t="n">
        <v>253</v>
      </c>
      <c r="B257" s="5" t="s">
        <v>313</v>
      </c>
      <c r="C257" s="5" t="s">
        <v>59</v>
      </c>
      <c r="D257" s="5" t="s">
        <v>53</v>
      </c>
      <c r="E257" s="6" t="n">
        <v>1277135.52</v>
      </c>
      <c r="F257" s="6" t="n">
        <v>1277135.52</v>
      </c>
      <c r="G257" s="10" t="n">
        <f aca="false">E257-F257</f>
        <v>0</v>
      </c>
      <c r="H257" s="9" t="n">
        <f aca="false">G257/E257</f>
        <v>0</v>
      </c>
      <c r="I257" s="10" t="n">
        <f aca="false">H257*Desenho_MUS!$B$12</f>
        <v>0</v>
      </c>
      <c r="J257" s="5" t="s">
        <v>50</v>
      </c>
    </row>
    <row r="258" customFormat="false" ht="15" hidden="false" customHeight="false" outlineLevel="0" collapsed="false">
      <c r="A258" s="5" t="n">
        <v>254</v>
      </c>
      <c r="B258" s="5" t="s">
        <v>314</v>
      </c>
      <c r="C258" s="5" t="s">
        <v>59</v>
      </c>
      <c r="D258" s="5" t="s">
        <v>61</v>
      </c>
      <c r="E258" s="6" t="n">
        <v>99240.2</v>
      </c>
      <c r="F258" s="6" t="n">
        <v>99240.2</v>
      </c>
      <c r="G258" s="10" t="n">
        <f aca="false">E258-F258</f>
        <v>0</v>
      </c>
      <c r="H258" s="9" t="n">
        <f aca="false">G258/E258</f>
        <v>0</v>
      </c>
      <c r="I258" s="10" t="n">
        <f aca="false">H258*Desenho_MUS!$B$12</f>
        <v>0</v>
      </c>
      <c r="J258" s="5" t="s">
        <v>50</v>
      </c>
    </row>
    <row r="259" customFormat="false" ht="15" hidden="false" customHeight="false" outlineLevel="0" collapsed="false">
      <c r="A259" s="5" t="n">
        <v>255</v>
      </c>
      <c r="B259" s="5" t="s">
        <v>315</v>
      </c>
      <c r="C259" s="5" t="s">
        <v>56</v>
      </c>
      <c r="D259" s="5" t="s">
        <v>53</v>
      </c>
      <c r="E259" s="6" t="n">
        <v>1826342.24</v>
      </c>
      <c r="F259" s="6" t="n">
        <v>1826342.24</v>
      </c>
      <c r="G259" s="10" t="n">
        <f aca="false">E259-F259</f>
        <v>0</v>
      </c>
      <c r="H259" s="9" t="n">
        <f aca="false">G259/E259</f>
        <v>0</v>
      </c>
      <c r="I259" s="10" t="n">
        <f aca="false">H259*Desenho_MUS!$B$12</f>
        <v>0</v>
      </c>
      <c r="J259" s="5" t="s">
        <v>50</v>
      </c>
    </row>
    <row r="260" customFormat="false" ht="15" hidden="false" customHeight="false" outlineLevel="0" collapsed="false">
      <c r="A260" s="5" t="n">
        <v>256</v>
      </c>
      <c r="B260" s="5" t="s">
        <v>316</v>
      </c>
      <c r="C260" s="5" t="s">
        <v>59</v>
      </c>
      <c r="D260" s="5" t="s">
        <v>99</v>
      </c>
      <c r="E260" s="6" t="n">
        <v>15939.64</v>
      </c>
      <c r="F260" s="6" t="n">
        <v>15939.64</v>
      </c>
      <c r="G260" s="10" t="n">
        <f aca="false">E260-F260</f>
        <v>0</v>
      </c>
      <c r="H260" s="9" t="n">
        <f aca="false">G260/E260</f>
        <v>0</v>
      </c>
      <c r="I260" s="10" t="n">
        <f aca="false">H260*Desenho_MUS!$B$12</f>
        <v>0</v>
      </c>
      <c r="J260" s="5" t="s">
        <v>50</v>
      </c>
    </row>
    <row r="261" customFormat="false" ht="15" hidden="false" customHeight="false" outlineLevel="0" collapsed="false">
      <c r="A261" s="5" t="n">
        <v>257</v>
      </c>
      <c r="B261" s="5" t="s">
        <v>317</v>
      </c>
      <c r="C261" s="5" t="s">
        <v>59</v>
      </c>
      <c r="D261" s="5" t="s">
        <v>53</v>
      </c>
      <c r="E261" s="6" t="n">
        <v>645586.4</v>
      </c>
      <c r="F261" s="6" t="n">
        <v>645586.4</v>
      </c>
      <c r="G261" s="10" t="n">
        <f aca="false">E261-F261</f>
        <v>0</v>
      </c>
      <c r="H261" s="9" t="n">
        <f aca="false">G261/E261</f>
        <v>0</v>
      </c>
      <c r="I261" s="10" t="n">
        <f aca="false">H261*Desenho_MUS!$B$12</f>
        <v>0</v>
      </c>
      <c r="J261" s="5" t="s">
        <v>50</v>
      </c>
    </row>
    <row r="262" customFormat="false" ht="15" hidden="false" customHeight="false" outlineLevel="0" collapsed="false">
      <c r="A262" s="5" t="n">
        <v>258</v>
      </c>
      <c r="B262" s="5" t="s">
        <v>318</v>
      </c>
      <c r="C262" s="5" t="s">
        <v>52</v>
      </c>
      <c r="D262" s="5" t="s">
        <v>61</v>
      </c>
      <c r="E262" s="6" t="n">
        <v>11257.56</v>
      </c>
      <c r="F262" s="6" t="n">
        <v>11257.56</v>
      </c>
      <c r="G262" s="10" t="n">
        <f aca="false">E262-F262</f>
        <v>0</v>
      </c>
      <c r="H262" s="9" t="n">
        <f aca="false">G262/E262</f>
        <v>0</v>
      </c>
      <c r="I262" s="10" t="n">
        <f aca="false">H262*Desenho_MUS!$B$12</f>
        <v>0</v>
      </c>
      <c r="J262" s="5" t="s">
        <v>50</v>
      </c>
    </row>
    <row r="263" customFormat="false" ht="15" hidden="false" customHeight="false" outlineLevel="0" collapsed="false">
      <c r="A263" s="5" t="n">
        <v>259</v>
      </c>
      <c r="B263" s="5" t="s">
        <v>319</v>
      </c>
      <c r="C263" s="5" t="s">
        <v>59</v>
      </c>
      <c r="D263" s="5" t="s">
        <v>53</v>
      </c>
      <c r="E263" s="6" t="n">
        <v>1681120.55</v>
      </c>
      <c r="F263" s="6" t="n">
        <v>1681120.55</v>
      </c>
      <c r="G263" s="10" t="n">
        <f aca="false">E263-F263</f>
        <v>0</v>
      </c>
      <c r="H263" s="9" t="n">
        <f aca="false">G263/E263</f>
        <v>0</v>
      </c>
      <c r="I263" s="10" t="n">
        <f aca="false">H263*Desenho_MUS!$B$12</f>
        <v>0</v>
      </c>
      <c r="J263" s="5" t="s">
        <v>50</v>
      </c>
    </row>
    <row r="264" customFormat="false" ht="15" hidden="false" customHeight="false" outlineLevel="0" collapsed="false">
      <c r="A264" s="5" t="n">
        <v>260</v>
      </c>
      <c r="B264" s="5" t="s">
        <v>320</v>
      </c>
      <c r="C264" s="5" t="s">
        <v>52</v>
      </c>
      <c r="D264" s="5" t="s">
        <v>61</v>
      </c>
      <c r="E264" s="6" t="n">
        <v>30403.48</v>
      </c>
      <c r="F264" s="6" t="n">
        <v>30403.48</v>
      </c>
      <c r="G264" s="10" t="n">
        <f aca="false">E264-F264</f>
        <v>0</v>
      </c>
      <c r="H264" s="9" t="n">
        <f aca="false">G264/E264</f>
        <v>0</v>
      </c>
      <c r="I264" s="10" t="n">
        <f aca="false">H264*Desenho_MUS!$B$12</f>
        <v>0</v>
      </c>
      <c r="J264" s="5" t="s">
        <v>50</v>
      </c>
    </row>
    <row r="265" customFormat="false" ht="15" hidden="false" customHeight="false" outlineLevel="0" collapsed="false">
      <c r="A265" s="5" t="n">
        <v>261</v>
      </c>
      <c r="B265" s="5" t="s">
        <v>321</v>
      </c>
      <c r="C265" s="5" t="s">
        <v>59</v>
      </c>
      <c r="D265" s="5" t="s">
        <v>61</v>
      </c>
      <c r="E265" s="6" t="n">
        <v>5260.26</v>
      </c>
      <c r="F265" s="6" t="n">
        <v>5260.26</v>
      </c>
      <c r="G265" s="10" t="n">
        <f aca="false">E265-F265</f>
        <v>0</v>
      </c>
      <c r="H265" s="9" t="n">
        <f aca="false">G265/E265</f>
        <v>0</v>
      </c>
      <c r="I265" s="10" t="n">
        <f aca="false">H265*Desenho_MUS!$B$12</f>
        <v>0</v>
      </c>
      <c r="J265" s="5" t="s">
        <v>50</v>
      </c>
    </row>
    <row r="266" customFormat="false" ht="15" hidden="false" customHeight="false" outlineLevel="0" collapsed="false">
      <c r="A266" s="5" t="n">
        <v>262</v>
      </c>
      <c r="B266" s="5" t="s">
        <v>322</v>
      </c>
      <c r="C266" s="5" t="s">
        <v>59</v>
      </c>
      <c r="D266" s="5" t="s">
        <v>49</v>
      </c>
      <c r="E266" s="6" t="n">
        <v>87756.36</v>
      </c>
      <c r="F266" s="6" t="n">
        <v>0</v>
      </c>
      <c r="G266" s="10" t="n">
        <f aca="false">E266-F266</f>
        <v>87756.36</v>
      </c>
      <c r="H266" s="9" t="n">
        <f aca="false">G266/E266</f>
        <v>1</v>
      </c>
      <c r="I266" s="10" t="n">
        <f aca="false">H266*Desenho_MUS!$B$12</f>
        <v>76944464.9350649</v>
      </c>
      <c r="J266" s="5" t="s">
        <v>246</v>
      </c>
    </row>
    <row r="267" customFormat="false" ht="15" hidden="false" customHeight="false" outlineLevel="0" collapsed="false">
      <c r="A267" s="5" t="n">
        <v>263</v>
      </c>
      <c r="B267" s="5" t="s">
        <v>323</v>
      </c>
      <c r="C267" s="5" t="s">
        <v>52</v>
      </c>
      <c r="D267" s="5" t="s">
        <v>61</v>
      </c>
      <c r="E267" s="6" t="n">
        <v>35074.56</v>
      </c>
      <c r="F267" s="6" t="n">
        <v>35074.56</v>
      </c>
      <c r="G267" s="10" t="n">
        <f aca="false">E267-F267</f>
        <v>0</v>
      </c>
      <c r="H267" s="9" t="n">
        <f aca="false">G267/E267</f>
        <v>0</v>
      </c>
      <c r="I267" s="10" t="n">
        <f aca="false">H267*Desenho_MUS!$B$12</f>
        <v>0</v>
      </c>
      <c r="J267" s="5" t="s">
        <v>50</v>
      </c>
    </row>
    <row r="268" customFormat="false" ht="15" hidden="false" customHeight="false" outlineLevel="0" collapsed="false">
      <c r="A268" s="5" t="n">
        <v>264</v>
      </c>
      <c r="B268" s="5" t="s">
        <v>324</v>
      </c>
      <c r="C268" s="5" t="s">
        <v>52</v>
      </c>
      <c r="D268" s="5" t="s">
        <v>99</v>
      </c>
      <c r="E268" s="6" t="n">
        <v>28397.53</v>
      </c>
      <c r="F268" s="6" t="n">
        <v>28397.53</v>
      </c>
      <c r="G268" s="10" t="n">
        <f aca="false">E268-F268</f>
        <v>0</v>
      </c>
      <c r="H268" s="9" t="n">
        <f aca="false">G268/E268</f>
        <v>0</v>
      </c>
      <c r="I268" s="10" t="n">
        <f aca="false">H268*Desenho_MUS!$B$12</f>
        <v>0</v>
      </c>
      <c r="J268" s="5" t="s">
        <v>50</v>
      </c>
    </row>
    <row r="269" customFormat="false" ht="15" hidden="false" customHeight="false" outlineLevel="0" collapsed="false">
      <c r="A269" s="5" t="n">
        <v>265</v>
      </c>
      <c r="B269" s="5" t="s">
        <v>325</v>
      </c>
      <c r="C269" s="5" t="s">
        <v>52</v>
      </c>
      <c r="D269" s="5" t="s">
        <v>53</v>
      </c>
      <c r="E269" s="6" t="n">
        <v>1883970.25</v>
      </c>
      <c r="F269" s="6" t="n">
        <v>1883970.25</v>
      </c>
      <c r="G269" s="10" t="n">
        <f aca="false">E269-F269</f>
        <v>0</v>
      </c>
      <c r="H269" s="9" t="n">
        <f aca="false">G269/E269</f>
        <v>0</v>
      </c>
      <c r="I269" s="10" t="n">
        <f aca="false">H269*Desenho_MUS!$B$12</f>
        <v>0</v>
      </c>
      <c r="J269" s="5" t="s">
        <v>50</v>
      </c>
    </row>
    <row r="270" customFormat="false" ht="15" hidden="false" customHeight="false" outlineLevel="0" collapsed="false">
      <c r="A270" s="5" t="n">
        <v>266</v>
      </c>
      <c r="B270" s="5" t="s">
        <v>326</v>
      </c>
      <c r="C270" s="5" t="s">
        <v>52</v>
      </c>
      <c r="D270" s="5" t="s">
        <v>61</v>
      </c>
      <c r="E270" s="6" t="n">
        <v>64515.77</v>
      </c>
      <c r="F270" s="6" t="n">
        <v>64515.77</v>
      </c>
      <c r="G270" s="10" t="n">
        <f aca="false">E270-F270</f>
        <v>0</v>
      </c>
      <c r="H270" s="9" t="n">
        <f aca="false">G270/E270</f>
        <v>0</v>
      </c>
      <c r="I270" s="10" t="n">
        <f aca="false">H270*Desenho_MUS!$B$12</f>
        <v>0</v>
      </c>
      <c r="J270" s="5" t="s">
        <v>50</v>
      </c>
    </row>
    <row r="271" customFormat="false" ht="15" hidden="false" customHeight="false" outlineLevel="0" collapsed="false">
      <c r="A271" s="5" t="n">
        <v>267</v>
      </c>
      <c r="B271" s="5" t="s">
        <v>327</v>
      </c>
      <c r="C271" s="5" t="s">
        <v>59</v>
      </c>
      <c r="D271" s="5" t="s">
        <v>61</v>
      </c>
      <c r="E271" s="6" t="n">
        <v>69318.08</v>
      </c>
      <c r="F271" s="6" t="n">
        <v>69318.08</v>
      </c>
      <c r="G271" s="10" t="n">
        <f aca="false">E271-F271</f>
        <v>0</v>
      </c>
      <c r="H271" s="9" t="n">
        <f aca="false">G271/E271</f>
        <v>0</v>
      </c>
      <c r="I271" s="10" t="n">
        <f aca="false">H271*Desenho_MUS!$B$12</f>
        <v>0</v>
      </c>
      <c r="J271" s="5" t="s">
        <v>50</v>
      </c>
    </row>
    <row r="272" customFormat="false" ht="15" hidden="false" customHeight="false" outlineLevel="0" collapsed="false">
      <c r="A272" s="5" t="n">
        <v>268</v>
      </c>
      <c r="B272" s="5" t="s">
        <v>328</v>
      </c>
      <c r="C272" s="5" t="s">
        <v>59</v>
      </c>
      <c r="D272" s="5" t="s">
        <v>49</v>
      </c>
      <c r="E272" s="6" t="n">
        <v>146068.42</v>
      </c>
      <c r="F272" s="6" t="n">
        <v>146068.42</v>
      </c>
      <c r="G272" s="10" t="n">
        <f aca="false">E272-F272</f>
        <v>0</v>
      </c>
      <c r="H272" s="9" t="n">
        <f aca="false">G272/E272</f>
        <v>0</v>
      </c>
      <c r="I272" s="10" t="n">
        <f aca="false">H272*Desenho_MUS!$B$12</f>
        <v>0</v>
      </c>
      <c r="J272" s="5" t="s">
        <v>50</v>
      </c>
    </row>
    <row r="273" customFormat="false" ht="15" hidden="false" customHeight="false" outlineLevel="0" collapsed="false">
      <c r="A273" s="5" t="n">
        <v>269</v>
      </c>
      <c r="B273" s="5" t="s">
        <v>329</v>
      </c>
      <c r="C273" s="5" t="s">
        <v>52</v>
      </c>
      <c r="D273" s="5" t="s">
        <v>53</v>
      </c>
      <c r="E273" s="6" t="n">
        <v>1348597.39</v>
      </c>
      <c r="F273" s="6" t="n">
        <v>1348597.39</v>
      </c>
      <c r="G273" s="10" t="n">
        <f aca="false">E273-F273</f>
        <v>0</v>
      </c>
      <c r="H273" s="9" t="n">
        <f aca="false">G273/E273</f>
        <v>0</v>
      </c>
      <c r="I273" s="10" t="n">
        <f aca="false">H273*Desenho_MUS!$B$12</f>
        <v>0</v>
      </c>
      <c r="J273" s="5" t="s">
        <v>50</v>
      </c>
    </row>
    <row r="274" customFormat="false" ht="15" hidden="false" customHeight="false" outlineLevel="0" collapsed="false">
      <c r="A274" s="5" t="n">
        <v>270</v>
      </c>
      <c r="B274" s="5" t="s">
        <v>330</v>
      </c>
      <c r="C274" s="5" t="s">
        <v>52</v>
      </c>
      <c r="D274" s="5" t="s">
        <v>61</v>
      </c>
      <c r="E274" s="6" t="n">
        <v>69410.68</v>
      </c>
      <c r="F274" s="6" t="n">
        <v>69410.68</v>
      </c>
      <c r="G274" s="10" t="n">
        <f aca="false">E274-F274</f>
        <v>0</v>
      </c>
      <c r="H274" s="9" t="n">
        <f aca="false">G274/E274</f>
        <v>0</v>
      </c>
      <c r="I274" s="10" t="n">
        <f aca="false">H274*Desenho_MUS!$B$12</f>
        <v>0</v>
      </c>
      <c r="J274" s="5" t="s">
        <v>50</v>
      </c>
    </row>
    <row r="275" customFormat="false" ht="15" hidden="false" customHeight="false" outlineLevel="0" collapsed="false">
      <c r="A275" s="5" t="n">
        <v>271</v>
      </c>
      <c r="B275" s="5" t="s">
        <v>331</v>
      </c>
      <c r="C275" s="5" t="s">
        <v>56</v>
      </c>
      <c r="D275" s="5" t="s">
        <v>53</v>
      </c>
      <c r="E275" s="6" t="n">
        <v>1292993.97</v>
      </c>
      <c r="F275" s="6" t="n">
        <v>1292993.97</v>
      </c>
      <c r="G275" s="10" t="n">
        <f aca="false">E275-F275</f>
        <v>0</v>
      </c>
      <c r="H275" s="9" t="n">
        <f aca="false">G275/E275</f>
        <v>0</v>
      </c>
      <c r="I275" s="10" t="n">
        <f aca="false">H275*Desenho_MUS!$B$12</f>
        <v>0</v>
      </c>
      <c r="J275" s="5" t="s">
        <v>50</v>
      </c>
    </row>
    <row r="276" customFormat="false" ht="15" hidden="false" customHeight="false" outlineLevel="0" collapsed="false">
      <c r="A276" s="5" t="n">
        <v>272</v>
      </c>
      <c r="B276" s="5" t="s">
        <v>332</v>
      </c>
      <c r="C276" s="5" t="s">
        <v>52</v>
      </c>
      <c r="D276" s="5" t="s">
        <v>53</v>
      </c>
      <c r="E276" s="6" t="n">
        <v>381260.68</v>
      </c>
      <c r="F276" s="6" t="n">
        <v>381260.68</v>
      </c>
      <c r="G276" s="10" t="n">
        <f aca="false">E276-F276</f>
        <v>0</v>
      </c>
      <c r="H276" s="9" t="n">
        <f aca="false">G276/E276</f>
        <v>0</v>
      </c>
      <c r="I276" s="10" t="n">
        <f aca="false">H276*Desenho_MUS!$B$12</f>
        <v>0</v>
      </c>
      <c r="J276" s="5" t="s">
        <v>50</v>
      </c>
    </row>
    <row r="277" customFormat="false" ht="15" hidden="false" customHeight="false" outlineLevel="0" collapsed="false">
      <c r="A277" s="5" t="n">
        <v>273</v>
      </c>
      <c r="B277" s="5" t="s">
        <v>333</v>
      </c>
      <c r="C277" s="5" t="s">
        <v>56</v>
      </c>
      <c r="D277" s="5" t="s">
        <v>61</v>
      </c>
      <c r="E277" s="6" t="n">
        <v>20291.15</v>
      </c>
      <c r="F277" s="6" t="n">
        <v>20291.15</v>
      </c>
      <c r="G277" s="10" t="n">
        <f aca="false">E277-F277</f>
        <v>0</v>
      </c>
      <c r="H277" s="9" t="n">
        <f aca="false">G277/E277</f>
        <v>0</v>
      </c>
      <c r="I277" s="10" t="n">
        <f aca="false">H277*Desenho_MUS!$B$12</f>
        <v>0</v>
      </c>
      <c r="J277" s="5" t="s">
        <v>50</v>
      </c>
    </row>
    <row r="278" customFormat="false" ht="15" hidden="false" customHeight="false" outlineLevel="0" collapsed="false">
      <c r="A278" s="5" t="n">
        <v>274</v>
      </c>
      <c r="B278" s="5" t="s">
        <v>334</v>
      </c>
      <c r="C278" s="5" t="s">
        <v>52</v>
      </c>
      <c r="D278" s="5" t="s">
        <v>53</v>
      </c>
      <c r="E278" s="6" t="n">
        <v>2238420.25</v>
      </c>
      <c r="F278" s="6" t="n">
        <v>2238420.25</v>
      </c>
      <c r="G278" s="10" t="n">
        <f aca="false">E278-F278</f>
        <v>0</v>
      </c>
      <c r="H278" s="9" t="n">
        <f aca="false">G278/E278</f>
        <v>0</v>
      </c>
      <c r="I278" s="10" t="n">
        <f aca="false">H278*Desenho_MUS!$B$12</f>
        <v>0</v>
      </c>
      <c r="J278" s="5" t="s">
        <v>50</v>
      </c>
    </row>
    <row r="279" customFormat="false" ht="15" hidden="false" customHeight="false" outlineLevel="0" collapsed="false">
      <c r="A279" s="5" t="n">
        <v>275</v>
      </c>
      <c r="B279" s="5" t="s">
        <v>335</v>
      </c>
      <c r="C279" s="5" t="s">
        <v>59</v>
      </c>
      <c r="D279" s="5" t="s">
        <v>53</v>
      </c>
      <c r="E279" s="6" t="n">
        <v>747853.85</v>
      </c>
      <c r="F279" s="6" t="n">
        <v>747853.85</v>
      </c>
      <c r="G279" s="10" t="n">
        <f aca="false">E279-F279</f>
        <v>0</v>
      </c>
      <c r="H279" s="9" t="n">
        <f aca="false">G279/E279</f>
        <v>0</v>
      </c>
      <c r="I279" s="10" t="n">
        <f aca="false">H279*Desenho_MUS!$B$12</f>
        <v>0</v>
      </c>
      <c r="J279" s="5" t="s">
        <v>50</v>
      </c>
    </row>
    <row r="280" customFormat="false" ht="15" hidden="false" customHeight="false" outlineLevel="0" collapsed="false">
      <c r="A280" s="5" t="n">
        <v>276</v>
      </c>
      <c r="B280" s="5" t="s">
        <v>336</v>
      </c>
      <c r="C280" s="5" t="s">
        <v>56</v>
      </c>
      <c r="D280" s="5" t="s">
        <v>61</v>
      </c>
      <c r="E280" s="6" t="n">
        <v>64061.45</v>
      </c>
      <c r="F280" s="6" t="n">
        <v>64061.45</v>
      </c>
      <c r="G280" s="10" t="n">
        <f aca="false">E280-F280</f>
        <v>0</v>
      </c>
      <c r="H280" s="9" t="n">
        <f aca="false">G280/E280</f>
        <v>0</v>
      </c>
      <c r="I280" s="10" t="n">
        <f aca="false">H280*Desenho_MUS!$B$12</f>
        <v>0</v>
      </c>
      <c r="J280" s="5" t="s">
        <v>50</v>
      </c>
    </row>
    <row r="281" customFormat="false" ht="15" hidden="false" customHeight="false" outlineLevel="0" collapsed="false">
      <c r="A281" s="5" t="n">
        <v>277</v>
      </c>
      <c r="B281" s="5" t="s">
        <v>337</v>
      </c>
      <c r="C281" s="5" t="s">
        <v>59</v>
      </c>
      <c r="D281" s="5" t="s">
        <v>53</v>
      </c>
      <c r="E281" s="6" t="n">
        <v>1987741.59</v>
      </c>
      <c r="F281" s="6" t="n">
        <v>1987741.59</v>
      </c>
      <c r="G281" s="10" t="n">
        <f aca="false">E281-F281</f>
        <v>0</v>
      </c>
      <c r="H281" s="9" t="n">
        <f aca="false">G281/E281</f>
        <v>0</v>
      </c>
      <c r="I281" s="10" t="n">
        <f aca="false">H281*Desenho_MUS!$B$12</f>
        <v>0</v>
      </c>
      <c r="J281" s="5" t="s">
        <v>50</v>
      </c>
    </row>
    <row r="282" customFormat="false" ht="15" hidden="false" customHeight="false" outlineLevel="0" collapsed="false">
      <c r="A282" s="5" t="n">
        <v>278</v>
      </c>
      <c r="B282" s="5" t="s">
        <v>338</v>
      </c>
      <c r="C282" s="5" t="s">
        <v>52</v>
      </c>
      <c r="D282" s="5" t="s">
        <v>53</v>
      </c>
      <c r="E282" s="6" t="n">
        <v>2155492.27</v>
      </c>
      <c r="F282" s="6" t="n">
        <v>2155492.27</v>
      </c>
      <c r="G282" s="10" t="n">
        <f aca="false">E282-F282</f>
        <v>0</v>
      </c>
      <c r="H282" s="9" t="n">
        <f aca="false">G282/E282</f>
        <v>0</v>
      </c>
      <c r="I282" s="10" t="n">
        <f aca="false">H282*Desenho_MUS!$B$12</f>
        <v>0</v>
      </c>
      <c r="J282" s="5" t="s">
        <v>50</v>
      </c>
    </row>
    <row r="283" customFormat="false" ht="15" hidden="false" customHeight="false" outlineLevel="0" collapsed="false">
      <c r="A283" s="5" t="n">
        <v>279</v>
      </c>
      <c r="B283" s="5" t="s">
        <v>339</v>
      </c>
      <c r="C283" s="5" t="s">
        <v>52</v>
      </c>
      <c r="D283" s="5" t="s">
        <v>53</v>
      </c>
      <c r="E283" s="6" t="n">
        <v>3582918.35</v>
      </c>
      <c r="F283" s="6" t="n">
        <v>3582918.35</v>
      </c>
      <c r="G283" s="10" t="n">
        <f aca="false">E283-F283</f>
        <v>0</v>
      </c>
      <c r="H283" s="9" t="n">
        <f aca="false">G283/E283</f>
        <v>0</v>
      </c>
      <c r="I283" s="10" t="n">
        <f aca="false">H283*Desenho_MUS!$B$12</f>
        <v>0</v>
      </c>
      <c r="J283" s="5" t="s">
        <v>50</v>
      </c>
    </row>
    <row r="284" customFormat="false" ht="15" hidden="false" customHeight="false" outlineLevel="0" collapsed="false">
      <c r="A284" s="5" t="n">
        <v>280</v>
      </c>
      <c r="B284" s="5" t="s">
        <v>340</v>
      </c>
      <c r="C284" s="5" t="s">
        <v>59</v>
      </c>
      <c r="D284" s="5" t="s">
        <v>61</v>
      </c>
      <c r="E284" s="6" t="n">
        <v>70055.57</v>
      </c>
      <c r="F284" s="6" t="n">
        <v>70055.57</v>
      </c>
      <c r="G284" s="10" t="n">
        <f aca="false">E284-F284</f>
        <v>0</v>
      </c>
      <c r="H284" s="9" t="n">
        <f aca="false">G284/E284</f>
        <v>0</v>
      </c>
      <c r="I284" s="10" t="n">
        <f aca="false">H284*Desenho_MUS!$B$12</f>
        <v>0</v>
      </c>
      <c r="J284" s="5" t="s">
        <v>50</v>
      </c>
    </row>
    <row r="285" customFormat="false" ht="15" hidden="false" customHeight="false" outlineLevel="0" collapsed="false">
      <c r="A285" s="5" t="n">
        <v>281</v>
      </c>
      <c r="B285" s="5" t="s">
        <v>341</v>
      </c>
      <c r="C285" s="5" t="s">
        <v>56</v>
      </c>
      <c r="D285" s="5" t="s">
        <v>53</v>
      </c>
      <c r="E285" s="6" t="n">
        <v>1563376.98</v>
      </c>
      <c r="F285" s="6" t="n">
        <v>1563376.98</v>
      </c>
      <c r="G285" s="10" t="n">
        <f aca="false">E285-F285</f>
        <v>0</v>
      </c>
      <c r="H285" s="9" t="n">
        <f aca="false">G285/E285</f>
        <v>0</v>
      </c>
      <c r="I285" s="10" t="n">
        <f aca="false">H285*Desenho_MUS!$B$12</f>
        <v>0</v>
      </c>
      <c r="J285" s="5" t="s">
        <v>50</v>
      </c>
    </row>
    <row r="286" customFormat="false" ht="15" hidden="false" customHeight="false" outlineLevel="0" collapsed="false">
      <c r="A286" s="5" t="n">
        <v>282</v>
      </c>
      <c r="B286" s="5" t="s">
        <v>342</v>
      </c>
      <c r="C286" s="5" t="s">
        <v>59</v>
      </c>
      <c r="D286" s="5" t="s">
        <v>61</v>
      </c>
      <c r="E286" s="6" t="n">
        <v>62800.85</v>
      </c>
      <c r="F286" s="6" t="n">
        <v>62800.85</v>
      </c>
      <c r="G286" s="10" t="n">
        <f aca="false">E286-F286</f>
        <v>0</v>
      </c>
      <c r="H286" s="9" t="n">
        <f aca="false">G286/E286</f>
        <v>0</v>
      </c>
      <c r="I286" s="10" t="n">
        <f aca="false">H286*Desenho_MUS!$B$12</f>
        <v>0</v>
      </c>
      <c r="J286" s="5" t="s">
        <v>50</v>
      </c>
    </row>
    <row r="287" customFormat="false" ht="15" hidden="false" customHeight="false" outlineLevel="0" collapsed="false">
      <c r="A287" s="5" t="n">
        <v>283</v>
      </c>
      <c r="B287" s="5" t="s">
        <v>343</v>
      </c>
      <c r="C287" s="5" t="s">
        <v>56</v>
      </c>
      <c r="D287" s="5" t="s">
        <v>99</v>
      </c>
      <c r="E287" s="6" t="n">
        <v>25513.81</v>
      </c>
      <c r="F287" s="6" t="n">
        <v>25513.81</v>
      </c>
      <c r="G287" s="10" t="n">
        <f aca="false">E287-F287</f>
        <v>0</v>
      </c>
      <c r="H287" s="9" t="n">
        <f aca="false">G287/E287</f>
        <v>0</v>
      </c>
      <c r="I287" s="10" t="n">
        <f aca="false">H287*Desenho_MUS!$B$12</f>
        <v>0</v>
      </c>
      <c r="J287" s="5" t="s">
        <v>50</v>
      </c>
    </row>
    <row r="288" customFormat="false" ht="15" hidden="false" customHeight="false" outlineLevel="0" collapsed="false">
      <c r="A288" s="5" t="n">
        <v>284</v>
      </c>
      <c r="B288" s="5" t="s">
        <v>344</v>
      </c>
      <c r="C288" s="5" t="s">
        <v>59</v>
      </c>
      <c r="D288" s="5" t="s">
        <v>53</v>
      </c>
      <c r="E288" s="6" t="n">
        <v>2642857.55</v>
      </c>
      <c r="F288" s="6" t="n">
        <v>2642857.55</v>
      </c>
      <c r="G288" s="10" t="n">
        <f aca="false">E288-F288</f>
        <v>0</v>
      </c>
      <c r="H288" s="9" t="n">
        <f aca="false">G288/E288</f>
        <v>0</v>
      </c>
      <c r="I288" s="10" t="n">
        <f aca="false">H288*Desenho_MUS!$B$12</f>
        <v>0</v>
      </c>
      <c r="J288" s="5" t="s">
        <v>50</v>
      </c>
    </row>
    <row r="289" customFormat="false" ht="15" hidden="false" customHeight="false" outlineLevel="0" collapsed="false">
      <c r="A289" s="5" t="n">
        <v>285</v>
      </c>
      <c r="B289" s="5" t="s">
        <v>345</v>
      </c>
      <c r="C289" s="5" t="s">
        <v>52</v>
      </c>
      <c r="D289" s="5" t="s">
        <v>49</v>
      </c>
      <c r="E289" s="6" t="n">
        <v>85682.29</v>
      </c>
      <c r="F289" s="6" t="n">
        <v>85682.29</v>
      </c>
      <c r="G289" s="10" t="n">
        <f aca="false">E289-F289</f>
        <v>0</v>
      </c>
      <c r="H289" s="9" t="n">
        <f aca="false">G289/E289</f>
        <v>0</v>
      </c>
      <c r="I289" s="10" t="n">
        <f aca="false">H289*Desenho_MUS!$B$12</f>
        <v>0</v>
      </c>
      <c r="J289" s="5" t="s">
        <v>50</v>
      </c>
    </row>
    <row r="290" customFormat="false" ht="15" hidden="false" customHeight="false" outlineLevel="0" collapsed="false">
      <c r="A290" s="5" t="n">
        <v>286</v>
      </c>
      <c r="B290" s="5" t="s">
        <v>346</v>
      </c>
      <c r="C290" s="5" t="s">
        <v>59</v>
      </c>
      <c r="D290" s="5" t="s">
        <v>53</v>
      </c>
      <c r="E290" s="6" t="n">
        <v>381217.85</v>
      </c>
      <c r="F290" s="6" t="n">
        <v>381217.85</v>
      </c>
      <c r="G290" s="10" t="n">
        <f aca="false">E290-F290</f>
        <v>0</v>
      </c>
      <c r="H290" s="9" t="n">
        <f aca="false">G290/E290</f>
        <v>0</v>
      </c>
      <c r="I290" s="10" t="n">
        <f aca="false">H290*Desenho_MUS!$B$12</f>
        <v>0</v>
      </c>
      <c r="J290" s="5" t="s">
        <v>50</v>
      </c>
    </row>
    <row r="291" customFormat="false" ht="15" hidden="false" customHeight="false" outlineLevel="0" collapsed="false">
      <c r="A291" s="5" t="n">
        <v>287</v>
      </c>
      <c r="B291" s="5" t="s">
        <v>347</v>
      </c>
      <c r="C291" s="5" t="s">
        <v>56</v>
      </c>
      <c r="D291" s="5" t="s">
        <v>49</v>
      </c>
      <c r="E291" s="6" t="n">
        <v>60829.92</v>
      </c>
      <c r="F291" s="6" t="n">
        <v>60829.92</v>
      </c>
      <c r="G291" s="10" t="n">
        <f aca="false">E291-F291</f>
        <v>0</v>
      </c>
      <c r="H291" s="9" t="n">
        <f aca="false">G291/E291</f>
        <v>0</v>
      </c>
      <c r="I291" s="10" t="n">
        <f aca="false">H291*Desenho_MUS!$B$12</f>
        <v>0</v>
      </c>
      <c r="J291" s="5" t="s">
        <v>50</v>
      </c>
    </row>
    <row r="292" customFormat="false" ht="15" hidden="false" customHeight="false" outlineLevel="0" collapsed="false">
      <c r="A292" s="5" t="n">
        <v>288</v>
      </c>
      <c r="B292" s="5" t="s">
        <v>348</v>
      </c>
      <c r="C292" s="5" t="s">
        <v>56</v>
      </c>
      <c r="D292" s="5" t="s">
        <v>53</v>
      </c>
      <c r="E292" s="6" t="n">
        <v>1433036.68</v>
      </c>
      <c r="F292" s="6" t="n">
        <v>1433036.68</v>
      </c>
      <c r="G292" s="10" t="n">
        <f aca="false">E292-F292</f>
        <v>0</v>
      </c>
      <c r="H292" s="9" t="n">
        <f aca="false">G292/E292</f>
        <v>0</v>
      </c>
      <c r="I292" s="10" t="n">
        <f aca="false">H292*Desenho_MUS!$B$12</f>
        <v>0</v>
      </c>
      <c r="J292" s="5" t="s">
        <v>50</v>
      </c>
    </row>
    <row r="293" customFormat="false" ht="15" hidden="false" customHeight="false" outlineLevel="0" collapsed="false">
      <c r="A293" s="5" t="n">
        <v>289</v>
      </c>
      <c r="B293" s="5" t="s">
        <v>349</v>
      </c>
      <c r="C293" s="5" t="s">
        <v>52</v>
      </c>
      <c r="D293" s="5" t="s">
        <v>53</v>
      </c>
      <c r="E293" s="6" t="n">
        <v>1257563.2</v>
      </c>
      <c r="F293" s="6" t="n">
        <v>1257563.2</v>
      </c>
      <c r="G293" s="10" t="n">
        <f aca="false">E293-F293</f>
        <v>0</v>
      </c>
      <c r="H293" s="9" t="n">
        <f aca="false">G293/E293</f>
        <v>0</v>
      </c>
      <c r="I293" s="10" t="n">
        <f aca="false">H293*Desenho_MUS!$B$12</f>
        <v>0</v>
      </c>
      <c r="J293" s="5" t="s">
        <v>50</v>
      </c>
    </row>
    <row r="294" customFormat="false" ht="15" hidden="false" customHeight="false" outlineLevel="0" collapsed="false">
      <c r="A294" s="5" t="n">
        <v>290</v>
      </c>
      <c r="B294" s="5" t="s">
        <v>350</v>
      </c>
      <c r="C294" s="5" t="s">
        <v>52</v>
      </c>
      <c r="D294" s="5" t="s">
        <v>117</v>
      </c>
      <c r="E294" s="6" t="n">
        <v>12829.41</v>
      </c>
      <c r="F294" s="6" t="n">
        <v>12829.41</v>
      </c>
      <c r="G294" s="10" t="n">
        <f aca="false">E294-F294</f>
        <v>0</v>
      </c>
      <c r="H294" s="9" t="n">
        <f aca="false">G294/E294</f>
        <v>0</v>
      </c>
      <c r="I294" s="10" t="n">
        <f aca="false">H294*Desenho_MUS!$B$12</f>
        <v>0</v>
      </c>
      <c r="J294" s="5" t="s">
        <v>50</v>
      </c>
    </row>
    <row r="295" customFormat="false" ht="15" hidden="false" customHeight="false" outlineLevel="0" collapsed="false">
      <c r="A295" s="5" t="n">
        <v>291</v>
      </c>
      <c r="B295" s="5" t="s">
        <v>351</v>
      </c>
      <c r="C295" s="5" t="s">
        <v>52</v>
      </c>
      <c r="D295" s="5" t="s">
        <v>53</v>
      </c>
      <c r="E295" s="6" t="n">
        <v>424839.79</v>
      </c>
      <c r="F295" s="6" t="n">
        <v>424839.79</v>
      </c>
      <c r="G295" s="10" t="n">
        <f aca="false">E295-F295</f>
        <v>0</v>
      </c>
      <c r="H295" s="9" t="n">
        <f aca="false">G295/E295</f>
        <v>0</v>
      </c>
      <c r="I295" s="10" t="n">
        <f aca="false">H295*Desenho_MUS!$B$12</f>
        <v>0</v>
      </c>
      <c r="J295" s="5" t="s">
        <v>50</v>
      </c>
    </row>
    <row r="296" customFormat="false" ht="15" hidden="false" customHeight="false" outlineLevel="0" collapsed="false">
      <c r="A296" s="5" t="n">
        <v>292</v>
      </c>
      <c r="B296" s="5" t="s">
        <v>352</v>
      </c>
      <c r="C296" s="5" t="s">
        <v>52</v>
      </c>
      <c r="D296" s="5" t="s">
        <v>49</v>
      </c>
      <c r="E296" s="6" t="n">
        <v>221565.09</v>
      </c>
      <c r="F296" s="6" t="n">
        <v>221565.09</v>
      </c>
      <c r="G296" s="10" t="n">
        <f aca="false">E296-F296</f>
        <v>0</v>
      </c>
      <c r="H296" s="9" t="n">
        <f aca="false">G296/E296</f>
        <v>0</v>
      </c>
      <c r="I296" s="10" t="n">
        <f aca="false">H296*Desenho_MUS!$B$12</f>
        <v>0</v>
      </c>
      <c r="J296" s="5" t="s">
        <v>50</v>
      </c>
    </row>
    <row r="297" customFormat="false" ht="15" hidden="false" customHeight="false" outlineLevel="0" collapsed="false">
      <c r="A297" s="5" t="n">
        <v>293</v>
      </c>
      <c r="B297" s="5" t="s">
        <v>353</v>
      </c>
      <c r="C297" s="5" t="s">
        <v>59</v>
      </c>
      <c r="D297" s="5" t="s">
        <v>53</v>
      </c>
      <c r="E297" s="6" t="n">
        <v>922688.25</v>
      </c>
      <c r="F297" s="6" t="n">
        <v>922688.25</v>
      </c>
      <c r="G297" s="10" t="n">
        <f aca="false">E297-F297</f>
        <v>0</v>
      </c>
      <c r="H297" s="9" t="n">
        <f aca="false">G297/E297</f>
        <v>0</v>
      </c>
      <c r="I297" s="10" t="n">
        <f aca="false">H297*Desenho_MUS!$B$12</f>
        <v>0</v>
      </c>
      <c r="J297" s="5" t="s">
        <v>50</v>
      </c>
    </row>
    <row r="298" customFormat="false" ht="15" hidden="false" customHeight="false" outlineLevel="0" collapsed="false">
      <c r="A298" s="5" t="n">
        <v>294</v>
      </c>
      <c r="B298" s="5" t="s">
        <v>354</v>
      </c>
      <c r="C298" s="5" t="s">
        <v>52</v>
      </c>
      <c r="D298" s="5" t="s">
        <v>53</v>
      </c>
      <c r="E298" s="6" t="n">
        <v>3196300.15</v>
      </c>
      <c r="F298" s="6" t="n">
        <v>3196300.15</v>
      </c>
      <c r="G298" s="10" t="n">
        <f aca="false">E298-F298</f>
        <v>0</v>
      </c>
      <c r="H298" s="9" t="n">
        <f aca="false">G298/E298</f>
        <v>0</v>
      </c>
      <c r="I298" s="10" t="n">
        <f aca="false">H298*Desenho_MUS!$B$12</f>
        <v>0</v>
      </c>
      <c r="J298" s="5" t="s">
        <v>50</v>
      </c>
    </row>
    <row r="299" customFormat="false" ht="15" hidden="false" customHeight="false" outlineLevel="0" collapsed="false">
      <c r="A299" s="5" t="n">
        <v>295</v>
      </c>
      <c r="B299" s="5" t="s">
        <v>355</v>
      </c>
      <c r="C299" s="5" t="s">
        <v>59</v>
      </c>
      <c r="D299" s="5" t="s">
        <v>49</v>
      </c>
      <c r="E299" s="6" t="n">
        <v>224182.96</v>
      </c>
      <c r="F299" s="6" t="n">
        <v>224182.96</v>
      </c>
      <c r="G299" s="10" t="n">
        <f aca="false">E299-F299</f>
        <v>0</v>
      </c>
      <c r="H299" s="9" t="n">
        <f aca="false">G299/E299</f>
        <v>0</v>
      </c>
      <c r="I299" s="10" t="n">
        <f aca="false">H299*Desenho_MUS!$B$12</f>
        <v>0</v>
      </c>
      <c r="J299" s="5" t="s">
        <v>50</v>
      </c>
    </row>
    <row r="300" customFormat="false" ht="15" hidden="false" customHeight="false" outlineLevel="0" collapsed="false">
      <c r="A300" s="5" t="n">
        <v>296</v>
      </c>
      <c r="B300" s="5" t="s">
        <v>356</v>
      </c>
      <c r="C300" s="5" t="s">
        <v>59</v>
      </c>
      <c r="D300" s="5" t="s">
        <v>53</v>
      </c>
      <c r="E300" s="6" t="n">
        <v>898313.01</v>
      </c>
      <c r="F300" s="6" t="n">
        <v>898313.01</v>
      </c>
      <c r="G300" s="10" t="n">
        <f aca="false">E300-F300</f>
        <v>0</v>
      </c>
      <c r="H300" s="9" t="n">
        <f aca="false">G300/E300</f>
        <v>0</v>
      </c>
      <c r="I300" s="10" t="n">
        <f aca="false">H300*Desenho_MUS!$B$12</f>
        <v>0</v>
      </c>
      <c r="J300" s="5" t="s">
        <v>50</v>
      </c>
    </row>
    <row r="301" customFormat="false" ht="15" hidden="false" customHeight="false" outlineLevel="0" collapsed="false">
      <c r="A301" s="5" t="n">
        <v>297</v>
      </c>
      <c r="B301" s="5" t="s">
        <v>357</v>
      </c>
      <c r="C301" s="5" t="s">
        <v>59</v>
      </c>
      <c r="D301" s="5" t="s">
        <v>53</v>
      </c>
      <c r="E301" s="6" t="n">
        <v>319399.16</v>
      </c>
      <c r="F301" s="6" t="n">
        <v>319399.16</v>
      </c>
      <c r="G301" s="10" t="n">
        <f aca="false">E301-F301</f>
        <v>0</v>
      </c>
      <c r="H301" s="9" t="n">
        <f aca="false">G301/E301</f>
        <v>0</v>
      </c>
      <c r="I301" s="10" t="n">
        <f aca="false">H301*Desenho_MUS!$B$12</f>
        <v>0</v>
      </c>
      <c r="J301" s="5" t="s">
        <v>50</v>
      </c>
    </row>
    <row r="302" customFormat="false" ht="15" hidden="false" customHeight="false" outlineLevel="0" collapsed="false">
      <c r="A302" s="5" t="n">
        <v>298</v>
      </c>
      <c r="B302" s="5" t="s">
        <v>358</v>
      </c>
      <c r="C302" s="5" t="s">
        <v>52</v>
      </c>
      <c r="D302" s="5" t="s">
        <v>61</v>
      </c>
      <c r="E302" s="6" t="n">
        <v>62689.82</v>
      </c>
      <c r="F302" s="6" t="n">
        <v>62689.82</v>
      </c>
      <c r="G302" s="10" t="n">
        <f aca="false">E302-F302</f>
        <v>0</v>
      </c>
      <c r="H302" s="9" t="n">
        <f aca="false">G302/E302</f>
        <v>0</v>
      </c>
      <c r="I302" s="10" t="n">
        <f aca="false">H302*Desenho_MUS!$B$12</f>
        <v>0</v>
      </c>
      <c r="J302" s="5" t="s">
        <v>50</v>
      </c>
    </row>
    <row r="303" customFormat="false" ht="15" hidden="false" customHeight="false" outlineLevel="0" collapsed="false">
      <c r="A303" s="5" t="n">
        <v>299</v>
      </c>
      <c r="B303" s="5" t="s">
        <v>359</v>
      </c>
      <c r="C303" s="5" t="s">
        <v>52</v>
      </c>
      <c r="D303" s="5" t="s">
        <v>49</v>
      </c>
      <c r="E303" s="6" t="n">
        <v>120266.79</v>
      </c>
      <c r="F303" s="6" t="n">
        <v>120266.79</v>
      </c>
      <c r="G303" s="10" t="n">
        <f aca="false">E303-F303</f>
        <v>0</v>
      </c>
      <c r="H303" s="9" t="n">
        <f aca="false">G303/E303</f>
        <v>0</v>
      </c>
      <c r="I303" s="10" t="n">
        <f aca="false">H303*Desenho_MUS!$B$12</f>
        <v>0</v>
      </c>
      <c r="J303" s="5" t="s">
        <v>50</v>
      </c>
    </row>
    <row r="304" customFormat="false" ht="15" hidden="false" customHeight="false" outlineLevel="0" collapsed="false">
      <c r="A304" s="5" t="n">
        <v>300</v>
      </c>
      <c r="B304" s="5" t="s">
        <v>360</v>
      </c>
      <c r="C304" s="5" t="s">
        <v>52</v>
      </c>
      <c r="D304" s="5" t="s">
        <v>53</v>
      </c>
      <c r="E304" s="6" t="n">
        <v>2543582.28</v>
      </c>
      <c r="F304" s="6" t="n">
        <v>2543582.28</v>
      </c>
      <c r="G304" s="10" t="n">
        <f aca="false">E304-F304</f>
        <v>0</v>
      </c>
      <c r="H304" s="9" t="n">
        <f aca="false">G304/E304</f>
        <v>0</v>
      </c>
      <c r="I304" s="10" t="n">
        <f aca="false">H304*Desenho_MUS!$B$12</f>
        <v>0</v>
      </c>
      <c r="J304" s="5" t="s">
        <v>50</v>
      </c>
    </row>
    <row r="305" customFormat="false" ht="15" hidden="false" customHeight="false" outlineLevel="0" collapsed="false">
      <c r="A305" s="5" t="n">
        <v>301</v>
      </c>
      <c r="B305" s="5" t="s">
        <v>361</v>
      </c>
      <c r="C305" s="5" t="s">
        <v>59</v>
      </c>
      <c r="D305" s="5" t="s">
        <v>49</v>
      </c>
      <c r="E305" s="6" t="n">
        <v>54233.29</v>
      </c>
      <c r="F305" s="6" t="n">
        <v>54233.29</v>
      </c>
      <c r="G305" s="10" t="n">
        <f aca="false">E305-F305</f>
        <v>0</v>
      </c>
      <c r="H305" s="9" t="n">
        <f aca="false">G305/E305</f>
        <v>0</v>
      </c>
      <c r="I305" s="10" t="n">
        <f aca="false">H305*Desenho_MUS!$B$12</f>
        <v>0</v>
      </c>
      <c r="J305" s="5" t="s">
        <v>50</v>
      </c>
    </row>
    <row r="306" customFormat="false" ht="15" hidden="false" customHeight="false" outlineLevel="0" collapsed="false">
      <c r="A306" s="5" t="n">
        <v>302</v>
      </c>
      <c r="B306" s="5" t="s">
        <v>362</v>
      </c>
      <c r="C306" s="5" t="s">
        <v>52</v>
      </c>
      <c r="D306" s="5" t="s">
        <v>61</v>
      </c>
      <c r="E306" s="6" t="n">
        <v>94693.38</v>
      </c>
      <c r="F306" s="6" t="n">
        <v>94693.38</v>
      </c>
      <c r="G306" s="10" t="n">
        <f aca="false">E306-F306</f>
        <v>0</v>
      </c>
      <c r="H306" s="9" t="n">
        <f aca="false">G306/E306</f>
        <v>0</v>
      </c>
      <c r="I306" s="10" t="n">
        <f aca="false">H306*Desenho_MUS!$B$12</f>
        <v>0</v>
      </c>
      <c r="J306" s="5" t="s">
        <v>50</v>
      </c>
    </row>
    <row r="307" customFormat="false" ht="15" hidden="false" customHeight="false" outlineLevel="0" collapsed="false">
      <c r="A307" s="5" t="n">
        <v>303</v>
      </c>
      <c r="B307" s="5" t="s">
        <v>363</v>
      </c>
      <c r="C307" s="5" t="s">
        <v>59</v>
      </c>
      <c r="D307" s="5" t="s">
        <v>61</v>
      </c>
      <c r="E307" s="6" t="n">
        <v>46736.57</v>
      </c>
      <c r="F307" s="6" t="n">
        <v>46736.57</v>
      </c>
      <c r="G307" s="10" t="n">
        <f aca="false">E307-F307</f>
        <v>0</v>
      </c>
      <c r="H307" s="9" t="n">
        <f aca="false">G307/E307</f>
        <v>0</v>
      </c>
      <c r="I307" s="10" t="n">
        <f aca="false">H307*Desenho_MUS!$B$12</f>
        <v>0</v>
      </c>
      <c r="J307" s="5" t="s">
        <v>50</v>
      </c>
    </row>
    <row r="308" customFormat="false" ht="15" hidden="false" customHeight="false" outlineLevel="0" collapsed="false">
      <c r="A308" s="5" t="n">
        <v>304</v>
      </c>
      <c r="B308" s="5" t="s">
        <v>364</v>
      </c>
      <c r="C308" s="5" t="s">
        <v>59</v>
      </c>
      <c r="D308" s="5" t="s">
        <v>49</v>
      </c>
      <c r="E308" s="6" t="n">
        <v>90315.5</v>
      </c>
      <c r="F308" s="6" t="n">
        <v>90315.5</v>
      </c>
      <c r="G308" s="10" t="n">
        <f aca="false">E308-F308</f>
        <v>0</v>
      </c>
      <c r="H308" s="9" t="n">
        <f aca="false">G308/E308</f>
        <v>0</v>
      </c>
      <c r="I308" s="10" t="n">
        <f aca="false">H308*Desenho_MUS!$B$12</f>
        <v>0</v>
      </c>
      <c r="J308" s="5" t="s">
        <v>50</v>
      </c>
    </row>
    <row r="309" customFormat="false" ht="15" hidden="false" customHeight="false" outlineLevel="0" collapsed="false">
      <c r="A309" s="5" t="n">
        <v>305</v>
      </c>
      <c r="B309" s="5" t="s">
        <v>365</v>
      </c>
      <c r="C309" s="5" t="s">
        <v>52</v>
      </c>
      <c r="D309" s="5" t="s">
        <v>53</v>
      </c>
      <c r="E309" s="6" t="n">
        <v>1221401.52</v>
      </c>
      <c r="F309" s="6" t="n">
        <v>1221401.52</v>
      </c>
      <c r="G309" s="10" t="n">
        <f aca="false">E309-F309</f>
        <v>0</v>
      </c>
      <c r="H309" s="9" t="n">
        <f aca="false">G309/E309</f>
        <v>0</v>
      </c>
      <c r="I309" s="10" t="n">
        <f aca="false">H309*Desenho_MUS!$B$12</f>
        <v>0</v>
      </c>
      <c r="J309" s="5" t="s">
        <v>50</v>
      </c>
    </row>
    <row r="310" customFormat="false" ht="15" hidden="false" customHeight="false" outlineLevel="0" collapsed="false">
      <c r="A310" s="5" t="n">
        <v>306</v>
      </c>
      <c r="B310" s="5" t="s">
        <v>366</v>
      </c>
      <c r="C310" s="5" t="s">
        <v>52</v>
      </c>
      <c r="D310" s="5" t="s">
        <v>49</v>
      </c>
      <c r="E310" s="6" t="n">
        <v>76491.37</v>
      </c>
      <c r="F310" s="6" t="n">
        <v>76491.37</v>
      </c>
      <c r="G310" s="10" t="n">
        <f aca="false">E310-F310</f>
        <v>0</v>
      </c>
      <c r="H310" s="9" t="n">
        <f aca="false">G310/E310</f>
        <v>0</v>
      </c>
      <c r="I310" s="10" t="n">
        <f aca="false">H310*Desenho_MUS!$B$12</f>
        <v>0</v>
      </c>
      <c r="J310" s="5" t="s">
        <v>50</v>
      </c>
    </row>
    <row r="311" customFormat="false" ht="15" hidden="false" customHeight="false" outlineLevel="0" collapsed="false">
      <c r="A311" s="5" t="n">
        <v>307</v>
      </c>
      <c r="B311" s="5" t="s">
        <v>367</v>
      </c>
      <c r="C311" s="5" t="s">
        <v>59</v>
      </c>
      <c r="D311" s="5" t="s">
        <v>53</v>
      </c>
      <c r="E311" s="6" t="n">
        <v>641295.79</v>
      </c>
      <c r="F311" s="6" t="n">
        <v>641295.79</v>
      </c>
      <c r="G311" s="10" t="n">
        <f aca="false">E311-F311</f>
        <v>0</v>
      </c>
      <c r="H311" s="9" t="n">
        <f aca="false">G311/E311</f>
        <v>0</v>
      </c>
      <c r="I311" s="10" t="n">
        <f aca="false">H311*Desenho_MUS!$B$12</f>
        <v>0</v>
      </c>
      <c r="J311" s="5" t="s">
        <v>50</v>
      </c>
    </row>
    <row r="312" customFormat="false" ht="15" hidden="false" customHeight="false" outlineLevel="0" collapsed="false">
      <c r="A312" s="5" t="n">
        <v>308</v>
      </c>
      <c r="B312" s="5" t="s">
        <v>368</v>
      </c>
      <c r="C312" s="5" t="s">
        <v>59</v>
      </c>
      <c r="D312" s="5" t="s">
        <v>61</v>
      </c>
      <c r="E312" s="6" t="n">
        <v>107572.78</v>
      </c>
      <c r="F312" s="6" t="n">
        <v>107572.78</v>
      </c>
      <c r="G312" s="10" t="n">
        <f aca="false">E312-F312</f>
        <v>0</v>
      </c>
      <c r="H312" s="9" t="n">
        <f aca="false">G312/E312</f>
        <v>0</v>
      </c>
      <c r="I312" s="10" t="n">
        <f aca="false">H312*Desenho_MUS!$B$12</f>
        <v>0</v>
      </c>
      <c r="J312" s="5" t="s">
        <v>50</v>
      </c>
    </row>
    <row r="313" customFormat="false" ht="15" hidden="false" customHeight="false" outlineLevel="0" collapsed="false">
      <c r="A313" s="5" t="n">
        <v>309</v>
      </c>
      <c r="B313" s="5" t="s">
        <v>369</v>
      </c>
      <c r="C313" s="5" t="s">
        <v>56</v>
      </c>
      <c r="D313" s="5" t="s">
        <v>53</v>
      </c>
      <c r="E313" s="6" t="n">
        <v>1611356.46</v>
      </c>
      <c r="F313" s="6" t="n">
        <v>1611356.46</v>
      </c>
      <c r="G313" s="10" t="n">
        <f aca="false">E313-F313</f>
        <v>0</v>
      </c>
      <c r="H313" s="9" t="n">
        <f aca="false">G313/E313</f>
        <v>0</v>
      </c>
      <c r="I313" s="10" t="n">
        <f aca="false">H313*Desenho_MUS!$B$12</f>
        <v>0</v>
      </c>
      <c r="J313" s="5" t="s">
        <v>50</v>
      </c>
    </row>
    <row r="314" customFormat="false" ht="15" hidden="false" customHeight="false" outlineLevel="0" collapsed="false">
      <c r="A314" s="5" t="n">
        <v>310</v>
      </c>
      <c r="B314" s="5" t="s">
        <v>370</v>
      </c>
      <c r="C314" s="5" t="s">
        <v>52</v>
      </c>
      <c r="D314" s="5" t="s">
        <v>61</v>
      </c>
      <c r="E314" s="6" t="n">
        <v>53648.51</v>
      </c>
      <c r="F314" s="6" t="n">
        <v>53648.51</v>
      </c>
      <c r="G314" s="10" t="n">
        <f aca="false">E314-F314</f>
        <v>0</v>
      </c>
      <c r="H314" s="9" t="n">
        <f aca="false">G314/E314</f>
        <v>0</v>
      </c>
      <c r="I314" s="10" t="n">
        <f aca="false">H314*Desenho_MUS!$B$12</f>
        <v>0</v>
      </c>
      <c r="J314" s="5" t="s">
        <v>50</v>
      </c>
    </row>
    <row r="315" customFormat="false" ht="15" hidden="false" customHeight="false" outlineLevel="0" collapsed="false">
      <c r="A315" s="5" t="n">
        <v>311</v>
      </c>
      <c r="B315" s="5" t="s">
        <v>371</v>
      </c>
      <c r="C315" s="5" t="s">
        <v>59</v>
      </c>
      <c r="D315" s="5" t="s">
        <v>53</v>
      </c>
      <c r="E315" s="6" t="n">
        <v>1524951.3</v>
      </c>
      <c r="F315" s="6" t="n">
        <v>1524951.3</v>
      </c>
      <c r="G315" s="10" t="n">
        <f aca="false">E315-F315</f>
        <v>0</v>
      </c>
      <c r="H315" s="9" t="n">
        <f aca="false">G315/E315</f>
        <v>0</v>
      </c>
      <c r="I315" s="10" t="n">
        <f aca="false">H315*Desenho_MUS!$B$12</f>
        <v>0</v>
      </c>
      <c r="J315" s="5" t="s">
        <v>50</v>
      </c>
    </row>
    <row r="316" customFormat="false" ht="15" hidden="false" customHeight="false" outlineLevel="0" collapsed="false">
      <c r="A316" s="5" t="n">
        <v>312</v>
      </c>
      <c r="B316" s="5" t="s">
        <v>372</v>
      </c>
      <c r="C316" s="5" t="s">
        <v>56</v>
      </c>
      <c r="D316" s="5" t="s">
        <v>53</v>
      </c>
      <c r="E316" s="6" t="n">
        <v>584305.23</v>
      </c>
      <c r="F316" s="6" t="n">
        <v>584305.23</v>
      </c>
      <c r="G316" s="10" t="n">
        <f aca="false">E316-F316</f>
        <v>0</v>
      </c>
      <c r="H316" s="9" t="n">
        <f aca="false">G316/E316</f>
        <v>0</v>
      </c>
      <c r="I316" s="10" t="n">
        <f aca="false">H316*Desenho_MUS!$B$12</f>
        <v>0</v>
      </c>
      <c r="J316" s="5" t="s">
        <v>50</v>
      </c>
    </row>
    <row r="317" customFormat="false" ht="15" hidden="false" customHeight="false" outlineLevel="0" collapsed="false">
      <c r="A317" s="5" t="n">
        <v>313</v>
      </c>
      <c r="B317" s="5" t="s">
        <v>373</v>
      </c>
      <c r="C317" s="5" t="s">
        <v>52</v>
      </c>
      <c r="D317" s="5" t="s">
        <v>53</v>
      </c>
      <c r="E317" s="6" t="n">
        <v>1336455.98</v>
      </c>
      <c r="F317" s="6" t="n">
        <v>1336455.98</v>
      </c>
      <c r="G317" s="10" t="n">
        <f aca="false">E317-F317</f>
        <v>0</v>
      </c>
      <c r="H317" s="9" t="n">
        <f aca="false">G317/E317</f>
        <v>0</v>
      </c>
      <c r="I317" s="10" t="n">
        <f aca="false">H317*Desenho_MUS!$B$12</f>
        <v>0</v>
      </c>
      <c r="J317" s="5" t="s">
        <v>50</v>
      </c>
    </row>
    <row r="318" customFormat="false" ht="15" hidden="false" customHeight="false" outlineLevel="0" collapsed="false">
      <c r="A318" s="5" t="n">
        <v>314</v>
      </c>
      <c r="B318" s="5" t="s">
        <v>374</v>
      </c>
      <c r="C318" s="5" t="s">
        <v>59</v>
      </c>
      <c r="D318" s="5" t="s">
        <v>53</v>
      </c>
      <c r="E318" s="6" t="n">
        <v>1937959.95</v>
      </c>
      <c r="F318" s="6" t="n">
        <v>1937959.95</v>
      </c>
      <c r="G318" s="10" t="n">
        <f aca="false">E318-F318</f>
        <v>0</v>
      </c>
      <c r="H318" s="9" t="n">
        <f aca="false">G318/E318</f>
        <v>0</v>
      </c>
      <c r="I318" s="10" t="n">
        <f aca="false">H318*Desenho_MUS!$B$12</f>
        <v>0</v>
      </c>
      <c r="J318" s="5" t="s">
        <v>50</v>
      </c>
    </row>
    <row r="319" customFormat="false" ht="15" hidden="false" customHeight="false" outlineLevel="0" collapsed="false">
      <c r="A319" s="5" t="n">
        <v>315</v>
      </c>
      <c r="B319" s="5" t="s">
        <v>375</v>
      </c>
      <c r="C319" s="5" t="s">
        <v>56</v>
      </c>
      <c r="D319" s="5" t="s">
        <v>53</v>
      </c>
      <c r="E319" s="6" t="n">
        <v>1188179.05</v>
      </c>
      <c r="F319" s="6" t="n">
        <v>1188179.05</v>
      </c>
      <c r="G319" s="10" t="n">
        <f aca="false">E319-F319</f>
        <v>0</v>
      </c>
      <c r="H319" s="9" t="n">
        <f aca="false">G319/E319</f>
        <v>0</v>
      </c>
      <c r="I319" s="10" t="n">
        <f aca="false">H319*Desenho_MUS!$B$12</f>
        <v>0</v>
      </c>
      <c r="J319" s="5" t="s">
        <v>50</v>
      </c>
    </row>
    <row r="320" customFormat="false" ht="15" hidden="false" customHeight="false" outlineLevel="0" collapsed="false">
      <c r="A320" s="5" t="n">
        <v>316</v>
      </c>
      <c r="B320" s="5" t="s">
        <v>376</v>
      </c>
      <c r="C320" s="5" t="s">
        <v>56</v>
      </c>
      <c r="D320" s="5" t="s">
        <v>53</v>
      </c>
      <c r="E320" s="6" t="n">
        <v>3210284.29</v>
      </c>
      <c r="F320" s="6" t="n">
        <v>3210284.29</v>
      </c>
      <c r="G320" s="10" t="n">
        <f aca="false">E320-F320</f>
        <v>0</v>
      </c>
      <c r="H320" s="9" t="n">
        <f aca="false">G320/E320</f>
        <v>0</v>
      </c>
      <c r="I320" s="10" t="n">
        <f aca="false">H320*Desenho_MUS!$B$12</f>
        <v>0</v>
      </c>
      <c r="J320" s="5" t="s">
        <v>50</v>
      </c>
    </row>
    <row r="321" customFormat="false" ht="15" hidden="false" customHeight="false" outlineLevel="0" collapsed="false">
      <c r="A321" s="5" t="n">
        <v>317</v>
      </c>
      <c r="B321" s="5" t="s">
        <v>377</v>
      </c>
      <c r="C321" s="5" t="s">
        <v>59</v>
      </c>
      <c r="D321" s="5" t="s">
        <v>61</v>
      </c>
      <c r="E321" s="6" t="n">
        <v>87407.04</v>
      </c>
      <c r="F321" s="6" t="n">
        <v>87407.04</v>
      </c>
      <c r="G321" s="10" t="n">
        <f aca="false">E321-F321</f>
        <v>0</v>
      </c>
      <c r="H321" s="9" t="n">
        <f aca="false">G321/E321</f>
        <v>0</v>
      </c>
      <c r="I321" s="10" t="n">
        <f aca="false">H321*Desenho_MUS!$B$12</f>
        <v>0</v>
      </c>
      <c r="J321" s="5" t="s">
        <v>50</v>
      </c>
    </row>
    <row r="322" customFormat="false" ht="15" hidden="false" customHeight="false" outlineLevel="0" collapsed="false">
      <c r="A322" s="5" t="n">
        <v>318</v>
      </c>
      <c r="B322" s="5" t="s">
        <v>378</v>
      </c>
      <c r="C322" s="5" t="s">
        <v>52</v>
      </c>
      <c r="D322" s="5" t="s">
        <v>53</v>
      </c>
      <c r="E322" s="6" t="n">
        <v>664411.53</v>
      </c>
      <c r="F322" s="6" t="n">
        <v>664411.53</v>
      </c>
      <c r="G322" s="10" t="n">
        <f aca="false">E322-F322</f>
        <v>0</v>
      </c>
      <c r="H322" s="9" t="n">
        <f aca="false">G322/E322</f>
        <v>0</v>
      </c>
      <c r="I322" s="10" t="n">
        <f aca="false">H322*Desenho_MUS!$B$12</f>
        <v>0</v>
      </c>
      <c r="J322" s="5" t="s">
        <v>50</v>
      </c>
    </row>
    <row r="323" customFormat="false" ht="15" hidden="false" customHeight="false" outlineLevel="0" collapsed="false">
      <c r="A323" s="5" t="n">
        <v>319</v>
      </c>
      <c r="B323" s="5" t="s">
        <v>379</v>
      </c>
      <c r="C323" s="5" t="s">
        <v>56</v>
      </c>
      <c r="D323" s="5" t="s">
        <v>53</v>
      </c>
      <c r="E323" s="6" t="n">
        <v>1448224.99</v>
      </c>
      <c r="F323" s="6" t="n">
        <v>1448224.99</v>
      </c>
      <c r="G323" s="10" t="n">
        <f aca="false">E323-F323</f>
        <v>0</v>
      </c>
      <c r="H323" s="9" t="n">
        <f aca="false">G323/E323</f>
        <v>0</v>
      </c>
      <c r="I323" s="10" t="n">
        <f aca="false">H323*Desenho_MUS!$B$12</f>
        <v>0</v>
      </c>
      <c r="J323" s="5" t="s">
        <v>50</v>
      </c>
    </row>
    <row r="324" customFormat="false" ht="15" hidden="false" customHeight="false" outlineLevel="0" collapsed="false">
      <c r="A324" s="5" t="n">
        <v>320</v>
      </c>
      <c r="B324" s="5" t="s">
        <v>380</v>
      </c>
      <c r="C324" s="5" t="s">
        <v>52</v>
      </c>
      <c r="D324" s="5" t="s">
        <v>53</v>
      </c>
      <c r="E324" s="6" t="n">
        <v>1310499.77</v>
      </c>
      <c r="F324" s="6" t="n">
        <v>1310499.77</v>
      </c>
      <c r="G324" s="10" t="n">
        <f aca="false">E324-F324</f>
        <v>0</v>
      </c>
      <c r="H324" s="9" t="n">
        <f aca="false">G324/E324</f>
        <v>0</v>
      </c>
      <c r="I324" s="10" t="n">
        <f aca="false">H324*Desenho_MUS!$B$12</f>
        <v>0</v>
      </c>
      <c r="J324" s="5" t="s">
        <v>50</v>
      </c>
    </row>
    <row r="325" customFormat="false" ht="15" hidden="false" customHeight="false" outlineLevel="0" collapsed="false">
      <c r="A325" s="5" t="n">
        <v>321</v>
      </c>
      <c r="B325" s="5" t="s">
        <v>381</v>
      </c>
      <c r="C325" s="5" t="s">
        <v>59</v>
      </c>
      <c r="D325" s="5" t="s">
        <v>53</v>
      </c>
      <c r="E325" s="6" t="n">
        <v>1633975.82</v>
      </c>
      <c r="F325" s="6" t="n">
        <v>1633975.82</v>
      </c>
      <c r="G325" s="10" t="n">
        <f aca="false">E325-F325</f>
        <v>0</v>
      </c>
      <c r="H325" s="9" t="n">
        <f aca="false">G325/E325</f>
        <v>0</v>
      </c>
      <c r="I325" s="10" t="n">
        <f aca="false">H325*Desenho_MUS!$B$12</f>
        <v>0</v>
      </c>
      <c r="J325" s="5" t="s">
        <v>50</v>
      </c>
    </row>
    <row r="326" customFormat="false" ht="15" hidden="false" customHeight="false" outlineLevel="0" collapsed="false">
      <c r="A326" s="5" t="n">
        <v>322</v>
      </c>
      <c r="B326" s="5" t="s">
        <v>382</v>
      </c>
      <c r="C326" s="5" t="s">
        <v>59</v>
      </c>
      <c r="D326" s="5" t="s">
        <v>61</v>
      </c>
      <c r="E326" s="6" t="n">
        <v>117830.67</v>
      </c>
      <c r="F326" s="6" t="n">
        <v>117830.67</v>
      </c>
      <c r="G326" s="10" t="n">
        <f aca="false">E326-F326</f>
        <v>0</v>
      </c>
      <c r="H326" s="9" t="n">
        <f aca="false">G326/E326</f>
        <v>0</v>
      </c>
      <c r="I326" s="10" t="n">
        <f aca="false">H326*Desenho_MUS!$B$12</f>
        <v>0</v>
      </c>
      <c r="J326" s="5" t="s">
        <v>50</v>
      </c>
    </row>
    <row r="327" customFormat="false" ht="15" hidden="false" customHeight="false" outlineLevel="0" collapsed="false">
      <c r="A327" s="5" t="n">
        <v>323</v>
      </c>
      <c r="B327" s="5" t="s">
        <v>383</v>
      </c>
      <c r="C327" s="5" t="s">
        <v>52</v>
      </c>
      <c r="D327" s="5" t="s">
        <v>61</v>
      </c>
      <c r="E327" s="6" t="n">
        <v>109214.23</v>
      </c>
      <c r="F327" s="6" t="n">
        <v>109214.23</v>
      </c>
      <c r="G327" s="10" t="n">
        <f aca="false">E327-F327</f>
        <v>0</v>
      </c>
      <c r="H327" s="9" t="n">
        <f aca="false">G327/E327</f>
        <v>0</v>
      </c>
      <c r="I327" s="10" t="n">
        <f aca="false">H327*Desenho_MUS!$B$12</f>
        <v>0</v>
      </c>
      <c r="J327" s="5" t="s">
        <v>50</v>
      </c>
    </row>
    <row r="328" customFormat="false" ht="15" hidden="false" customHeight="false" outlineLevel="0" collapsed="false">
      <c r="A328" s="5" t="n">
        <v>324</v>
      </c>
      <c r="B328" s="5" t="s">
        <v>384</v>
      </c>
      <c r="C328" s="5" t="s">
        <v>59</v>
      </c>
      <c r="D328" s="5" t="s">
        <v>53</v>
      </c>
      <c r="E328" s="6" t="n">
        <v>1441288.06</v>
      </c>
      <c r="F328" s="6" t="n">
        <v>1441288.06</v>
      </c>
      <c r="G328" s="10" t="n">
        <f aca="false">E328-F328</f>
        <v>0</v>
      </c>
      <c r="H328" s="9" t="n">
        <f aca="false">G328/E328</f>
        <v>0</v>
      </c>
      <c r="I328" s="10" t="n">
        <f aca="false">H328*Desenho_MUS!$B$12</f>
        <v>0</v>
      </c>
      <c r="J328" s="5" t="s">
        <v>50</v>
      </c>
    </row>
    <row r="329" customFormat="false" ht="15" hidden="false" customHeight="false" outlineLevel="0" collapsed="false">
      <c r="A329" s="5" t="n">
        <v>325</v>
      </c>
      <c r="B329" s="5" t="s">
        <v>385</v>
      </c>
      <c r="C329" s="5" t="s">
        <v>52</v>
      </c>
      <c r="D329" s="5" t="s">
        <v>53</v>
      </c>
      <c r="E329" s="6" t="n">
        <v>330115.52</v>
      </c>
      <c r="F329" s="6" t="n">
        <v>330115.52</v>
      </c>
      <c r="G329" s="10" t="n">
        <f aca="false">E329-F329</f>
        <v>0</v>
      </c>
      <c r="H329" s="9" t="n">
        <f aca="false">G329/E329</f>
        <v>0</v>
      </c>
      <c r="I329" s="10" t="n">
        <f aca="false">H329*Desenho_MUS!$B$12</f>
        <v>0</v>
      </c>
      <c r="J329" s="5" t="s">
        <v>50</v>
      </c>
    </row>
    <row r="330" customFormat="false" ht="15" hidden="false" customHeight="false" outlineLevel="0" collapsed="false">
      <c r="A330" s="5" t="n">
        <v>326</v>
      </c>
      <c r="B330" s="5" t="s">
        <v>386</v>
      </c>
      <c r="C330" s="5" t="s">
        <v>59</v>
      </c>
      <c r="D330" s="5" t="s">
        <v>53</v>
      </c>
      <c r="E330" s="6" t="n">
        <v>1560878.57</v>
      </c>
      <c r="F330" s="6" t="n">
        <v>1560878.57</v>
      </c>
      <c r="G330" s="10" t="n">
        <f aca="false">E330-F330</f>
        <v>0</v>
      </c>
      <c r="H330" s="9" t="n">
        <f aca="false">G330/E330</f>
        <v>0</v>
      </c>
      <c r="I330" s="10" t="n">
        <f aca="false">H330*Desenho_MUS!$B$12</f>
        <v>0</v>
      </c>
      <c r="J330" s="5" t="s">
        <v>50</v>
      </c>
    </row>
    <row r="331" customFormat="false" ht="15" hidden="false" customHeight="false" outlineLevel="0" collapsed="false">
      <c r="A331" s="5" t="n">
        <v>327</v>
      </c>
      <c r="B331" s="5" t="s">
        <v>387</v>
      </c>
      <c r="C331" s="5" t="s">
        <v>52</v>
      </c>
      <c r="D331" s="5" t="s">
        <v>49</v>
      </c>
      <c r="E331" s="6" t="n">
        <v>179227.28</v>
      </c>
      <c r="F331" s="6" t="n">
        <v>179227.28</v>
      </c>
      <c r="G331" s="10" t="n">
        <f aca="false">E331-F331</f>
        <v>0</v>
      </c>
      <c r="H331" s="9" t="n">
        <f aca="false">G331/E331</f>
        <v>0</v>
      </c>
      <c r="I331" s="10" t="n">
        <f aca="false">H331*Desenho_MUS!$B$12</f>
        <v>0</v>
      </c>
      <c r="J331" s="5" t="s">
        <v>50</v>
      </c>
    </row>
    <row r="332" customFormat="false" ht="15" hidden="false" customHeight="false" outlineLevel="0" collapsed="false">
      <c r="A332" s="5" t="n">
        <v>328</v>
      </c>
      <c r="B332" s="5" t="s">
        <v>388</v>
      </c>
      <c r="C332" s="5" t="s">
        <v>59</v>
      </c>
      <c r="D332" s="5" t="s">
        <v>53</v>
      </c>
      <c r="E332" s="6" t="n">
        <v>2933221.81</v>
      </c>
      <c r="F332" s="6" t="n">
        <v>2933221.81</v>
      </c>
      <c r="G332" s="10" t="n">
        <f aca="false">E332-F332</f>
        <v>0</v>
      </c>
      <c r="H332" s="9" t="n">
        <f aca="false">G332/E332</f>
        <v>0</v>
      </c>
      <c r="I332" s="10" t="n">
        <f aca="false">H332*Desenho_MUS!$B$12</f>
        <v>0</v>
      </c>
      <c r="J332" s="5" t="s">
        <v>50</v>
      </c>
    </row>
    <row r="333" customFormat="false" ht="15" hidden="false" customHeight="false" outlineLevel="0" collapsed="false">
      <c r="A333" s="5" t="n">
        <v>329</v>
      </c>
      <c r="B333" s="5" t="s">
        <v>389</v>
      </c>
      <c r="C333" s="5" t="s">
        <v>59</v>
      </c>
      <c r="D333" s="5" t="s">
        <v>53</v>
      </c>
      <c r="E333" s="6" t="n">
        <v>1006108.15</v>
      </c>
      <c r="F333" s="6" t="n">
        <v>0</v>
      </c>
      <c r="G333" s="10" t="n">
        <f aca="false">E333-F333</f>
        <v>1006108.15</v>
      </c>
      <c r="H333" s="9" t="n">
        <f aca="false">G333/E333</f>
        <v>1</v>
      </c>
      <c r="I333" s="10" t="n">
        <f aca="false">H333*Desenho_MUS!$B$12</f>
        <v>76944464.9350649</v>
      </c>
      <c r="J333" s="5" t="s">
        <v>150</v>
      </c>
    </row>
    <row r="334" customFormat="false" ht="15" hidden="false" customHeight="false" outlineLevel="0" collapsed="false">
      <c r="A334" s="5" t="n">
        <v>330</v>
      </c>
      <c r="B334" s="5" t="s">
        <v>390</v>
      </c>
      <c r="C334" s="5" t="s">
        <v>52</v>
      </c>
      <c r="D334" s="5" t="s">
        <v>53</v>
      </c>
      <c r="E334" s="6" t="n">
        <v>424925.16</v>
      </c>
      <c r="F334" s="6" t="n">
        <v>424925.16</v>
      </c>
      <c r="G334" s="10" t="n">
        <f aca="false">E334-F334</f>
        <v>0</v>
      </c>
      <c r="H334" s="9" t="n">
        <f aca="false">G334/E334</f>
        <v>0</v>
      </c>
      <c r="I334" s="10" t="n">
        <f aca="false">H334*Desenho_MUS!$B$12</f>
        <v>0</v>
      </c>
      <c r="J334" s="5" t="s">
        <v>50</v>
      </c>
    </row>
    <row r="335" customFormat="false" ht="15" hidden="false" customHeight="false" outlineLevel="0" collapsed="false">
      <c r="A335" s="5" t="n">
        <v>331</v>
      </c>
      <c r="B335" s="5" t="s">
        <v>391</v>
      </c>
      <c r="C335" s="5" t="s">
        <v>56</v>
      </c>
      <c r="D335" s="5" t="s">
        <v>49</v>
      </c>
      <c r="E335" s="6" t="n">
        <v>196886.9</v>
      </c>
      <c r="F335" s="6" t="n">
        <v>196886.9</v>
      </c>
      <c r="G335" s="10" t="n">
        <f aca="false">E335-F335</f>
        <v>0</v>
      </c>
      <c r="H335" s="9" t="n">
        <f aca="false">G335/E335</f>
        <v>0</v>
      </c>
      <c r="I335" s="10" t="n">
        <f aca="false">H335*Desenho_MUS!$B$12</f>
        <v>0</v>
      </c>
      <c r="J335" s="5" t="s">
        <v>50</v>
      </c>
    </row>
    <row r="336" customFormat="false" ht="15" hidden="false" customHeight="false" outlineLevel="0" collapsed="false">
      <c r="A336" s="5" t="n">
        <v>332</v>
      </c>
      <c r="B336" s="5" t="s">
        <v>392</v>
      </c>
      <c r="C336" s="5" t="s">
        <v>59</v>
      </c>
      <c r="D336" s="5" t="s">
        <v>49</v>
      </c>
      <c r="E336" s="6" t="n">
        <v>65249.18</v>
      </c>
      <c r="F336" s="6" t="n">
        <v>65249.18</v>
      </c>
      <c r="G336" s="10" t="n">
        <f aca="false">E336-F336</f>
        <v>0</v>
      </c>
      <c r="H336" s="9" t="n">
        <f aca="false">G336/E336</f>
        <v>0</v>
      </c>
      <c r="I336" s="10" t="n">
        <f aca="false">H336*Desenho_MUS!$B$12</f>
        <v>0</v>
      </c>
      <c r="J336" s="5" t="s">
        <v>50</v>
      </c>
    </row>
    <row r="337" customFormat="false" ht="15" hidden="false" customHeight="false" outlineLevel="0" collapsed="false">
      <c r="A337" s="5" t="n">
        <v>333</v>
      </c>
      <c r="B337" s="5" t="s">
        <v>393</v>
      </c>
      <c r="C337" s="5" t="s">
        <v>59</v>
      </c>
      <c r="D337" s="5" t="s">
        <v>53</v>
      </c>
      <c r="E337" s="6" t="n">
        <v>2813555.24</v>
      </c>
      <c r="F337" s="6" t="n">
        <v>2813555.24</v>
      </c>
      <c r="G337" s="10" t="n">
        <f aca="false">E337-F337</f>
        <v>0</v>
      </c>
      <c r="H337" s="9" t="n">
        <f aca="false">G337/E337</f>
        <v>0</v>
      </c>
      <c r="I337" s="10" t="n">
        <f aca="false">H337*Desenho_MUS!$B$12</f>
        <v>0</v>
      </c>
      <c r="J337" s="5" t="s">
        <v>50</v>
      </c>
    </row>
    <row r="338" customFormat="false" ht="15" hidden="false" customHeight="false" outlineLevel="0" collapsed="false">
      <c r="A338" s="5" t="n">
        <v>334</v>
      </c>
      <c r="B338" s="5" t="s">
        <v>394</v>
      </c>
      <c r="C338" s="5" t="s">
        <v>52</v>
      </c>
      <c r="D338" s="5" t="s">
        <v>49</v>
      </c>
      <c r="E338" s="6" t="n">
        <v>49565.77</v>
      </c>
      <c r="F338" s="6" t="n">
        <v>49565.77</v>
      </c>
      <c r="G338" s="10" t="n">
        <f aca="false">E338-F338</f>
        <v>0</v>
      </c>
      <c r="H338" s="9" t="n">
        <f aca="false">G338/E338</f>
        <v>0</v>
      </c>
      <c r="I338" s="10" t="n">
        <f aca="false">H338*Desenho_MUS!$B$12</f>
        <v>0</v>
      </c>
      <c r="J338" s="5" t="s">
        <v>50</v>
      </c>
    </row>
    <row r="339" customFormat="false" ht="15" hidden="false" customHeight="false" outlineLevel="0" collapsed="false">
      <c r="A339" s="5" t="n">
        <v>335</v>
      </c>
      <c r="B339" s="5" t="s">
        <v>395</v>
      </c>
      <c r="C339" s="5" t="s">
        <v>52</v>
      </c>
      <c r="D339" s="5" t="s">
        <v>53</v>
      </c>
      <c r="E339" s="6" t="n">
        <v>497220.58</v>
      </c>
      <c r="F339" s="6" t="n">
        <v>497220.58</v>
      </c>
      <c r="G339" s="10" t="n">
        <f aca="false">E339-F339</f>
        <v>0</v>
      </c>
      <c r="H339" s="9" t="n">
        <f aca="false">G339/E339</f>
        <v>0</v>
      </c>
      <c r="I339" s="10" t="n">
        <f aca="false">H339*Desenho_MUS!$B$12</f>
        <v>0</v>
      </c>
      <c r="J339" s="5" t="s">
        <v>50</v>
      </c>
    </row>
    <row r="340" customFormat="false" ht="15" hidden="false" customHeight="false" outlineLevel="0" collapsed="false">
      <c r="A340" s="5" t="n">
        <v>336</v>
      </c>
      <c r="B340" s="5" t="s">
        <v>396</v>
      </c>
      <c r="C340" s="5" t="s">
        <v>59</v>
      </c>
      <c r="D340" s="5" t="s">
        <v>61</v>
      </c>
      <c r="E340" s="6" t="n">
        <v>121938.8</v>
      </c>
      <c r="F340" s="6" t="n">
        <v>121938.8</v>
      </c>
      <c r="G340" s="10" t="n">
        <f aca="false">E340-F340</f>
        <v>0</v>
      </c>
      <c r="H340" s="9" t="n">
        <f aca="false">G340/E340</f>
        <v>0</v>
      </c>
      <c r="I340" s="10" t="n">
        <f aca="false">H340*Desenho_MUS!$B$12</f>
        <v>0</v>
      </c>
      <c r="J340" s="5" t="s">
        <v>50</v>
      </c>
    </row>
    <row r="341" customFormat="false" ht="15" hidden="false" customHeight="false" outlineLevel="0" collapsed="false">
      <c r="A341" s="5" t="n">
        <v>337</v>
      </c>
      <c r="B341" s="5" t="s">
        <v>397</v>
      </c>
      <c r="C341" s="5" t="s">
        <v>56</v>
      </c>
      <c r="D341" s="5" t="s">
        <v>53</v>
      </c>
      <c r="E341" s="6" t="n">
        <v>993324.08</v>
      </c>
      <c r="F341" s="6" t="n">
        <v>993324.08</v>
      </c>
      <c r="G341" s="10" t="n">
        <f aca="false">E341-F341</f>
        <v>0</v>
      </c>
      <c r="H341" s="9" t="n">
        <f aca="false">G341/E341</f>
        <v>0</v>
      </c>
      <c r="I341" s="10" t="n">
        <f aca="false">H341*Desenho_MUS!$B$12</f>
        <v>0</v>
      </c>
      <c r="J341" s="5" t="s">
        <v>50</v>
      </c>
    </row>
    <row r="342" customFormat="false" ht="15" hidden="false" customHeight="false" outlineLevel="0" collapsed="false">
      <c r="A342" s="5" t="n">
        <v>338</v>
      </c>
      <c r="B342" s="5" t="s">
        <v>398</v>
      </c>
      <c r="C342" s="5" t="s">
        <v>52</v>
      </c>
      <c r="D342" s="5" t="s">
        <v>61</v>
      </c>
      <c r="E342" s="6" t="n">
        <v>5386.33</v>
      </c>
      <c r="F342" s="6" t="n">
        <v>5386.33</v>
      </c>
      <c r="G342" s="10" t="n">
        <f aca="false">E342-F342</f>
        <v>0</v>
      </c>
      <c r="H342" s="9" t="n">
        <f aca="false">G342/E342</f>
        <v>0</v>
      </c>
      <c r="I342" s="10" t="n">
        <f aca="false">H342*Desenho_MUS!$B$12</f>
        <v>0</v>
      </c>
      <c r="J342" s="5" t="s">
        <v>50</v>
      </c>
    </row>
    <row r="343" customFormat="false" ht="15" hidden="false" customHeight="false" outlineLevel="0" collapsed="false">
      <c r="A343" s="5" t="n">
        <v>339</v>
      </c>
      <c r="B343" s="5" t="s">
        <v>399</v>
      </c>
      <c r="C343" s="5" t="s">
        <v>52</v>
      </c>
      <c r="D343" s="5" t="s">
        <v>61</v>
      </c>
      <c r="E343" s="6" t="n">
        <v>109318.83</v>
      </c>
      <c r="F343" s="6" t="n">
        <v>109318.83</v>
      </c>
      <c r="G343" s="10" t="n">
        <f aca="false">E343-F343</f>
        <v>0</v>
      </c>
      <c r="H343" s="9" t="n">
        <f aca="false">G343/E343</f>
        <v>0</v>
      </c>
      <c r="I343" s="10" t="n">
        <f aca="false">H343*Desenho_MUS!$B$12</f>
        <v>0</v>
      </c>
      <c r="J343" s="5" t="s">
        <v>50</v>
      </c>
    </row>
    <row r="344" customFormat="false" ht="15" hidden="false" customHeight="false" outlineLevel="0" collapsed="false">
      <c r="A344" s="5" t="n">
        <v>340</v>
      </c>
      <c r="B344" s="5" t="s">
        <v>400</v>
      </c>
      <c r="C344" s="5" t="s">
        <v>52</v>
      </c>
      <c r="D344" s="5" t="s">
        <v>53</v>
      </c>
      <c r="E344" s="6" t="n">
        <v>703155.1</v>
      </c>
      <c r="F344" s="6" t="n">
        <v>703155.1</v>
      </c>
      <c r="G344" s="10" t="n">
        <f aca="false">E344-F344</f>
        <v>0</v>
      </c>
      <c r="H344" s="9" t="n">
        <f aca="false">G344/E344</f>
        <v>0</v>
      </c>
      <c r="I344" s="10" t="n">
        <f aca="false">H344*Desenho_MUS!$B$12</f>
        <v>0</v>
      </c>
      <c r="J344" s="5" t="s">
        <v>50</v>
      </c>
    </row>
    <row r="345" customFormat="false" ht="15" hidden="false" customHeight="false" outlineLevel="0" collapsed="false">
      <c r="A345" s="5" t="n">
        <v>341</v>
      </c>
      <c r="B345" s="5" t="s">
        <v>401</v>
      </c>
      <c r="C345" s="5" t="s">
        <v>52</v>
      </c>
      <c r="D345" s="5" t="s">
        <v>61</v>
      </c>
      <c r="E345" s="6" t="n">
        <v>56660.82</v>
      </c>
      <c r="F345" s="6" t="n">
        <v>56660.82</v>
      </c>
      <c r="G345" s="10" t="n">
        <f aca="false">E345-F345</f>
        <v>0</v>
      </c>
      <c r="H345" s="9" t="n">
        <f aca="false">G345/E345</f>
        <v>0</v>
      </c>
      <c r="I345" s="10" t="n">
        <f aca="false">H345*Desenho_MUS!$B$12</f>
        <v>0</v>
      </c>
      <c r="J345" s="5" t="s">
        <v>50</v>
      </c>
    </row>
    <row r="346" customFormat="false" ht="15" hidden="false" customHeight="false" outlineLevel="0" collapsed="false">
      <c r="A346" s="5" t="n">
        <v>342</v>
      </c>
      <c r="B346" s="5" t="s">
        <v>402</v>
      </c>
      <c r="C346" s="5" t="s">
        <v>59</v>
      </c>
      <c r="D346" s="5" t="s">
        <v>53</v>
      </c>
      <c r="E346" s="6" t="n">
        <v>429991.65</v>
      </c>
      <c r="F346" s="6" t="n">
        <v>429991.65</v>
      </c>
      <c r="G346" s="10" t="n">
        <f aca="false">E346-F346</f>
        <v>0</v>
      </c>
      <c r="H346" s="9" t="n">
        <f aca="false">G346/E346</f>
        <v>0</v>
      </c>
      <c r="I346" s="10" t="n">
        <f aca="false">H346*Desenho_MUS!$B$12</f>
        <v>0</v>
      </c>
      <c r="J346" s="5" t="s">
        <v>50</v>
      </c>
    </row>
    <row r="347" customFormat="false" ht="15" hidden="false" customHeight="false" outlineLevel="0" collapsed="false">
      <c r="A347" s="5" t="n">
        <v>343</v>
      </c>
      <c r="B347" s="5" t="s">
        <v>403</v>
      </c>
      <c r="C347" s="5" t="s">
        <v>52</v>
      </c>
      <c r="D347" s="5" t="s">
        <v>61</v>
      </c>
      <c r="E347" s="6" t="n">
        <v>51857.33</v>
      </c>
      <c r="F347" s="6" t="n">
        <v>51857.33</v>
      </c>
      <c r="G347" s="10" t="n">
        <f aca="false">E347-F347</f>
        <v>0</v>
      </c>
      <c r="H347" s="9" t="n">
        <f aca="false">G347/E347</f>
        <v>0</v>
      </c>
      <c r="I347" s="10" t="n">
        <f aca="false">H347*Desenho_MUS!$B$12</f>
        <v>0</v>
      </c>
      <c r="J347" s="5" t="s">
        <v>50</v>
      </c>
    </row>
    <row r="348" customFormat="false" ht="15" hidden="false" customHeight="false" outlineLevel="0" collapsed="false">
      <c r="A348" s="5" t="n">
        <v>344</v>
      </c>
      <c r="B348" s="5" t="s">
        <v>404</v>
      </c>
      <c r="C348" s="5" t="s">
        <v>52</v>
      </c>
      <c r="D348" s="5" t="s">
        <v>61</v>
      </c>
      <c r="E348" s="6" t="n">
        <v>34313.31</v>
      </c>
      <c r="F348" s="6" t="n">
        <v>34313.31</v>
      </c>
      <c r="G348" s="10" t="n">
        <f aca="false">E348-F348</f>
        <v>0</v>
      </c>
      <c r="H348" s="9" t="n">
        <f aca="false">G348/E348</f>
        <v>0</v>
      </c>
      <c r="I348" s="10" t="n">
        <f aca="false">H348*Desenho_MUS!$B$12</f>
        <v>0</v>
      </c>
      <c r="J348" s="5" t="s">
        <v>50</v>
      </c>
    </row>
    <row r="349" customFormat="false" ht="15" hidden="false" customHeight="false" outlineLevel="0" collapsed="false">
      <c r="A349" s="5" t="n">
        <v>345</v>
      </c>
      <c r="B349" s="5" t="s">
        <v>405</v>
      </c>
      <c r="C349" s="5" t="s">
        <v>52</v>
      </c>
      <c r="D349" s="5" t="s">
        <v>99</v>
      </c>
      <c r="E349" s="6" t="n">
        <v>4989.1</v>
      </c>
      <c r="F349" s="6" t="n">
        <v>4989.1</v>
      </c>
      <c r="G349" s="10" t="n">
        <f aca="false">E349-F349</f>
        <v>0</v>
      </c>
      <c r="H349" s="9" t="n">
        <f aca="false">G349/E349</f>
        <v>0</v>
      </c>
      <c r="I349" s="10" t="n">
        <f aca="false">H349*Desenho_MUS!$B$12</f>
        <v>0</v>
      </c>
      <c r="J349" s="5" t="s">
        <v>50</v>
      </c>
    </row>
    <row r="350" customFormat="false" ht="15" hidden="false" customHeight="false" outlineLevel="0" collapsed="false">
      <c r="A350" s="5" t="n">
        <v>346</v>
      </c>
      <c r="B350" s="5" t="s">
        <v>406</v>
      </c>
      <c r="C350" s="5" t="s">
        <v>59</v>
      </c>
      <c r="D350" s="5" t="s">
        <v>53</v>
      </c>
      <c r="E350" s="6" t="n">
        <v>2271243.12</v>
      </c>
      <c r="F350" s="6" t="n">
        <v>2271243.12</v>
      </c>
      <c r="G350" s="10" t="n">
        <f aca="false">E350-F350</f>
        <v>0</v>
      </c>
      <c r="H350" s="9" t="n">
        <f aca="false">G350/E350</f>
        <v>0</v>
      </c>
      <c r="I350" s="10" t="n">
        <f aca="false">H350*Desenho_MUS!$B$12</f>
        <v>0</v>
      </c>
      <c r="J350" s="5" t="s">
        <v>50</v>
      </c>
    </row>
    <row r="351" customFormat="false" ht="15" hidden="false" customHeight="false" outlineLevel="0" collapsed="false">
      <c r="A351" s="5" t="n">
        <v>347</v>
      </c>
      <c r="B351" s="5" t="s">
        <v>407</v>
      </c>
      <c r="C351" s="5" t="s">
        <v>52</v>
      </c>
      <c r="D351" s="5" t="s">
        <v>49</v>
      </c>
      <c r="E351" s="6" t="n">
        <v>113018.85</v>
      </c>
      <c r="F351" s="6" t="n">
        <v>113018.85</v>
      </c>
      <c r="G351" s="10" t="n">
        <f aca="false">E351-F351</f>
        <v>0</v>
      </c>
      <c r="H351" s="9" t="n">
        <f aca="false">G351/E351</f>
        <v>0</v>
      </c>
      <c r="I351" s="10" t="n">
        <f aca="false">H351*Desenho_MUS!$B$12</f>
        <v>0</v>
      </c>
      <c r="J351" s="5" t="s">
        <v>50</v>
      </c>
    </row>
    <row r="352" customFormat="false" ht="15" hidden="false" customHeight="false" outlineLevel="0" collapsed="false">
      <c r="A352" s="5" t="n">
        <v>348</v>
      </c>
      <c r="B352" s="5" t="s">
        <v>408</v>
      </c>
      <c r="C352" s="5" t="s">
        <v>59</v>
      </c>
      <c r="D352" s="5" t="s">
        <v>53</v>
      </c>
      <c r="E352" s="6" t="n">
        <v>1173357.49</v>
      </c>
      <c r="F352" s="6" t="n">
        <v>1173357.49</v>
      </c>
      <c r="G352" s="10" t="n">
        <f aca="false">E352-F352</f>
        <v>0</v>
      </c>
      <c r="H352" s="9" t="n">
        <f aca="false">G352/E352</f>
        <v>0</v>
      </c>
      <c r="I352" s="10" t="n">
        <f aca="false">H352*Desenho_MUS!$B$12</f>
        <v>0</v>
      </c>
      <c r="J352" s="5" t="s">
        <v>50</v>
      </c>
    </row>
    <row r="353" customFormat="false" ht="15" hidden="false" customHeight="false" outlineLevel="0" collapsed="false">
      <c r="A353" s="5" t="n">
        <v>349</v>
      </c>
      <c r="B353" s="5" t="s">
        <v>409</v>
      </c>
      <c r="C353" s="5" t="s">
        <v>59</v>
      </c>
      <c r="D353" s="5" t="s">
        <v>53</v>
      </c>
      <c r="E353" s="6" t="n">
        <v>1924385.9</v>
      </c>
      <c r="F353" s="6" t="n">
        <v>1924385.9</v>
      </c>
      <c r="G353" s="10" t="n">
        <f aca="false">E353-F353</f>
        <v>0</v>
      </c>
      <c r="H353" s="9" t="n">
        <f aca="false">G353/E353</f>
        <v>0</v>
      </c>
      <c r="I353" s="10" t="n">
        <f aca="false">H353*Desenho_MUS!$B$12</f>
        <v>0</v>
      </c>
      <c r="J353" s="5" t="s">
        <v>50</v>
      </c>
    </row>
    <row r="354" customFormat="false" ht="15" hidden="false" customHeight="false" outlineLevel="0" collapsed="false">
      <c r="A354" s="5" t="n">
        <v>350</v>
      </c>
      <c r="B354" s="5" t="s">
        <v>410</v>
      </c>
      <c r="C354" s="5" t="s">
        <v>52</v>
      </c>
      <c r="D354" s="5" t="s">
        <v>49</v>
      </c>
      <c r="E354" s="6" t="n">
        <v>114570.3</v>
      </c>
      <c r="F354" s="6" t="n">
        <v>114570.3</v>
      </c>
      <c r="G354" s="10" t="n">
        <f aca="false">E354-F354</f>
        <v>0</v>
      </c>
      <c r="H354" s="9" t="n">
        <f aca="false">G354/E354</f>
        <v>0</v>
      </c>
      <c r="I354" s="10" t="n">
        <f aca="false">H354*Desenho_MUS!$B$12</f>
        <v>0</v>
      </c>
      <c r="J354" s="5" t="s">
        <v>50</v>
      </c>
    </row>
    <row r="355" customFormat="false" ht="15" hidden="false" customHeight="false" outlineLevel="0" collapsed="false">
      <c r="A355" s="5" t="n">
        <v>351</v>
      </c>
      <c r="B355" s="5" t="s">
        <v>411</v>
      </c>
      <c r="C355" s="5" t="s">
        <v>52</v>
      </c>
      <c r="D355" s="5" t="s">
        <v>53</v>
      </c>
      <c r="E355" s="6" t="n">
        <v>2545010.72</v>
      </c>
      <c r="F355" s="6" t="n">
        <v>2545010.72</v>
      </c>
      <c r="G355" s="10" t="n">
        <f aca="false">E355-F355</f>
        <v>0</v>
      </c>
      <c r="H355" s="9" t="n">
        <f aca="false">G355/E355</f>
        <v>0</v>
      </c>
      <c r="I355" s="10" t="n">
        <f aca="false">H355*Desenho_MUS!$B$12</f>
        <v>0</v>
      </c>
      <c r="J355" s="5" t="s">
        <v>50</v>
      </c>
    </row>
    <row r="356" customFormat="false" ht="15" hidden="false" customHeight="false" outlineLevel="0" collapsed="false">
      <c r="A356" s="5" t="n">
        <v>352</v>
      </c>
      <c r="B356" s="5" t="s">
        <v>412</v>
      </c>
      <c r="C356" s="5" t="s">
        <v>52</v>
      </c>
      <c r="D356" s="5" t="s">
        <v>49</v>
      </c>
      <c r="E356" s="6" t="n">
        <v>193270.09</v>
      </c>
      <c r="F356" s="6" t="n">
        <v>193270.09</v>
      </c>
      <c r="G356" s="10" t="n">
        <f aca="false">E356-F356</f>
        <v>0</v>
      </c>
      <c r="H356" s="9" t="n">
        <f aca="false">G356/E356</f>
        <v>0</v>
      </c>
      <c r="I356" s="10" t="n">
        <f aca="false">H356*Desenho_MUS!$B$12</f>
        <v>0</v>
      </c>
      <c r="J356" s="5" t="s">
        <v>50</v>
      </c>
    </row>
    <row r="357" customFormat="false" ht="15" hidden="false" customHeight="false" outlineLevel="0" collapsed="false">
      <c r="A357" s="5" t="n">
        <v>353</v>
      </c>
      <c r="B357" s="5" t="s">
        <v>413</v>
      </c>
      <c r="C357" s="5" t="s">
        <v>59</v>
      </c>
      <c r="D357" s="5" t="s">
        <v>53</v>
      </c>
      <c r="E357" s="6" t="n">
        <v>676381.73</v>
      </c>
      <c r="F357" s="6" t="n">
        <v>676381.73</v>
      </c>
      <c r="G357" s="10" t="n">
        <f aca="false">E357-F357</f>
        <v>0</v>
      </c>
      <c r="H357" s="9" t="n">
        <f aca="false">G357/E357</f>
        <v>0</v>
      </c>
      <c r="I357" s="10" t="n">
        <f aca="false">H357*Desenho_MUS!$B$12</f>
        <v>0</v>
      </c>
      <c r="J357" s="5" t="s">
        <v>50</v>
      </c>
    </row>
    <row r="358" customFormat="false" ht="15" hidden="false" customHeight="false" outlineLevel="0" collapsed="false">
      <c r="A358" s="5" t="n">
        <v>354</v>
      </c>
      <c r="B358" s="5" t="s">
        <v>414</v>
      </c>
      <c r="C358" s="5" t="s">
        <v>56</v>
      </c>
      <c r="D358" s="5" t="s">
        <v>53</v>
      </c>
      <c r="E358" s="6" t="n">
        <v>810566.54</v>
      </c>
      <c r="F358" s="6" t="n">
        <v>810566.54</v>
      </c>
      <c r="G358" s="10" t="n">
        <f aca="false">E358-F358</f>
        <v>0</v>
      </c>
      <c r="H358" s="9" t="n">
        <f aca="false">G358/E358</f>
        <v>0</v>
      </c>
      <c r="I358" s="10" t="n">
        <f aca="false">H358*Desenho_MUS!$B$12</f>
        <v>0</v>
      </c>
      <c r="J358" s="5" t="s">
        <v>50</v>
      </c>
    </row>
    <row r="359" customFormat="false" ht="15" hidden="false" customHeight="false" outlineLevel="0" collapsed="false">
      <c r="A359" s="5" t="n">
        <v>355</v>
      </c>
      <c r="B359" s="5" t="s">
        <v>415</v>
      </c>
      <c r="C359" s="5" t="s">
        <v>59</v>
      </c>
      <c r="D359" s="5" t="s">
        <v>117</v>
      </c>
      <c r="E359" s="6" t="n">
        <v>10557.59</v>
      </c>
      <c r="F359" s="6" t="n">
        <v>10557.59</v>
      </c>
      <c r="G359" s="10" t="n">
        <f aca="false">E359-F359</f>
        <v>0</v>
      </c>
      <c r="H359" s="9" t="n">
        <f aca="false">G359/E359</f>
        <v>0</v>
      </c>
      <c r="I359" s="10" t="n">
        <f aca="false">H359*Desenho_MUS!$B$12</f>
        <v>0</v>
      </c>
      <c r="J359" s="5" t="s">
        <v>50</v>
      </c>
    </row>
    <row r="360" customFormat="false" ht="15" hidden="false" customHeight="false" outlineLevel="0" collapsed="false">
      <c r="A360" s="5" t="n">
        <v>356</v>
      </c>
      <c r="B360" s="5" t="s">
        <v>416</v>
      </c>
      <c r="C360" s="5" t="s">
        <v>59</v>
      </c>
      <c r="D360" s="5" t="s">
        <v>53</v>
      </c>
      <c r="E360" s="6" t="n">
        <v>728630.69</v>
      </c>
      <c r="F360" s="6" t="n">
        <v>728630.69</v>
      </c>
      <c r="G360" s="10" t="n">
        <f aca="false">E360-F360</f>
        <v>0</v>
      </c>
      <c r="H360" s="9" t="n">
        <f aca="false">G360/E360</f>
        <v>0</v>
      </c>
      <c r="I360" s="10" t="n">
        <f aca="false">H360*Desenho_MUS!$B$12</f>
        <v>0</v>
      </c>
      <c r="J360" s="5" t="s">
        <v>50</v>
      </c>
    </row>
    <row r="361" customFormat="false" ht="15" hidden="false" customHeight="false" outlineLevel="0" collapsed="false">
      <c r="A361" s="5" t="n">
        <v>357</v>
      </c>
      <c r="B361" s="5" t="s">
        <v>417</v>
      </c>
      <c r="C361" s="5" t="s">
        <v>52</v>
      </c>
      <c r="D361" s="5" t="s">
        <v>53</v>
      </c>
      <c r="E361" s="6" t="n">
        <v>745606.67</v>
      </c>
      <c r="F361" s="6" t="n">
        <v>745606.67</v>
      </c>
      <c r="G361" s="10" t="n">
        <f aca="false">E361-F361</f>
        <v>0</v>
      </c>
      <c r="H361" s="9" t="n">
        <f aca="false">G361/E361</f>
        <v>0</v>
      </c>
      <c r="I361" s="10" t="n">
        <f aca="false">H361*Desenho_MUS!$B$12</f>
        <v>0</v>
      </c>
      <c r="J361" s="5" t="s">
        <v>50</v>
      </c>
    </row>
    <row r="362" customFormat="false" ht="15" hidden="false" customHeight="false" outlineLevel="0" collapsed="false">
      <c r="A362" s="5" t="n">
        <v>358</v>
      </c>
      <c r="B362" s="5" t="s">
        <v>418</v>
      </c>
      <c r="C362" s="5" t="s">
        <v>52</v>
      </c>
      <c r="D362" s="5" t="s">
        <v>49</v>
      </c>
      <c r="E362" s="6" t="n">
        <v>81384.94</v>
      </c>
      <c r="F362" s="6" t="n">
        <v>81384.94</v>
      </c>
      <c r="G362" s="10" t="n">
        <f aca="false">E362-F362</f>
        <v>0</v>
      </c>
      <c r="H362" s="9" t="n">
        <f aca="false">G362/E362</f>
        <v>0</v>
      </c>
      <c r="I362" s="10" t="n">
        <f aca="false">H362*Desenho_MUS!$B$12</f>
        <v>0</v>
      </c>
      <c r="J362" s="5" t="s">
        <v>50</v>
      </c>
    </row>
    <row r="363" customFormat="false" ht="15" hidden="false" customHeight="false" outlineLevel="0" collapsed="false">
      <c r="A363" s="5" t="n">
        <v>359</v>
      </c>
      <c r="B363" s="5" t="s">
        <v>419</v>
      </c>
      <c r="C363" s="5" t="s">
        <v>52</v>
      </c>
      <c r="D363" s="5" t="s">
        <v>61</v>
      </c>
      <c r="E363" s="6" t="n">
        <v>2863.14</v>
      </c>
      <c r="F363" s="6" t="n">
        <v>2863.14</v>
      </c>
      <c r="G363" s="10" t="n">
        <f aca="false">E363-F363</f>
        <v>0</v>
      </c>
      <c r="H363" s="9" t="n">
        <f aca="false">G363/E363</f>
        <v>0</v>
      </c>
      <c r="I363" s="10" t="n">
        <f aca="false">H363*Desenho_MUS!$B$12</f>
        <v>0</v>
      </c>
      <c r="J363" s="5" t="s">
        <v>50</v>
      </c>
    </row>
    <row r="364" customFormat="false" ht="15" hidden="false" customHeight="false" outlineLevel="0" collapsed="false">
      <c r="A364" s="5" t="n">
        <v>360</v>
      </c>
      <c r="B364" s="5" t="s">
        <v>420</v>
      </c>
      <c r="C364" s="5" t="s">
        <v>59</v>
      </c>
      <c r="D364" s="5" t="s">
        <v>61</v>
      </c>
      <c r="E364" s="6" t="n">
        <v>52204.09</v>
      </c>
      <c r="F364" s="6" t="n">
        <v>52204.09</v>
      </c>
      <c r="G364" s="10" t="n">
        <f aca="false">E364-F364</f>
        <v>0</v>
      </c>
      <c r="H364" s="9" t="n">
        <f aca="false">G364/E364</f>
        <v>0</v>
      </c>
      <c r="I364" s="10" t="n">
        <f aca="false">H364*Desenho_MUS!$B$12</f>
        <v>0</v>
      </c>
      <c r="J364" s="5" t="s">
        <v>50</v>
      </c>
    </row>
    <row r="365" customFormat="false" ht="15" hidden="false" customHeight="false" outlineLevel="0" collapsed="false">
      <c r="A365" s="5" t="n">
        <v>361</v>
      </c>
      <c r="B365" s="5" t="s">
        <v>421</v>
      </c>
      <c r="C365" s="5" t="s">
        <v>59</v>
      </c>
      <c r="D365" s="5" t="s">
        <v>53</v>
      </c>
      <c r="E365" s="6" t="n">
        <v>1904073.31</v>
      </c>
      <c r="F365" s="6" t="n">
        <v>1904073.31</v>
      </c>
      <c r="G365" s="10" t="n">
        <f aca="false">E365-F365</f>
        <v>0</v>
      </c>
      <c r="H365" s="9" t="n">
        <f aca="false">G365/E365</f>
        <v>0</v>
      </c>
      <c r="I365" s="10" t="n">
        <f aca="false">H365*Desenho_MUS!$B$12</f>
        <v>0</v>
      </c>
      <c r="J365" s="5" t="s">
        <v>50</v>
      </c>
    </row>
    <row r="366" customFormat="false" ht="15" hidden="false" customHeight="false" outlineLevel="0" collapsed="false">
      <c r="A366" s="5" t="n">
        <v>362</v>
      </c>
      <c r="B366" s="5" t="s">
        <v>422</v>
      </c>
      <c r="C366" s="5" t="s">
        <v>59</v>
      </c>
      <c r="D366" s="5" t="s">
        <v>53</v>
      </c>
      <c r="E366" s="6" t="n">
        <v>851167.12</v>
      </c>
      <c r="F366" s="6" t="n">
        <v>851167.12</v>
      </c>
      <c r="G366" s="10" t="n">
        <f aca="false">E366-F366</f>
        <v>0</v>
      </c>
      <c r="H366" s="9" t="n">
        <f aca="false">G366/E366</f>
        <v>0</v>
      </c>
      <c r="I366" s="10" t="n">
        <f aca="false">H366*Desenho_MUS!$B$12</f>
        <v>0</v>
      </c>
      <c r="J366" s="5" t="s">
        <v>50</v>
      </c>
    </row>
    <row r="367" customFormat="false" ht="15" hidden="false" customHeight="false" outlineLevel="0" collapsed="false">
      <c r="A367" s="5" t="n">
        <v>363</v>
      </c>
      <c r="B367" s="5" t="s">
        <v>423</v>
      </c>
      <c r="C367" s="5" t="s">
        <v>59</v>
      </c>
      <c r="D367" s="5" t="s">
        <v>61</v>
      </c>
      <c r="E367" s="6" t="n">
        <v>75267.79</v>
      </c>
      <c r="F367" s="6" t="n">
        <v>75267.79</v>
      </c>
      <c r="G367" s="10" t="n">
        <f aca="false">E367-F367</f>
        <v>0</v>
      </c>
      <c r="H367" s="9" t="n">
        <f aca="false">G367/E367</f>
        <v>0</v>
      </c>
      <c r="I367" s="10" t="n">
        <f aca="false">H367*Desenho_MUS!$B$12</f>
        <v>0</v>
      </c>
      <c r="J367" s="5" t="s">
        <v>50</v>
      </c>
    </row>
    <row r="368" customFormat="false" ht="15" hidden="false" customHeight="false" outlineLevel="0" collapsed="false">
      <c r="A368" s="5" t="n">
        <v>364</v>
      </c>
      <c r="B368" s="5" t="s">
        <v>424</v>
      </c>
      <c r="C368" s="5" t="s">
        <v>56</v>
      </c>
      <c r="D368" s="5" t="s">
        <v>61</v>
      </c>
      <c r="E368" s="6" t="n">
        <v>51393.13</v>
      </c>
      <c r="F368" s="6" t="n">
        <v>51393.13</v>
      </c>
      <c r="G368" s="10" t="n">
        <f aca="false">E368-F368</f>
        <v>0</v>
      </c>
      <c r="H368" s="9" t="n">
        <f aca="false">G368/E368</f>
        <v>0</v>
      </c>
      <c r="I368" s="10" t="n">
        <f aca="false">H368*Desenho_MUS!$B$12</f>
        <v>0</v>
      </c>
      <c r="J368" s="5" t="s">
        <v>50</v>
      </c>
    </row>
    <row r="369" customFormat="false" ht="15" hidden="false" customHeight="false" outlineLevel="0" collapsed="false">
      <c r="A369" s="5" t="n">
        <v>365</v>
      </c>
      <c r="B369" s="5" t="s">
        <v>425</v>
      </c>
      <c r="C369" s="5" t="s">
        <v>52</v>
      </c>
      <c r="D369" s="5" t="s">
        <v>99</v>
      </c>
      <c r="E369" s="6" t="n">
        <v>7208.01</v>
      </c>
      <c r="F369" s="6" t="n">
        <v>7208.01</v>
      </c>
      <c r="G369" s="10" t="n">
        <f aca="false">E369-F369</f>
        <v>0</v>
      </c>
      <c r="H369" s="9" t="n">
        <f aca="false">G369/E369</f>
        <v>0</v>
      </c>
      <c r="I369" s="10" t="n">
        <f aca="false">H369*Desenho_MUS!$B$12</f>
        <v>0</v>
      </c>
      <c r="J369" s="5" t="s">
        <v>50</v>
      </c>
    </row>
    <row r="370" customFormat="false" ht="15" hidden="false" customHeight="false" outlineLevel="0" collapsed="false">
      <c r="A370" s="5" t="n">
        <v>366</v>
      </c>
      <c r="B370" s="5" t="s">
        <v>426</v>
      </c>
      <c r="C370" s="5" t="s">
        <v>59</v>
      </c>
      <c r="D370" s="5" t="s">
        <v>61</v>
      </c>
      <c r="E370" s="6" t="n">
        <v>53922.43</v>
      </c>
      <c r="F370" s="6" t="n">
        <v>53922.43</v>
      </c>
      <c r="G370" s="10" t="n">
        <f aca="false">E370-F370</f>
        <v>0</v>
      </c>
      <c r="H370" s="9" t="n">
        <f aca="false">G370/E370</f>
        <v>0</v>
      </c>
      <c r="I370" s="10" t="n">
        <f aca="false">H370*Desenho_MUS!$B$12</f>
        <v>0</v>
      </c>
      <c r="J370" s="5" t="s">
        <v>50</v>
      </c>
    </row>
    <row r="371" customFormat="false" ht="15" hidden="false" customHeight="false" outlineLevel="0" collapsed="false">
      <c r="A371" s="5" t="n">
        <v>367</v>
      </c>
      <c r="B371" s="5" t="s">
        <v>427</v>
      </c>
      <c r="C371" s="5" t="s">
        <v>59</v>
      </c>
      <c r="D371" s="5" t="s">
        <v>99</v>
      </c>
      <c r="E371" s="6" t="n">
        <v>27269.77</v>
      </c>
      <c r="F371" s="6" t="n">
        <v>27269.77</v>
      </c>
      <c r="G371" s="10" t="n">
        <f aca="false">E371-F371</f>
        <v>0</v>
      </c>
      <c r="H371" s="9" t="n">
        <f aca="false">G371/E371</f>
        <v>0</v>
      </c>
      <c r="I371" s="10" t="n">
        <f aca="false">H371*Desenho_MUS!$B$12</f>
        <v>0</v>
      </c>
      <c r="J371" s="5" t="s">
        <v>50</v>
      </c>
    </row>
    <row r="372" customFormat="false" ht="15" hidden="false" customHeight="false" outlineLevel="0" collapsed="false">
      <c r="A372" s="5" t="n">
        <v>368</v>
      </c>
      <c r="B372" s="5" t="s">
        <v>428</v>
      </c>
      <c r="C372" s="5" t="s">
        <v>52</v>
      </c>
      <c r="D372" s="5" t="s">
        <v>61</v>
      </c>
      <c r="E372" s="6" t="n">
        <v>99283.14</v>
      </c>
      <c r="F372" s="6" t="n">
        <v>99283.14</v>
      </c>
      <c r="G372" s="10" t="n">
        <f aca="false">E372-F372</f>
        <v>0</v>
      </c>
      <c r="H372" s="9" t="n">
        <f aca="false">G372/E372</f>
        <v>0</v>
      </c>
      <c r="I372" s="10" t="n">
        <f aca="false">H372*Desenho_MUS!$B$12</f>
        <v>0</v>
      </c>
      <c r="J372" s="5" t="s">
        <v>50</v>
      </c>
    </row>
    <row r="373" customFormat="false" ht="15" hidden="false" customHeight="false" outlineLevel="0" collapsed="false">
      <c r="A373" s="5" t="n">
        <v>369</v>
      </c>
      <c r="B373" s="5" t="s">
        <v>429</v>
      </c>
      <c r="C373" s="5" t="s">
        <v>52</v>
      </c>
      <c r="D373" s="5" t="s">
        <v>61</v>
      </c>
      <c r="E373" s="6" t="n">
        <v>91099.17</v>
      </c>
      <c r="F373" s="6" t="n">
        <v>91099.17</v>
      </c>
      <c r="G373" s="10" t="n">
        <f aca="false">E373-F373</f>
        <v>0</v>
      </c>
      <c r="H373" s="9" t="n">
        <f aca="false">G373/E373</f>
        <v>0</v>
      </c>
      <c r="I373" s="10" t="n">
        <f aca="false">H373*Desenho_MUS!$B$12</f>
        <v>0</v>
      </c>
      <c r="J373" s="5" t="s">
        <v>50</v>
      </c>
    </row>
    <row r="374" customFormat="false" ht="15" hidden="false" customHeight="false" outlineLevel="0" collapsed="false">
      <c r="A374" s="5" t="n">
        <v>370</v>
      </c>
      <c r="B374" s="5" t="s">
        <v>430</v>
      </c>
      <c r="C374" s="5" t="s">
        <v>59</v>
      </c>
      <c r="D374" s="5" t="s">
        <v>53</v>
      </c>
      <c r="E374" s="6" t="n">
        <v>1149712.66</v>
      </c>
      <c r="F374" s="6" t="n">
        <v>1149712.66</v>
      </c>
      <c r="G374" s="10" t="n">
        <f aca="false">E374-F374</f>
        <v>0</v>
      </c>
      <c r="H374" s="9" t="n">
        <f aca="false">G374/E374</f>
        <v>0</v>
      </c>
      <c r="I374" s="10" t="n">
        <f aca="false">H374*Desenho_MUS!$B$12</f>
        <v>0</v>
      </c>
      <c r="J374" s="5" t="s">
        <v>50</v>
      </c>
    </row>
    <row r="375" customFormat="false" ht="15" hidden="false" customHeight="false" outlineLevel="0" collapsed="false">
      <c r="A375" s="5" t="n">
        <v>371</v>
      </c>
      <c r="B375" s="5" t="s">
        <v>431</v>
      </c>
      <c r="C375" s="5" t="s">
        <v>52</v>
      </c>
      <c r="D375" s="5" t="s">
        <v>53</v>
      </c>
      <c r="E375" s="6" t="n">
        <v>1133390.52</v>
      </c>
      <c r="F375" s="6" t="n">
        <v>1133390.52</v>
      </c>
      <c r="G375" s="10" t="n">
        <f aca="false">E375-F375</f>
        <v>0</v>
      </c>
      <c r="H375" s="9" t="n">
        <f aca="false">G375/E375</f>
        <v>0</v>
      </c>
      <c r="I375" s="10" t="n">
        <f aca="false">H375*Desenho_MUS!$B$12</f>
        <v>0</v>
      </c>
      <c r="J375" s="5" t="s">
        <v>50</v>
      </c>
    </row>
    <row r="376" customFormat="false" ht="15" hidden="false" customHeight="false" outlineLevel="0" collapsed="false">
      <c r="A376" s="5" t="n">
        <v>372</v>
      </c>
      <c r="B376" s="5" t="s">
        <v>432</v>
      </c>
      <c r="C376" s="5" t="s">
        <v>52</v>
      </c>
      <c r="D376" s="5" t="s">
        <v>61</v>
      </c>
      <c r="E376" s="6" t="n">
        <v>108226.42</v>
      </c>
      <c r="F376" s="6" t="n">
        <v>108226.42</v>
      </c>
      <c r="G376" s="10" t="n">
        <f aca="false">E376-F376</f>
        <v>0</v>
      </c>
      <c r="H376" s="9" t="n">
        <f aca="false">G376/E376</f>
        <v>0</v>
      </c>
      <c r="I376" s="10" t="n">
        <f aca="false">H376*Desenho_MUS!$B$12</f>
        <v>0</v>
      </c>
      <c r="J376" s="5" t="s">
        <v>50</v>
      </c>
    </row>
    <row r="377" customFormat="false" ht="15" hidden="false" customHeight="false" outlineLevel="0" collapsed="false">
      <c r="A377" s="5" t="n">
        <v>373</v>
      </c>
      <c r="B377" s="5" t="s">
        <v>433</v>
      </c>
      <c r="C377" s="5" t="s">
        <v>52</v>
      </c>
      <c r="D377" s="5" t="s">
        <v>49</v>
      </c>
      <c r="E377" s="6" t="n">
        <v>101765.99</v>
      </c>
      <c r="F377" s="6" t="n">
        <v>101765.99</v>
      </c>
      <c r="G377" s="10" t="n">
        <f aca="false">E377-F377</f>
        <v>0</v>
      </c>
      <c r="H377" s="9" t="n">
        <f aca="false">G377/E377</f>
        <v>0</v>
      </c>
      <c r="I377" s="10" t="n">
        <f aca="false">H377*Desenho_MUS!$B$12</f>
        <v>0</v>
      </c>
      <c r="J377" s="5" t="s">
        <v>50</v>
      </c>
    </row>
    <row r="378" customFormat="false" ht="15" hidden="false" customHeight="false" outlineLevel="0" collapsed="false">
      <c r="A378" s="5" t="n">
        <v>374</v>
      </c>
      <c r="B378" s="5" t="s">
        <v>434</v>
      </c>
      <c r="C378" s="5" t="s">
        <v>52</v>
      </c>
      <c r="D378" s="5" t="s">
        <v>53</v>
      </c>
      <c r="E378" s="6" t="n">
        <v>1911950.54</v>
      </c>
      <c r="F378" s="6" t="n">
        <v>1911950.54</v>
      </c>
      <c r="G378" s="10" t="n">
        <f aca="false">E378-F378</f>
        <v>0</v>
      </c>
      <c r="H378" s="9" t="n">
        <f aca="false">G378/E378</f>
        <v>0</v>
      </c>
      <c r="I378" s="10" t="n">
        <f aca="false">H378*Desenho_MUS!$B$12</f>
        <v>0</v>
      </c>
      <c r="J378" s="5" t="s">
        <v>50</v>
      </c>
    </row>
    <row r="379" customFormat="false" ht="15" hidden="false" customHeight="false" outlineLevel="0" collapsed="false">
      <c r="A379" s="5" t="n">
        <v>375</v>
      </c>
      <c r="B379" s="5" t="s">
        <v>435</v>
      </c>
      <c r="C379" s="5" t="s">
        <v>52</v>
      </c>
      <c r="D379" s="5" t="s">
        <v>49</v>
      </c>
      <c r="E379" s="6" t="n">
        <v>62152.94</v>
      </c>
      <c r="F379" s="6" t="n">
        <v>62152.94</v>
      </c>
      <c r="G379" s="10" t="n">
        <f aca="false">E379-F379</f>
        <v>0</v>
      </c>
      <c r="H379" s="9" t="n">
        <f aca="false">G379/E379</f>
        <v>0</v>
      </c>
      <c r="I379" s="10" t="n">
        <f aca="false">H379*Desenho_MUS!$B$12</f>
        <v>0</v>
      </c>
      <c r="J379" s="5" t="s">
        <v>50</v>
      </c>
    </row>
    <row r="380" customFormat="false" ht="15" hidden="false" customHeight="false" outlineLevel="0" collapsed="false">
      <c r="A380" s="5" t="n">
        <v>376</v>
      </c>
      <c r="B380" s="5" t="s">
        <v>436</v>
      </c>
      <c r="C380" s="5" t="s">
        <v>52</v>
      </c>
      <c r="D380" s="5" t="s">
        <v>53</v>
      </c>
      <c r="E380" s="6" t="n">
        <v>1623634.88</v>
      </c>
      <c r="F380" s="6" t="n">
        <v>1623634.88</v>
      </c>
      <c r="G380" s="10" t="n">
        <f aca="false">E380-F380</f>
        <v>0</v>
      </c>
      <c r="H380" s="9" t="n">
        <f aca="false">G380/E380</f>
        <v>0</v>
      </c>
      <c r="I380" s="10" t="n">
        <f aca="false">H380*Desenho_MUS!$B$12</f>
        <v>0</v>
      </c>
      <c r="J380" s="5" t="s">
        <v>50</v>
      </c>
    </row>
    <row r="381" customFormat="false" ht="15" hidden="false" customHeight="false" outlineLevel="0" collapsed="false">
      <c r="A381" s="5" t="n">
        <v>377</v>
      </c>
      <c r="B381" s="5" t="s">
        <v>437</v>
      </c>
      <c r="C381" s="5" t="s">
        <v>52</v>
      </c>
      <c r="D381" s="5" t="s">
        <v>61</v>
      </c>
      <c r="E381" s="6" t="n">
        <v>37074.33</v>
      </c>
      <c r="F381" s="6" t="n">
        <v>37074.33</v>
      </c>
      <c r="G381" s="10" t="n">
        <f aca="false">E381-F381</f>
        <v>0</v>
      </c>
      <c r="H381" s="9" t="n">
        <f aca="false">G381/E381</f>
        <v>0</v>
      </c>
      <c r="I381" s="10" t="n">
        <f aca="false">H381*Desenho_MUS!$B$12</f>
        <v>0</v>
      </c>
      <c r="J381" s="5" t="s">
        <v>50</v>
      </c>
    </row>
    <row r="382" customFormat="false" ht="15" hidden="false" customHeight="false" outlineLevel="0" collapsed="false">
      <c r="A382" s="5" t="n">
        <v>378</v>
      </c>
      <c r="B382" s="5" t="s">
        <v>438</v>
      </c>
      <c r="C382" s="5" t="s">
        <v>52</v>
      </c>
      <c r="D382" s="5" t="s">
        <v>117</v>
      </c>
      <c r="E382" s="6" t="n">
        <v>10031.78</v>
      </c>
      <c r="F382" s="6" t="n">
        <v>10031.78</v>
      </c>
      <c r="G382" s="10" t="n">
        <f aca="false">E382-F382</f>
        <v>0</v>
      </c>
      <c r="H382" s="9" t="n">
        <f aca="false">G382/E382</f>
        <v>0</v>
      </c>
      <c r="I382" s="10" t="n">
        <f aca="false">H382*Desenho_MUS!$B$12</f>
        <v>0</v>
      </c>
      <c r="J382" s="5" t="s">
        <v>50</v>
      </c>
    </row>
    <row r="383" customFormat="false" ht="15" hidden="false" customHeight="false" outlineLevel="0" collapsed="false">
      <c r="A383" s="5" t="n">
        <v>379</v>
      </c>
      <c r="B383" s="5" t="s">
        <v>439</v>
      </c>
      <c r="C383" s="5" t="s">
        <v>52</v>
      </c>
      <c r="D383" s="5" t="s">
        <v>53</v>
      </c>
      <c r="E383" s="6" t="n">
        <v>1145265.13</v>
      </c>
      <c r="F383" s="6" t="n">
        <v>1145265.13</v>
      </c>
      <c r="G383" s="10" t="n">
        <f aca="false">E383-F383</f>
        <v>0</v>
      </c>
      <c r="H383" s="9" t="n">
        <f aca="false">G383/E383</f>
        <v>0</v>
      </c>
      <c r="I383" s="10" t="n">
        <f aca="false">H383*Desenho_MUS!$B$12</f>
        <v>0</v>
      </c>
      <c r="J383" s="5" t="s">
        <v>50</v>
      </c>
    </row>
    <row r="384" customFormat="false" ht="15" hidden="false" customHeight="false" outlineLevel="0" collapsed="false">
      <c r="A384" s="5" t="n">
        <v>380</v>
      </c>
      <c r="B384" s="5" t="s">
        <v>440</v>
      </c>
      <c r="C384" s="5" t="s">
        <v>48</v>
      </c>
      <c r="D384" s="5" t="s">
        <v>61</v>
      </c>
      <c r="E384" s="6" t="n">
        <v>35708.66</v>
      </c>
      <c r="F384" s="6" t="n">
        <v>35708.66</v>
      </c>
      <c r="G384" s="10" t="n">
        <f aca="false">E384-F384</f>
        <v>0</v>
      </c>
      <c r="H384" s="9" t="n">
        <f aca="false">G384/E384</f>
        <v>0</v>
      </c>
      <c r="I384" s="10" t="n">
        <f aca="false">H384*Desenho_MUS!$B$12</f>
        <v>0</v>
      </c>
      <c r="J384" s="5" t="s">
        <v>50</v>
      </c>
    </row>
    <row r="385" customFormat="false" ht="15" hidden="false" customHeight="false" outlineLevel="0" collapsed="false">
      <c r="A385" s="5" t="n">
        <v>381</v>
      </c>
      <c r="B385" s="5" t="s">
        <v>441</v>
      </c>
      <c r="C385" s="5" t="s">
        <v>59</v>
      </c>
      <c r="D385" s="5" t="s">
        <v>53</v>
      </c>
      <c r="E385" s="6" t="n">
        <v>425354.38</v>
      </c>
      <c r="F385" s="6" t="n">
        <v>425354.38</v>
      </c>
      <c r="G385" s="10" t="n">
        <f aca="false">E385-F385</f>
        <v>0</v>
      </c>
      <c r="H385" s="9" t="n">
        <f aca="false">G385/E385</f>
        <v>0</v>
      </c>
      <c r="I385" s="10" t="n">
        <f aca="false">H385*Desenho_MUS!$B$12</f>
        <v>0</v>
      </c>
      <c r="J385" s="5" t="s">
        <v>50</v>
      </c>
    </row>
    <row r="386" customFormat="false" ht="15" hidden="false" customHeight="false" outlineLevel="0" collapsed="false">
      <c r="A386" s="5" t="n">
        <v>382</v>
      </c>
      <c r="B386" s="5" t="s">
        <v>442</v>
      </c>
      <c r="C386" s="5" t="s">
        <v>59</v>
      </c>
      <c r="D386" s="5" t="s">
        <v>53</v>
      </c>
      <c r="E386" s="6" t="n">
        <v>2593863.48</v>
      </c>
      <c r="F386" s="6" t="n">
        <v>2593863.48</v>
      </c>
      <c r="G386" s="10" t="n">
        <f aca="false">E386-F386</f>
        <v>0</v>
      </c>
      <c r="H386" s="9" t="n">
        <f aca="false">G386/E386</f>
        <v>0</v>
      </c>
      <c r="I386" s="10" t="n">
        <f aca="false">H386*Desenho_MUS!$B$12</f>
        <v>0</v>
      </c>
      <c r="J386" s="5" t="s">
        <v>50</v>
      </c>
    </row>
    <row r="387" customFormat="false" ht="15" hidden="false" customHeight="false" outlineLevel="0" collapsed="false">
      <c r="A387" s="5" t="n">
        <v>383</v>
      </c>
      <c r="B387" s="5" t="s">
        <v>443</v>
      </c>
      <c r="C387" s="5" t="s">
        <v>59</v>
      </c>
      <c r="D387" s="5" t="s">
        <v>53</v>
      </c>
      <c r="E387" s="6" t="n">
        <v>922580.55</v>
      </c>
      <c r="F387" s="6" t="n">
        <v>922580.55</v>
      </c>
      <c r="G387" s="10" t="n">
        <f aca="false">E387-F387</f>
        <v>0</v>
      </c>
      <c r="H387" s="9" t="n">
        <f aca="false">G387/E387</f>
        <v>0</v>
      </c>
      <c r="I387" s="10" t="n">
        <f aca="false">H387*Desenho_MUS!$B$12</f>
        <v>0</v>
      </c>
      <c r="J387" s="5" t="s">
        <v>50</v>
      </c>
    </row>
    <row r="388" customFormat="false" ht="15" hidden="false" customHeight="false" outlineLevel="0" collapsed="false">
      <c r="A388" s="5" t="n">
        <v>384</v>
      </c>
      <c r="B388" s="5" t="s">
        <v>444</v>
      </c>
      <c r="C388" s="5" t="s">
        <v>52</v>
      </c>
      <c r="D388" s="5" t="s">
        <v>49</v>
      </c>
      <c r="E388" s="6" t="n">
        <v>200781.81</v>
      </c>
      <c r="F388" s="6" t="n">
        <v>200781.81</v>
      </c>
      <c r="G388" s="10" t="n">
        <f aca="false">E388-F388</f>
        <v>0</v>
      </c>
      <c r="H388" s="9" t="n">
        <f aca="false">G388/E388</f>
        <v>0</v>
      </c>
      <c r="I388" s="10" t="n">
        <f aca="false">H388*Desenho_MUS!$B$12</f>
        <v>0</v>
      </c>
      <c r="J388" s="5" t="s">
        <v>50</v>
      </c>
    </row>
    <row r="389" customFormat="false" ht="15" hidden="false" customHeight="false" outlineLevel="0" collapsed="false">
      <c r="A389" s="5" t="n">
        <v>385</v>
      </c>
      <c r="B389" s="5" t="s">
        <v>445</v>
      </c>
      <c r="C389" s="5" t="s">
        <v>52</v>
      </c>
      <c r="D389" s="5" t="s">
        <v>99</v>
      </c>
      <c r="E389" s="6" t="n">
        <v>24383.92</v>
      </c>
      <c r="F389" s="6" t="n">
        <v>24383.92</v>
      </c>
      <c r="G389" s="10" t="n">
        <f aca="false">E389-F389</f>
        <v>0</v>
      </c>
      <c r="H389" s="9" t="n">
        <f aca="false">G389/E389</f>
        <v>0</v>
      </c>
      <c r="I389" s="10" t="n">
        <f aca="false">H389*Desenho_MUS!$B$12</f>
        <v>0</v>
      </c>
      <c r="J389" s="5" t="s">
        <v>50</v>
      </c>
    </row>
    <row r="390" customFormat="false" ht="15" hidden="false" customHeight="false" outlineLevel="0" collapsed="false">
      <c r="A390" s="12" t="s">
        <v>446</v>
      </c>
      <c r="B390" s="12"/>
      <c r="C390" s="12"/>
      <c r="D390" s="12"/>
      <c r="E390" s="13" t="n">
        <f aca="false">SUM(E5:E389)</f>
        <v>290530649.78</v>
      </c>
      <c r="F390" s="13" t="n">
        <f aca="false">SUM(F5:F389)</f>
        <v>288995940.22</v>
      </c>
      <c r="G390" s="13" t="n">
        <f aca="false">SUM(G5:G389)</f>
        <v>1534709.56</v>
      </c>
      <c r="H390" s="12"/>
      <c r="I390" s="13" t="n">
        <f aca="false">SUM(I5:I389)</f>
        <v>281239743.372185</v>
      </c>
      <c r="J390" s="12"/>
    </row>
    <row r="391" customFormat="false" ht="52.2" hidden="false" customHeight="false" outlineLevel="0" collapsed="false">
      <c r="A391" s="12" t="s">
        <v>447</v>
      </c>
      <c r="B391" s="12"/>
      <c r="C391" s="12"/>
      <c r="D391" s="12"/>
      <c r="E391" s="12"/>
      <c r="F391" s="12"/>
      <c r="G391" s="12" t="n">
        <f aca="false">COUNTIF(G5:G389,"&lt;&gt;0")</f>
        <v>6</v>
      </c>
      <c r="H391" s="12"/>
      <c r="I391" s="12"/>
      <c r="J39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6" min="5" style="0" width="20"/>
  </cols>
  <sheetData>
    <row r="1" customFormat="false" ht="15" hidden="false" customHeight="false" outlineLevel="0" collapsed="false">
      <c r="A1" s="1" t="s">
        <v>448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4" t="s">
        <v>449</v>
      </c>
      <c r="B4" s="4" t="s">
        <v>44</v>
      </c>
      <c r="C4" s="4" t="s">
        <v>450</v>
      </c>
      <c r="D4" s="4" t="s">
        <v>451</v>
      </c>
      <c r="E4" s="4" t="s">
        <v>452</v>
      </c>
      <c r="F4" s="4" t="s">
        <v>453</v>
      </c>
    </row>
    <row r="5" customFormat="false" ht="15" hidden="false" customHeight="false" outlineLevel="0" collapsed="false">
      <c r="A5" s="5" t="s">
        <v>454</v>
      </c>
      <c r="B5" s="5" t="n">
        <v>1</v>
      </c>
      <c r="C5" s="9" t="n">
        <f aca="false">CHIINV(Desenho_MUS!$B$7,2)/2</f>
        <v>2.99573227355399</v>
      </c>
      <c r="D5" s="9" t="n">
        <f aca="false">C5</f>
        <v>2.99573227355399</v>
      </c>
      <c r="E5" s="5"/>
      <c r="F5" s="10" t="n">
        <f aca="false">Desenho_MUS!$B$12*C5</f>
        <v>230505016.877317</v>
      </c>
    </row>
    <row r="6" customFormat="false" ht="15" hidden="false" customHeight="false" outlineLevel="0" collapsed="false">
      <c r="A6" s="5" t="s">
        <v>455</v>
      </c>
      <c r="B6" s="14" t="n">
        <f aca="false">LARGE(Amostra_MUS!$H$5:$H$389,1)</f>
        <v>1</v>
      </c>
      <c r="C6" s="9" t="n">
        <f aca="false">CHIINV(Desenho_MUS!$B$7,4)/2</f>
        <v>4.74386451839058</v>
      </c>
      <c r="D6" s="9" t="n">
        <f aca="false">C6-C5</f>
        <v>1.74813224483659</v>
      </c>
      <c r="E6" s="10" t="n">
        <f aca="false">B6*Desenho_MUS!$B$12</f>
        <v>76944464.9350649</v>
      </c>
      <c r="F6" s="10" t="n">
        <f aca="false">B6*D6*Desenho_MUS!$B$12</f>
        <v>134509100.214685</v>
      </c>
    </row>
    <row r="7" customFormat="false" ht="15" hidden="false" customHeight="false" outlineLevel="0" collapsed="false">
      <c r="A7" s="5" t="s">
        <v>456</v>
      </c>
      <c r="B7" s="14" t="n">
        <f aca="false">LARGE(Amostra_MUS!$H$5:$H$389,2)</f>
        <v>1</v>
      </c>
      <c r="C7" s="9" t="n">
        <f aca="false">CHIINV(Desenho_MUS!$B$7,6)/2</f>
        <v>6.29579362187199</v>
      </c>
      <c r="D7" s="9" t="n">
        <f aca="false">C7-C6</f>
        <v>1.55192910348141</v>
      </c>
      <c r="E7" s="10" t="n">
        <f aca="false">B7*Desenho_MUS!$B$12</f>
        <v>76944464.9350649</v>
      </c>
      <c r="F7" s="10" t="n">
        <f aca="false">B7*D7*Desenho_MUS!$B$12</f>
        <v>119412354.484532</v>
      </c>
    </row>
    <row r="8" customFormat="false" ht="15" hidden="false" customHeight="false" outlineLevel="0" collapsed="false">
      <c r="A8" s="5" t="s">
        <v>457</v>
      </c>
      <c r="B8" s="14" t="n">
        <f aca="false">LARGE(Amostra_MUS!$H$5:$H$389,3)</f>
        <v>1</v>
      </c>
      <c r="C8" s="9" t="n">
        <f aca="false">CHIINV(Desenho_MUS!$B$7,8)/2</f>
        <v>7.75365652793273</v>
      </c>
      <c r="D8" s="9" t="n">
        <f aca="false">C8-C7</f>
        <v>1.45786290606074</v>
      </c>
      <c r="E8" s="10" t="n">
        <f aca="false">B8*Desenho_MUS!$B$12</f>
        <v>76944464.9350649</v>
      </c>
      <c r="F8" s="10" t="n">
        <f aca="false">B8*D8*Desenho_MUS!$B$12</f>
        <v>112174481.255522</v>
      </c>
    </row>
    <row r="9" customFormat="false" ht="15" hidden="false" customHeight="false" outlineLevel="0" collapsed="false">
      <c r="A9" s="5" t="s">
        <v>458</v>
      </c>
      <c r="B9" s="14" t="n">
        <f aca="false">LARGE(Amostra_MUS!$H$5:$H$389,4)</f>
        <v>1</v>
      </c>
      <c r="C9" s="9" t="n">
        <f aca="false">CHIINV(Desenho_MUS!$B$7,10)/2</f>
        <v>9.15351902663758</v>
      </c>
      <c r="D9" s="9" t="n">
        <f aca="false">C9-C8</f>
        <v>1.39986249870485</v>
      </c>
      <c r="E9" s="10" t="n">
        <f aca="false">B9*Desenho_MUS!$B$12</f>
        <v>76944464.9350649</v>
      </c>
      <c r="F9" s="10" t="n">
        <f aca="false">B9*D9*Desenho_MUS!$B$12</f>
        <v>107711670.945508</v>
      </c>
    </row>
    <row r="10" customFormat="false" ht="26.85" hidden="false" customHeight="false" outlineLevel="0" collapsed="false">
      <c r="A10" s="12" t="s">
        <v>459</v>
      </c>
      <c r="B10" s="12"/>
      <c r="C10" s="12"/>
      <c r="D10" s="12"/>
      <c r="E10" s="13" t="n">
        <f aca="false">SUM(E6:E9)</f>
        <v>307777859.74026</v>
      </c>
      <c r="F10" s="12"/>
    </row>
    <row r="11" customFormat="false" ht="26.85" hidden="false" customHeight="false" outlineLevel="0" collapsed="false">
      <c r="A11" s="12" t="s">
        <v>460</v>
      </c>
      <c r="B11" s="12"/>
      <c r="C11" s="12"/>
      <c r="D11" s="12"/>
      <c r="E11" s="12"/>
      <c r="F11" s="13" t="n">
        <f aca="false">SUM(F5:F9)</f>
        <v>704312623.777565</v>
      </c>
    </row>
    <row r="12" customFormat="false" ht="15" hidden="false" customHeight="false" outlineLevel="0" collapsed="false">
      <c r="A12" s="5" t="s">
        <v>461</v>
      </c>
      <c r="B12" s="5"/>
      <c r="C12" s="5"/>
      <c r="D12" s="5"/>
      <c r="E12" s="5"/>
      <c r="F12" s="15" t="n">
        <f aca="false">Desenho_MUS!B6</f>
        <v>303421730</v>
      </c>
    </row>
    <row r="13" customFormat="false" ht="15" hidden="false" customHeight="false" outlineLevel="0" collapsed="false">
      <c r="A13" s="12" t="s">
        <v>462</v>
      </c>
      <c r="B13" s="12"/>
      <c r="C13" s="12"/>
      <c r="D13" s="12"/>
      <c r="E13" s="12"/>
      <c r="F13" s="13" t="n">
        <f aca="false">F11-F12</f>
        <v>400890893.777565</v>
      </c>
    </row>
    <row r="14" customFormat="false" ht="26.85" hidden="false" customHeight="false" outlineLevel="0" collapsed="false">
      <c r="A14" s="12" t="s">
        <v>463</v>
      </c>
      <c r="B14" s="12"/>
      <c r="C14" s="12"/>
      <c r="D14" s="12"/>
      <c r="E14" s="12"/>
      <c r="F14" s="12" t="str">
        <f aca="false">IF(F11&lt;=F12,"UML &lt;= DT","UML &gt; DT: ampliar procedimentos")</f>
        <v>UML &gt; DT: ampliar procedimentos</v>
      </c>
    </row>
    <row r="15" customFormat="false" ht="15" hidden="false" customHeight="false" outlineLevel="0" collapsed="false">
      <c r="A15" s="5" t="s">
        <v>464</v>
      </c>
      <c r="B15" s="5"/>
      <c r="C15" s="5"/>
      <c r="D15" s="5"/>
      <c r="E15" s="5"/>
      <c r="F15" s="6" t="n">
        <v>704312623.78</v>
      </c>
    </row>
    <row r="17" customFormat="false" ht="64.9" hidden="false" customHeight="false" outlineLevel="0" collapsed="false">
      <c r="A17" s="5" t="s">
        <v>465</v>
      </c>
      <c r="B17" s="5"/>
      <c r="C17" s="5"/>
      <c r="D17" s="5"/>
      <c r="E17" s="10" t="n">
        <f aca="false">SUMIF(Amostra_MUS!I5:I389,"&lt;0")</f>
        <v>-26538116.3680747</v>
      </c>
      <c r="F17" s="5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4" t="s">
        <v>468</v>
      </c>
      <c r="B4" s="4" t="s">
        <v>469</v>
      </c>
      <c r="C4" s="4" t="s">
        <v>470</v>
      </c>
      <c r="D4" s="4" t="s">
        <v>471</v>
      </c>
      <c r="E4" s="4" t="s">
        <v>472</v>
      </c>
    </row>
    <row r="5" customFormat="false" ht="26.85" hidden="false" customHeight="false" outlineLevel="0" collapsed="false">
      <c r="A5" s="5" t="s">
        <v>473</v>
      </c>
      <c r="B5" s="5" t="s">
        <v>474</v>
      </c>
      <c r="C5" s="16" t="n">
        <v>1000</v>
      </c>
      <c r="D5" s="6" t="n">
        <v>59975200.49</v>
      </c>
      <c r="E5" s="5" t="s">
        <v>475</v>
      </c>
    </row>
    <row r="6" customFormat="false" ht="15" hidden="false" customHeight="false" outlineLevel="0" collapsed="false">
      <c r="A6" s="5" t="s">
        <v>476</v>
      </c>
      <c r="B6" s="5" t="s">
        <v>477</v>
      </c>
      <c r="C6" s="16" t="n">
        <v>1000</v>
      </c>
      <c r="D6" s="6" t="n">
        <v>56070250.89</v>
      </c>
      <c r="E6" s="5" t="s">
        <v>478</v>
      </c>
    </row>
    <row r="7" customFormat="false" ht="15" hidden="false" customHeight="false" outlineLevel="0" collapsed="false">
      <c r="A7" s="5" t="s">
        <v>479</v>
      </c>
      <c r="B7" s="5" t="s">
        <v>480</v>
      </c>
      <c r="C7" s="16" t="n">
        <v>1000</v>
      </c>
      <c r="D7" s="6" t="n">
        <v>8250695.88</v>
      </c>
      <c r="E7" s="5" t="s">
        <v>481</v>
      </c>
    </row>
    <row r="8" customFormat="false" ht="15" hidden="false" customHeight="false" outlineLevel="0" collapsed="false">
      <c r="A8" s="5" t="s">
        <v>482</v>
      </c>
      <c r="B8" s="5" t="s">
        <v>483</v>
      </c>
      <c r="C8" s="16" t="n">
        <v>1000</v>
      </c>
      <c r="D8" s="6" t="n">
        <v>-6811809.08</v>
      </c>
      <c r="E8" s="5" t="s">
        <v>481</v>
      </c>
    </row>
    <row r="9" customFormat="false" ht="15" hidden="false" customHeight="false" outlineLevel="0" collapsed="false">
      <c r="A9" s="5" t="s">
        <v>484</v>
      </c>
      <c r="B9" s="5" t="s">
        <v>485</v>
      </c>
      <c r="C9" s="16" t="n">
        <v>996</v>
      </c>
      <c r="D9" s="6" t="n">
        <v>0</v>
      </c>
      <c r="E9" s="5" t="s">
        <v>486</v>
      </c>
    </row>
    <row r="10" customFormat="false" ht="15" hidden="false" customHeight="false" outlineLevel="0" collapsed="false">
      <c r="A10" s="12"/>
      <c r="B10" s="12" t="s">
        <v>487</v>
      </c>
      <c r="C10" s="12"/>
      <c r="D10" s="13" t="n">
        <f aca="false">D5+D6+D7</f>
        <v>124296147.26</v>
      </c>
      <c r="E10" s="12"/>
    </row>
    <row r="11" customFormat="false" ht="15" hidden="false" customHeight="false" outlineLevel="0" collapsed="false">
      <c r="A11" s="12"/>
      <c r="B11" s="12" t="s">
        <v>488</v>
      </c>
      <c r="C11" s="12"/>
      <c r="D11" s="13" t="n">
        <f aca="false">D8</f>
        <v>-6811809.08</v>
      </c>
      <c r="E11" s="12"/>
    </row>
    <row r="12" customFormat="false" ht="15" hidden="false" customHeight="false" outlineLevel="0" collapsed="false">
      <c r="A12" s="12"/>
      <c r="B12" s="12" t="s">
        <v>489</v>
      </c>
      <c r="C12" s="12"/>
      <c r="D12" s="13" t="n">
        <f aca="false">D10+D11</f>
        <v>117484338.18</v>
      </c>
      <c r="E12" s="12"/>
    </row>
    <row r="13" customFormat="false" ht="15" hidden="false" customHeight="false" outlineLevel="0" collapsed="false">
      <c r="A13" s="5"/>
      <c r="B13" s="5" t="s">
        <v>490</v>
      </c>
      <c r="C13" s="5"/>
      <c r="D13" s="6" t="n">
        <v>117484338.18</v>
      </c>
      <c r="E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491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492</v>
      </c>
      <c r="B4" s="4" t="s">
        <v>8</v>
      </c>
      <c r="C4" s="4" t="s">
        <v>493</v>
      </c>
    </row>
    <row r="5" customFormat="false" ht="15" hidden="false" customHeight="false" outlineLevel="0" collapsed="false">
      <c r="A5" s="5" t="s">
        <v>494</v>
      </c>
      <c r="B5" s="10" t="n">
        <f aca="false">Testes_100!D10</f>
        <v>124296147.26</v>
      </c>
      <c r="C5" s="5" t="s">
        <v>495</v>
      </c>
    </row>
    <row r="6" customFormat="false" ht="15" hidden="false" customHeight="false" outlineLevel="0" collapsed="false">
      <c r="A6" s="5" t="s">
        <v>12</v>
      </c>
      <c r="B6" s="10" t="n">
        <f aca="false">Desenho_MUS!B6</f>
        <v>303421730</v>
      </c>
      <c r="C6" s="5"/>
    </row>
    <row r="7" customFormat="false" ht="15" hidden="false" customHeight="false" outlineLevel="0" collapsed="false">
      <c r="A7" s="5" t="s">
        <v>496</v>
      </c>
      <c r="B7" s="10" t="n">
        <f aca="false">B6-B5</f>
        <v>179125582.74</v>
      </c>
      <c r="C7" s="5" t="s">
        <v>497</v>
      </c>
    </row>
    <row r="8" customFormat="false" ht="15" hidden="false" customHeight="false" outlineLevel="0" collapsed="false">
      <c r="A8" s="5" t="s">
        <v>498</v>
      </c>
      <c r="B8" s="9" t="n">
        <f aca="false">Desenho_MUS!B10</f>
        <v>2.99573227355399</v>
      </c>
      <c r="C8" s="5"/>
    </row>
    <row r="9" customFormat="false" ht="15" hidden="false" customHeight="false" outlineLevel="0" collapsed="false">
      <c r="A9" s="5" t="s">
        <v>499</v>
      </c>
      <c r="B9" s="6" t="n">
        <v>29379887051.8</v>
      </c>
      <c r="C9" s="5" t="s">
        <v>500</v>
      </c>
    </row>
    <row r="10" customFormat="false" ht="26.85" hidden="false" customHeight="false" outlineLevel="0" collapsed="false">
      <c r="A10" s="5" t="s">
        <v>501</v>
      </c>
      <c r="B10" s="17" t="n">
        <f aca="false">ROUNDUP(B9*B8/B7,0)</f>
        <v>492</v>
      </c>
      <c r="C10" s="5" t="s">
        <v>25</v>
      </c>
    </row>
    <row r="11" customFormat="false" ht="15" hidden="false" customHeight="false" outlineLevel="0" collapsed="false">
      <c r="A11" s="5" t="s">
        <v>502</v>
      </c>
      <c r="B11" s="10" t="n">
        <f aca="false">B9/B10</f>
        <v>59715217.5849594</v>
      </c>
      <c r="C11" s="5" t="s">
        <v>25</v>
      </c>
    </row>
    <row r="12" customFormat="false" ht="26.85" hidden="false" customHeight="false" outlineLevel="0" collapsed="false">
      <c r="A12" s="5" t="s">
        <v>503</v>
      </c>
      <c r="B12" s="16" t="n">
        <v>0</v>
      </c>
      <c r="C12" s="5" t="s">
        <v>504</v>
      </c>
    </row>
    <row r="13" customFormat="false" ht="15" hidden="false" customHeight="false" outlineLevel="0" collapsed="false">
      <c r="A13" s="5" t="s">
        <v>505</v>
      </c>
      <c r="B13" s="10" t="n">
        <f aca="false">B8*B11</f>
        <v>178890804.541562</v>
      </c>
      <c r="C13" s="5" t="s">
        <v>506</v>
      </c>
    </row>
    <row r="14" customFormat="false" ht="15" hidden="false" customHeight="false" outlineLevel="0" collapsed="false">
      <c r="A14" s="5" t="s">
        <v>507</v>
      </c>
      <c r="B14" s="10" t="n">
        <f aca="false">B5+B13</f>
        <v>303186951.801562</v>
      </c>
      <c r="C14" s="5"/>
    </row>
    <row r="15" customFormat="false" ht="39.55" hidden="false" customHeight="false" outlineLevel="0" collapsed="false">
      <c r="A15" s="5" t="s">
        <v>508</v>
      </c>
      <c r="B15" s="10" t="str">
        <f aca="false">IF(B14&lt;=B6,"&lt;= DT: base razoável para concluir (NBC TA 530 item 15)","&gt; DT")</f>
        <v>&lt;= DT: base razoável para concluir (NBC TA 530 item 15)</v>
      </c>
      <c r="C15" s="5"/>
    </row>
    <row r="16" customFormat="false" ht="15" hidden="false" customHeight="false" outlineLevel="0" collapsed="false">
      <c r="A16" s="5" t="s">
        <v>509</v>
      </c>
      <c r="B16" s="16" t="n">
        <v>492</v>
      </c>
      <c r="C1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511</v>
      </c>
      <c r="B4" s="4" t="s">
        <v>512</v>
      </c>
      <c r="C4" s="4" t="s">
        <v>513</v>
      </c>
      <c r="D4" s="4" t="s">
        <v>514</v>
      </c>
      <c r="E4" s="4" t="s">
        <v>515</v>
      </c>
      <c r="F4" s="4" t="s">
        <v>516</v>
      </c>
    </row>
    <row r="5" customFormat="false" ht="15" hidden="false" customHeight="false" outlineLevel="0" collapsed="false">
      <c r="A5" s="5" t="s">
        <v>517</v>
      </c>
      <c r="B5" s="6" t="n">
        <v>404562300</v>
      </c>
      <c r="C5" s="5"/>
      <c r="D5" s="5"/>
      <c r="E5" s="5"/>
      <c r="F5" s="5" t="s">
        <v>518</v>
      </c>
    </row>
    <row r="6" customFormat="false" ht="15" hidden="false" customHeight="false" outlineLevel="0" collapsed="false">
      <c r="A6" s="5" t="s">
        <v>519</v>
      </c>
      <c r="B6" s="6" t="n">
        <v>303421730</v>
      </c>
      <c r="C6" s="5"/>
      <c r="D6" s="5"/>
      <c r="E6" s="5"/>
      <c r="F6" s="5" t="s">
        <v>518</v>
      </c>
    </row>
    <row r="7" customFormat="false" ht="15" hidden="false" customHeight="false" outlineLevel="0" collapsed="false">
      <c r="A7" s="5" t="s">
        <v>520</v>
      </c>
      <c r="B7" s="6" t="n">
        <v>20228120</v>
      </c>
      <c r="C7" s="5"/>
      <c r="D7" s="5"/>
      <c r="E7" s="5"/>
      <c r="F7" s="5" t="s">
        <v>518</v>
      </c>
    </row>
    <row r="9" customFormat="false" ht="26.85" hidden="false" customHeight="false" outlineLevel="0" collapsed="false">
      <c r="A9" s="5" t="s">
        <v>521</v>
      </c>
      <c r="B9" s="15" t="n">
        <f aca="false">Testes_100!D5</f>
        <v>59975200.49</v>
      </c>
      <c r="C9" s="18" t="n">
        <f aca="false">B9/$B$7</f>
        <v>2.96494189722031</v>
      </c>
      <c r="D9" s="18" t="n">
        <f aca="false">B9/$B$6</f>
        <v>0.197662838749222</v>
      </c>
      <c r="E9" s="18" t="n">
        <f aca="false">B9/$B$5</f>
        <v>0.148247131504839</v>
      </c>
      <c r="F9" s="5" t="s">
        <v>522</v>
      </c>
    </row>
    <row r="10" customFormat="false" ht="15" hidden="false" customHeight="false" outlineLevel="0" collapsed="false">
      <c r="A10" s="5" t="s">
        <v>523</v>
      </c>
      <c r="B10" s="15" t="n">
        <f aca="false">Testes_100!D6</f>
        <v>56070250.89</v>
      </c>
      <c r="C10" s="18" t="n">
        <f aca="false">B10/$B$7</f>
        <v>2.77189629535518</v>
      </c>
      <c r="D10" s="18" t="n">
        <f aca="false">B10/$B$6</f>
        <v>0.184793128989147</v>
      </c>
      <c r="E10" s="18" t="n">
        <f aca="false">B10/$B$5</f>
        <v>0.138594849025725</v>
      </c>
      <c r="F10" s="5" t="s">
        <v>524</v>
      </c>
    </row>
    <row r="11" customFormat="false" ht="15" hidden="false" customHeight="false" outlineLevel="0" collapsed="false">
      <c r="A11" s="5" t="s">
        <v>525</v>
      </c>
      <c r="B11" s="15" t="n">
        <f aca="false">Testes_100!D7</f>
        <v>8250695.88</v>
      </c>
      <c r="C11" s="18" t="n">
        <f aca="false">B11/$B$7</f>
        <v>0.407882486360571</v>
      </c>
      <c r="D11" s="18" t="n">
        <f aca="false">B11/$B$6</f>
        <v>0.0271921720306585</v>
      </c>
      <c r="E11" s="18" t="n">
        <f aca="false">B11/$B$5</f>
        <v>0.0203941293590629</v>
      </c>
      <c r="F11" s="5" t="s">
        <v>524</v>
      </c>
    </row>
    <row r="12" customFormat="false" ht="15" hidden="false" customHeight="false" outlineLevel="0" collapsed="false">
      <c r="A12" s="5" t="s">
        <v>526</v>
      </c>
      <c r="B12" s="15" t="n">
        <f aca="false">Testes_100!D8</f>
        <v>-6811809.08</v>
      </c>
      <c r="C12" s="18" t="n">
        <f aca="false">B12/$B$7</f>
        <v>-0.336749489324762</v>
      </c>
      <c r="D12" s="18" t="n">
        <f aca="false">B12/$B$6</f>
        <v>-0.0224499711342362</v>
      </c>
      <c r="E12" s="18" t="n">
        <f aca="false">B12/$B$5</f>
        <v>-0.0168374786281371</v>
      </c>
      <c r="F12" s="5" t="s">
        <v>527</v>
      </c>
    </row>
    <row r="13" customFormat="false" ht="39.55" hidden="false" customHeight="false" outlineLevel="0" collapsed="false">
      <c r="A13" s="5" t="s">
        <v>528</v>
      </c>
      <c r="B13" s="15" t="n">
        <v>0</v>
      </c>
      <c r="C13" s="18" t="n">
        <f aca="false">B13/$B$7</f>
        <v>0</v>
      </c>
      <c r="D13" s="18" t="n">
        <f aca="false">B13/$B$6</f>
        <v>0</v>
      </c>
      <c r="E13" s="18" t="n">
        <f aca="false">B13/$B$5</f>
        <v>0</v>
      </c>
      <c r="F13" s="5" t="s">
        <v>529</v>
      </c>
    </row>
    <row r="14" customFormat="false" ht="26.85" hidden="false" customHeight="false" outlineLevel="0" collapsed="false">
      <c r="A14" s="12" t="s">
        <v>530</v>
      </c>
      <c r="B14" s="13" t="n">
        <f aca="false">SUM(B9:B13)</f>
        <v>117484338.18</v>
      </c>
      <c r="C14" s="19" t="n">
        <f aca="false">B14/$B$7</f>
        <v>5.80797118961129</v>
      </c>
      <c r="D14" s="19" t="n">
        <f aca="false">B14/$B$6</f>
        <v>0.387198168634791</v>
      </c>
      <c r="E14" s="19" t="n">
        <f aca="false">B14/$B$5</f>
        <v>0.290398631261489</v>
      </c>
      <c r="F14" s="12" t="s">
        <v>531</v>
      </c>
    </row>
    <row r="15" customFormat="false" ht="26.85" hidden="false" customHeight="false" outlineLevel="0" collapsed="false">
      <c r="A15" s="12" t="s">
        <v>532</v>
      </c>
      <c r="B15" s="13" t="n">
        <f aca="false">SUM(B9:B11)</f>
        <v>124296147.26</v>
      </c>
      <c r="C15" s="12"/>
      <c r="D15" s="19" t="n">
        <f aca="false">B15/$B$6</f>
        <v>0.409648139769027</v>
      </c>
      <c r="E15" s="12"/>
      <c r="F15" s="12" t="s">
        <v>533</v>
      </c>
    </row>
    <row r="16" customFormat="false" ht="15" hidden="false" customHeight="false" outlineLevel="0" collapsed="false">
      <c r="A16" s="12" t="s">
        <v>534</v>
      </c>
      <c r="B16" s="12" t="str">
        <f aca="false">IF(D15&gt;0.5,"SIM — reduzir execução para 60%","NÃO")</f>
        <v>NÃO</v>
      </c>
      <c r="C16" s="12"/>
      <c r="D16" s="12"/>
      <c r="E16" s="12"/>
      <c r="F16" s="12"/>
    </row>
    <row r="17" customFormat="false" ht="15" hidden="false" customHeight="false" outlineLevel="0" collapsed="false">
      <c r="A17" s="5" t="s">
        <v>535</v>
      </c>
      <c r="B17" s="15" t="n">
        <f aca="false">Ampliacao!B13</f>
        <v>178890804.541562</v>
      </c>
      <c r="C17" s="5"/>
      <c r="D17" s="18" t="n">
        <f aca="false">B17/$B$6</f>
        <v>0.589578091659953</v>
      </c>
      <c r="E17" s="5"/>
      <c r="F17" s="5" t="s">
        <v>536</v>
      </c>
    </row>
    <row r="18" customFormat="false" ht="15" hidden="false" customHeight="false" outlineLevel="0" collapsed="false">
      <c r="A18" s="12" t="s">
        <v>537</v>
      </c>
      <c r="B18" s="13" t="n">
        <f aca="false">B15+B17</f>
        <v>303186951.801562</v>
      </c>
      <c r="C18" s="12"/>
      <c r="D18" s="19" t="n">
        <f aca="false">B18/$B$6</f>
        <v>0.99922623142898</v>
      </c>
      <c r="E18" s="19" t="n">
        <f aca="false">B18/$B$5</f>
        <v>0.749419685921208</v>
      </c>
      <c r="F18" s="12" t="s">
        <v>538</v>
      </c>
    </row>
    <row r="20" customFormat="false" ht="15" hidden="false" customHeight="false" outlineLevel="0" collapsed="false">
      <c r="A20" s="5" t="s">
        <v>539</v>
      </c>
      <c r="B20" s="6" t="n">
        <v>8091246000</v>
      </c>
      <c r="C20" s="5"/>
      <c r="D20" s="5"/>
      <c r="E20" s="5"/>
      <c r="F20" s="5" t="s">
        <v>540</v>
      </c>
    </row>
    <row r="21" customFormat="false" ht="15" hidden="false" customHeight="false" outlineLevel="0" collapsed="false">
      <c r="A21" s="5" t="s">
        <v>541</v>
      </c>
      <c r="B21" s="10" t="n">
        <f aca="false">B14</f>
        <v>117484338.18</v>
      </c>
      <c r="C21" s="5"/>
      <c r="D21" s="5"/>
      <c r="E21" s="20" t="n">
        <f aca="false">B21/B20</f>
        <v>0.0145199315630745</v>
      </c>
      <c r="F21" s="5" t="s">
        <v>542</v>
      </c>
    </row>
    <row r="23" customFormat="false" ht="128.35" hidden="false" customHeight="false" outlineLevel="0" collapsed="false">
      <c r="A23" s="12" t="s">
        <v>543</v>
      </c>
      <c r="B23" s="12" t="str">
        <f aca="false">IF(B14&lt;B6,"Distorção líquida abaixo da execução e da global: não relevante isoladamente; comunicar à administração e solicitar correção (450 item 8)","Avaliar relevância")</f>
        <v>Distorção líquida abaixo da execução e da global: não relevante isoladamente; comunicar à administração e solicitar correção (450 item 8)</v>
      </c>
      <c r="C23" s="12"/>
      <c r="D23" s="12"/>
      <c r="E23" s="12"/>
      <c r="F2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544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4" t="s">
        <v>545</v>
      </c>
      <c r="B4" s="4" t="s">
        <v>546</v>
      </c>
      <c r="C4" s="4" t="s">
        <v>547</v>
      </c>
      <c r="D4" s="4" t="s">
        <v>548</v>
      </c>
      <c r="E4" s="4" t="s">
        <v>549</v>
      </c>
      <c r="F4" s="4" t="s">
        <v>550</v>
      </c>
      <c r="G4" s="4" t="s">
        <v>551</v>
      </c>
    </row>
    <row r="5" customFormat="false" ht="15" hidden="false" customHeight="false" outlineLevel="0" collapsed="false">
      <c r="A5" s="5" t="s">
        <v>552</v>
      </c>
      <c r="B5" s="11" t="n">
        <v>1000</v>
      </c>
      <c r="C5" s="11" t="n">
        <v>1000</v>
      </c>
      <c r="D5" s="11" t="n">
        <v>1000</v>
      </c>
      <c r="E5" s="11" t="n">
        <v>0</v>
      </c>
      <c r="F5" s="11" t="n">
        <v>0</v>
      </c>
      <c r="G5" s="18" t="n">
        <f aca="false">D5/C5</f>
        <v>1</v>
      </c>
    </row>
    <row r="6" customFormat="false" ht="15" hidden="false" customHeight="false" outlineLevel="0" collapsed="false">
      <c r="A6" s="5" t="s">
        <v>553</v>
      </c>
      <c r="B6" s="11" t="n">
        <v>1000</v>
      </c>
      <c r="C6" s="11" t="n">
        <v>1000</v>
      </c>
      <c r="D6" s="11" t="n">
        <v>1000</v>
      </c>
      <c r="E6" s="11" t="n">
        <v>0</v>
      </c>
      <c r="F6" s="11" t="n">
        <v>0</v>
      </c>
      <c r="G6" s="18" t="n">
        <f aca="false">D6/C6</f>
        <v>1</v>
      </c>
    </row>
    <row r="7" customFormat="false" ht="15" hidden="false" customHeight="false" outlineLevel="0" collapsed="false">
      <c r="A7" s="5" t="s">
        <v>554</v>
      </c>
      <c r="B7" s="11" t="n">
        <v>1000</v>
      </c>
      <c r="C7" s="11" t="n">
        <v>1000</v>
      </c>
      <c r="D7" s="11" t="n">
        <v>1000</v>
      </c>
      <c r="E7" s="11" t="n">
        <v>0</v>
      </c>
      <c r="F7" s="11" t="n">
        <v>0</v>
      </c>
      <c r="G7" s="18" t="n">
        <f aca="false">D7/C7</f>
        <v>1</v>
      </c>
    </row>
    <row r="8" customFormat="false" ht="15" hidden="false" customHeight="false" outlineLevel="0" collapsed="false">
      <c r="A8" s="5" t="s">
        <v>555</v>
      </c>
      <c r="B8" s="11" t="n">
        <v>1000</v>
      </c>
      <c r="C8" s="11" t="n">
        <v>1000</v>
      </c>
      <c r="D8" s="11" t="n">
        <v>1000</v>
      </c>
      <c r="E8" s="11" t="n">
        <v>0</v>
      </c>
      <c r="F8" s="11" t="n">
        <v>0</v>
      </c>
      <c r="G8" s="18" t="n">
        <f aca="false">D8/C8</f>
        <v>1</v>
      </c>
    </row>
    <row r="9" customFormat="false" ht="15" hidden="false" customHeight="false" outlineLevel="0" collapsed="false">
      <c r="A9" s="5" t="s">
        <v>556</v>
      </c>
      <c r="B9" s="11" t="n">
        <v>996</v>
      </c>
      <c r="C9" s="11" t="n">
        <v>1000</v>
      </c>
      <c r="D9" s="11" t="n">
        <v>996</v>
      </c>
      <c r="E9" s="11" t="n">
        <v>4</v>
      </c>
      <c r="F9" s="11" t="n">
        <v>0</v>
      </c>
      <c r="G9" s="18" t="n">
        <f aca="false">D9/C9</f>
        <v>0.996</v>
      </c>
    </row>
    <row r="11" customFormat="false" ht="26.85" hidden="false" customHeight="false" outlineLevel="0" collapsed="false">
      <c r="A11" s="5" t="s">
        <v>557</v>
      </c>
      <c r="B11" s="11" t="n">
        <v>497</v>
      </c>
      <c r="C11" s="5" t="n">
        <v>1000</v>
      </c>
      <c r="D11" s="5"/>
      <c r="E11" s="5"/>
      <c r="F11" s="5"/>
      <c r="G11" s="18" t="n">
        <f aca="false">B11/C11</f>
        <v>0.497</v>
      </c>
    </row>
    <row r="13" customFormat="false" ht="26.85" hidden="false" customHeight="false" outlineLevel="0" collapsed="false">
      <c r="A13" s="4" t="s">
        <v>558</v>
      </c>
      <c r="B13" s="4" t="s">
        <v>559</v>
      </c>
      <c r="C13" s="4" t="s">
        <v>560</v>
      </c>
      <c r="D13" s="4" t="s">
        <v>561</v>
      </c>
      <c r="E13" s="4"/>
      <c r="F13" s="4"/>
      <c r="G13" s="4"/>
    </row>
    <row r="14" customFormat="false" ht="15" hidden="false" customHeight="false" outlineLevel="0" collapsed="false">
      <c r="A14" s="5" t="s">
        <v>562</v>
      </c>
      <c r="B14" s="6" t="n">
        <v>59975200.49</v>
      </c>
      <c r="C14" s="6" t="n">
        <v>59975200.49</v>
      </c>
      <c r="D14" s="10" t="n">
        <f aca="false">B14-C14</f>
        <v>0</v>
      </c>
      <c r="E14" s="5"/>
      <c r="F14" s="5"/>
      <c r="G14" s="5"/>
    </row>
    <row r="15" customFormat="false" ht="15" hidden="false" customHeight="false" outlineLevel="0" collapsed="false">
      <c r="A15" s="5" t="s">
        <v>563</v>
      </c>
      <c r="B15" s="6" t="n">
        <v>56070250.89</v>
      </c>
      <c r="C15" s="6" t="n">
        <v>56070250.89</v>
      </c>
      <c r="D15" s="10" t="n">
        <f aca="false">B15-C15</f>
        <v>0</v>
      </c>
      <c r="E15" s="5"/>
      <c r="F15" s="5"/>
      <c r="G15" s="5"/>
    </row>
    <row r="16" customFormat="false" ht="15" hidden="false" customHeight="false" outlineLevel="0" collapsed="false">
      <c r="A16" s="5" t="s">
        <v>564</v>
      </c>
      <c r="B16" s="6" t="n">
        <v>8250695.88</v>
      </c>
      <c r="C16" s="6" t="n">
        <v>8250695.88</v>
      </c>
      <c r="D16" s="10" t="n">
        <f aca="false">B16-C16</f>
        <v>0</v>
      </c>
      <c r="E16" s="5"/>
      <c r="F16" s="5"/>
      <c r="G16" s="5"/>
    </row>
    <row r="17" customFormat="false" ht="26.85" hidden="false" customHeight="false" outlineLevel="0" collapsed="false">
      <c r="A17" s="5" t="s">
        <v>565</v>
      </c>
      <c r="B17" s="6" t="n">
        <v>-6811809.08</v>
      </c>
      <c r="C17" s="6" t="n">
        <v>-6811809.1</v>
      </c>
      <c r="D17" s="10" t="n">
        <f aca="false">B17-C17</f>
        <v>0.0199999995529652</v>
      </c>
      <c r="E17" s="5"/>
      <c r="F17" s="5"/>
      <c r="G17" s="5"/>
    </row>
    <row r="18" customFormat="false" ht="15" hidden="false" customHeight="false" outlineLevel="0" collapsed="false">
      <c r="A18" s="5" t="s">
        <v>566</v>
      </c>
      <c r="B18" s="6" t="n">
        <v>0</v>
      </c>
      <c r="C18" s="6" t="n">
        <v>0</v>
      </c>
      <c r="D18" s="10" t="n">
        <f aca="false">B18-C18</f>
        <v>0</v>
      </c>
      <c r="E18" s="5"/>
      <c r="F18" s="5"/>
      <c r="G18" s="5"/>
    </row>
    <row r="19" customFormat="false" ht="26.85" hidden="false" customHeight="false" outlineLevel="0" collapsed="false">
      <c r="A19" s="12" t="s">
        <v>446</v>
      </c>
      <c r="B19" s="13" t="n">
        <f aca="false">SUM(B14:B18)</f>
        <v>117484338.18</v>
      </c>
      <c r="C19" s="13" t="n">
        <f aca="false">SUM(C14:C18)</f>
        <v>117484338.16</v>
      </c>
      <c r="D19" s="13" t="n">
        <f aca="false">B19-C19</f>
        <v>0.0200000107288361</v>
      </c>
      <c r="E19" s="12"/>
      <c r="F19" s="12"/>
      <c r="G19" s="12"/>
    </row>
    <row r="21" customFormat="false" ht="15" hidden="false" customHeight="false" outlineLevel="0" collapsed="false">
      <c r="A21" s="4" t="s">
        <v>567</v>
      </c>
      <c r="B21" s="4" t="s">
        <v>512</v>
      </c>
      <c r="C21" s="4"/>
      <c r="D21" s="4"/>
      <c r="E21" s="4"/>
      <c r="F21" s="4"/>
      <c r="G21" s="4"/>
    </row>
    <row r="22" customFormat="false" ht="26.85" hidden="false" customHeight="false" outlineLevel="0" collapsed="false">
      <c r="A22" s="5" t="s">
        <v>568</v>
      </c>
      <c r="B22" s="6" t="n">
        <v>124296147.26</v>
      </c>
      <c r="C22" s="5"/>
      <c r="D22" s="5"/>
      <c r="E22" s="5"/>
      <c r="F22" s="5"/>
      <c r="G22" s="5"/>
    </row>
    <row r="23" customFormat="false" ht="26.85" hidden="false" customHeight="false" outlineLevel="0" collapsed="false">
      <c r="A23" s="5" t="s">
        <v>569</v>
      </c>
      <c r="B23" s="6" t="n">
        <v>307777859.74</v>
      </c>
      <c r="C23" s="5"/>
      <c r="D23" s="5"/>
      <c r="E23" s="5"/>
      <c r="F23" s="5"/>
      <c r="G23" s="5"/>
    </row>
    <row r="24" customFormat="false" ht="26.85" hidden="false" customHeight="false" outlineLevel="0" collapsed="false">
      <c r="A24" s="5" t="s">
        <v>570</v>
      </c>
      <c r="B24" s="6" t="n">
        <v>704312623.78</v>
      </c>
      <c r="C24" s="5"/>
      <c r="D24" s="5"/>
      <c r="E24" s="5"/>
      <c r="F24" s="5"/>
      <c r="G24" s="5"/>
    </row>
    <row r="25" customFormat="false" ht="26.85" hidden="false" customHeight="false" outlineLevel="0" collapsed="false">
      <c r="A25" s="5" t="s">
        <v>571</v>
      </c>
      <c r="B25" s="6" t="n">
        <v>303186951.8</v>
      </c>
      <c r="C25" s="5"/>
      <c r="D25" s="5"/>
      <c r="E25" s="5"/>
      <c r="F25" s="5"/>
      <c r="G25" s="5"/>
    </row>
    <row r="26" customFormat="false" ht="26.85" hidden="false" customHeight="false" outlineLevel="0" collapsed="false">
      <c r="A26" s="5" t="s">
        <v>572</v>
      </c>
      <c r="B26" s="10" t="n">
        <f aca="false">B23-B22</f>
        <v>183481712.48</v>
      </c>
      <c r="C26" s="5"/>
      <c r="D26" s="5"/>
      <c r="E26" s="5"/>
      <c r="F26" s="5"/>
      <c r="G26" s="5"/>
    </row>
    <row r="27" customFormat="false" ht="15" hidden="false" customHeight="false" outlineLevel="0" collapsed="false">
      <c r="A27" s="5" t="s">
        <v>573</v>
      </c>
      <c r="B27" s="5" t="str">
        <f aca="false">IF(B24&gt;=B22,"SIM","NÃO")</f>
        <v>SIM</v>
      </c>
      <c r="C27" s="5"/>
      <c r="D27" s="5"/>
      <c r="E27" s="5"/>
      <c r="F27" s="5"/>
      <c r="G27" s="5"/>
    </row>
    <row r="28" customFormat="false" ht="26.85" hidden="false" customHeight="false" outlineLevel="0" collapsed="false">
      <c r="A28" s="5" t="s">
        <v>574</v>
      </c>
      <c r="B28" s="6" t="n">
        <v>29506134661.84</v>
      </c>
      <c r="C28" s="5"/>
      <c r="D28" s="5"/>
      <c r="E28" s="5"/>
      <c r="F28" s="5"/>
      <c r="G28" s="5"/>
    </row>
    <row r="29" customFormat="false" ht="26.85" hidden="false" customHeight="false" outlineLevel="0" collapsed="false">
      <c r="A29" s="5" t="s">
        <v>575</v>
      </c>
      <c r="B29" s="10" t="n">
        <f aca="false">29623619000-C19-B28</f>
        <v>0</v>
      </c>
      <c r="C29" s="5"/>
      <c r="D29" s="5"/>
      <c r="E29" s="5"/>
      <c r="F29" s="5"/>
      <c r="G29" s="5" t="s">
        <v>576</v>
      </c>
    </row>
    <row r="31" customFormat="false" ht="64.9" hidden="false" customHeight="false" outlineLevel="0" collapsed="false">
      <c r="A31" s="5" t="s">
        <v>577</v>
      </c>
      <c r="B31" s="5"/>
      <c r="C31" s="5"/>
      <c r="D31" s="5"/>
      <c r="E31" s="5"/>
      <c r="F31" s="5"/>
      <c r="G3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578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579</v>
      </c>
      <c r="B4" s="4" t="s">
        <v>580</v>
      </c>
    </row>
    <row r="5" customFormat="false" ht="15" hidden="false" customHeight="false" outlineLevel="0" collapsed="false">
      <c r="A5" s="5" t="s">
        <v>581</v>
      </c>
      <c r="B5" s="5" t="s">
        <v>582</v>
      </c>
    </row>
    <row r="6" customFormat="false" ht="15" hidden="false" customHeight="false" outlineLevel="0" collapsed="false">
      <c r="A6" s="5" t="s">
        <v>583</v>
      </c>
      <c r="B6" s="5" t="s">
        <v>584</v>
      </c>
    </row>
    <row r="7" customFormat="false" ht="26.85" hidden="false" customHeight="false" outlineLevel="0" collapsed="false">
      <c r="A7" s="5" t="s">
        <v>585</v>
      </c>
      <c r="B7" s="5" t="s">
        <v>586</v>
      </c>
    </row>
    <row r="8" customFormat="false" ht="15" hidden="false" customHeight="false" outlineLevel="0" collapsed="false">
      <c r="A8" s="5" t="s">
        <v>587</v>
      </c>
      <c r="B8" s="5" t="s">
        <v>588</v>
      </c>
    </row>
    <row r="9" customFormat="false" ht="26.85" hidden="false" customHeight="false" outlineLevel="0" collapsed="false">
      <c r="A9" s="5" t="s">
        <v>589</v>
      </c>
      <c r="B9" s="5" t="s">
        <v>590</v>
      </c>
    </row>
    <row r="10" customFormat="false" ht="26.85" hidden="false" customHeight="false" outlineLevel="0" collapsed="false">
      <c r="A10" s="5" t="s">
        <v>591</v>
      </c>
      <c r="B10" s="5" t="s">
        <v>592</v>
      </c>
    </row>
    <row r="11" customFormat="false" ht="26.85" hidden="false" customHeight="false" outlineLevel="0" collapsed="false">
      <c r="A11" s="5" t="s">
        <v>593</v>
      </c>
      <c r="B11" s="5" t="s">
        <v>594</v>
      </c>
    </row>
    <row r="12" customFormat="false" ht="26.85" hidden="false" customHeight="false" outlineLevel="0" collapsed="false">
      <c r="A12" s="5" t="s">
        <v>595</v>
      </c>
      <c r="B12" s="5" t="s">
        <v>596</v>
      </c>
    </row>
    <row r="13" customFormat="false" ht="26.85" hidden="false" customHeight="false" outlineLevel="0" collapsed="false">
      <c r="A13" s="5" t="s">
        <v>597</v>
      </c>
      <c r="B13" s="5" t="s">
        <v>598</v>
      </c>
    </row>
    <row r="14" customFormat="false" ht="26.85" hidden="false" customHeight="false" outlineLevel="0" collapsed="false">
      <c r="A14" s="5" t="s">
        <v>599</v>
      </c>
      <c r="B14" s="5" t="s">
        <v>600</v>
      </c>
    </row>
    <row r="15" customFormat="false" ht="26.85" hidden="false" customHeight="false" outlineLevel="0" collapsed="false">
      <c r="A15" s="5" t="s">
        <v>601</v>
      </c>
      <c r="B15" s="5" t="s">
        <v>602</v>
      </c>
    </row>
    <row r="16" customFormat="false" ht="15" hidden="false" customHeight="false" outlineLevel="0" collapsed="false">
      <c r="A16" s="5" t="s">
        <v>603</v>
      </c>
      <c r="B16" s="5" t="s">
        <v>604</v>
      </c>
    </row>
    <row r="17" customFormat="false" ht="26.85" hidden="false" customHeight="false" outlineLevel="0" collapsed="false">
      <c r="A17" s="5" t="s">
        <v>605</v>
      </c>
      <c r="B17" s="5" t="s">
        <v>606</v>
      </c>
    </row>
    <row r="18" customFormat="false" ht="26.85" hidden="false" customHeight="false" outlineLevel="0" collapsed="false">
      <c r="A18" s="5" t="s">
        <v>607</v>
      </c>
      <c r="B18" s="5" t="s">
        <v>608</v>
      </c>
    </row>
    <row r="19" customFormat="false" ht="26.85" hidden="false" customHeight="false" outlineLevel="0" collapsed="false">
      <c r="A19" s="5" t="s">
        <v>609</v>
      </c>
      <c r="B19" s="5" t="s">
        <v>610</v>
      </c>
    </row>
    <row r="20" customFormat="false" ht="26.85" hidden="false" customHeight="false" outlineLevel="0" collapsed="false">
      <c r="A20" s="5" t="s">
        <v>611</v>
      </c>
      <c r="B20" s="5" t="s">
        <v>612</v>
      </c>
    </row>
    <row r="21" customFormat="false" ht="26.85" hidden="false" customHeight="false" outlineLevel="0" collapsed="false">
      <c r="A21" s="5" t="s">
        <v>613</v>
      </c>
      <c r="B21" s="5" t="s">
        <v>614</v>
      </c>
    </row>
    <row r="22" customFormat="false" ht="26.85" hidden="false" customHeight="false" outlineLevel="0" collapsed="false">
      <c r="A22" s="5" t="s">
        <v>615</v>
      </c>
      <c r="B22" s="5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2026-10-23T22:58:40Z</dcterms:created>
  <dc:creator>openpyxl</dc:creator>
  <dc:description/>
  <dc:language>en-US</dc:language>
  <cp:lastModifiedBy/>
  <dcterms:modified xsi:type="dcterms:W3CDTF">2026-10-23T22:58:40Z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