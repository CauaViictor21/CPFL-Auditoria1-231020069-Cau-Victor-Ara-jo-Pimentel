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_me" sheetId="1" state="visible" r:id="rId3"/>
    <sheet name="Conciliacao" sheetId="2" state="visible" r:id="rId4"/>
    <sheet name="Distrib_Categoria" sheetId="3" state="visible" r:id="rId5"/>
    <sheet name="Dicionario" sheetId="4" state="visible" r:id="rId6"/>
    <sheet name="Verificacoes" sheetId="5" state="visible" r:id="rId7"/>
    <sheet name="Execucao" sheetId="6" state="visible" r:id="rId8"/>
    <sheet name="Previa_1000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<sst xmlns="http://schemas.openxmlformats.org/spreadsheetml/2006/main" count="8299" uniqueCount="3154">
  <si>
    <t xml:space="preserve">Bloco 07 — Conciliação e verificações da base sintética v2 (ativo financeiro da concessão)</t>
  </si>
  <si>
    <t xml:space="preserve">Base SINTÉTICA para fins didáticos — não são dados internos da CPFL Energia S.A. Preparado com apoio de IA em 23/10/2026.</t>
  </si>
  <si>
    <t xml:space="preserve">Conteúdo: Conciliacao (base × saldos publicados), Distrib_Categoria (abertura), Dicionario (definitivo), Verificacoes (integridade), Execucao (ambiente, comandos, hashes, reprodução em pasta limpa), Previa_1000 (primeiras 1.000 linhas).</t>
  </si>
  <si>
    <t xml:space="preserve">Legenda de cores: texto azul com fundo amarelo = dado de entrada (saldo publicado ou total calculado pelo verificador, com fonte); preto = fórmula; verde = vínculo a outra aba.</t>
  </si>
  <si>
    <t xml:space="preserve">A base integral (501.000 linhas) está em CPFL_SINTETICA_Base_AFC_2025_registrada.csv.gz; não é carregada nesta planilha.</t>
  </si>
  <si>
    <t xml:space="preserve">Os arquivos de referência sem erros, registro de erros e ponte estão em pasta reservada e NÃO foram lidos neste bloco; só os hashes estão registrados (aba Execucao). Serão abertos após o congelamento dos testes do Bloco 08.</t>
  </si>
  <si>
    <t xml:space="preserve">Modalidade: Simulado para fins didáticos (base). Os saldos por distribuidora são reais (fontes na aba Conciliacao).</t>
  </si>
  <si>
    <t xml:space="preserve">Conciliação da base registrada com os saldos publicados (31/12/2025)</t>
  </si>
  <si>
    <t xml:space="preserve">Distribuidora</t>
  </si>
  <si>
    <t xml:space="preserve">Saldo publicado (R$ mil)</t>
  </si>
  <si>
    <t xml:space="preserve">Saldo publicado (R$) = mil × 1.000</t>
  </si>
  <si>
    <t xml:space="preserve">Total da base (R$)</t>
  </si>
  <si>
    <t xml:space="preserve">Diferença (R$)</t>
  </si>
  <si>
    <t xml:space="preserve">Linhas na base</t>
  </si>
  <si>
    <t xml:space="preserve">Fonte do saldo publicado</t>
  </si>
  <si>
    <t xml:space="preserve">CPFL Paulista</t>
  </si>
  <si>
    <t xml:space="preserve">DFs Anuais Completas CPFL Paulista 2025, nota 11, p. impressa 29 (fisica 39)</t>
  </si>
  <si>
    <t xml:space="preserve">RGE</t>
  </si>
  <si>
    <t xml:space="preserve">DFs Anuais Completas RGE 2025, nota 11, p. impressa 31 (fisica 41)</t>
  </si>
  <si>
    <t xml:space="preserve">CPFL Piratininga</t>
  </si>
  <si>
    <t xml:space="preserve">DFs Anuais Completas CPFL Piratininga 2025, nota 11, p. impressa 29</t>
  </si>
  <si>
    <t xml:space="preserve">CPFL Santa Cruz</t>
  </si>
  <si>
    <t xml:space="preserve">Derivado por diferenca: consolidado DF25 (p. 34 e nota 11 p. 68) menos as tres distribuidoras acima; sem DF propria no Drive</t>
  </si>
  <si>
    <t xml:space="preserve">Total das distribuidoras</t>
  </si>
  <si>
    <t xml:space="preserve">Saldo consolidado (BP)</t>
  </si>
  <si>
    <t xml:space="preserve">DF25 CPFL Energia, BP p. fisica 34 (impressa 2) e nota 11 p. fisica 68 (impressa 36)</t>
  </si>
  <si>
    <t xml:space="preserve">Diferença distribuidoras − consolidado</t>
  </si>
  <si>
    <t xml:space="preserve">Deve ser zero (Santa Cruz derivada por diferença)</t>
  </si>
  <si>
    <t xml:space="preserve">Diferença base − BP consolidado (R$)</t>
  </si>
  <si>
    <t xml:space="preserve">Critério: R$ 0,00</t>
  </si>
  <si>
    <t xml:space="preserve">Ponte de escala</t>
  </si>
  <si>
    <t xml:space="preserve">R$ mil × 1.000 = R$. Base em reais com 2 casas; somas feitas em centavos inteiros pelo verificador; arredondamento por maior resto (≤ 1 centavo por linha).</t>
  </si>
  <si>
    <t xml:space="preserve">Prova da Santa Cruz (R$ mil)</t>
  </si>
  <si>
    <t xml:space="preserve">Valor</t>
  </si>
  <si>
    <t xml:space="preserve">Fonte</t>
  </si>
  <si>
    <t xml:space="preserve">Saldo 2024 consolidado</t>
  </si>
  <si>
    <t xml:space="preserve">DF25 nota 11 p. 68</t>
  </si>
  <si>
    <t xml:space="preserve">(−) Paulista 2024</t>
  </si>
  <si>
    <t xml:space="preserve">DF Paulista nota 11 p. 29</t>
  </si>
  <si>
    <t xml:space="preserve">(−) RGE 2024</t>
  </si>
  <si>
    <t xml:space="preserve">DF RGE nota 11 p. 31</t>
  </si>
  <si>
    <t xml:space="preserve">(−) Piratininga 2024</t>
  </si>
  <si>
    <t xml:space="preserve">DF Piratininga nota 11 p. 29</t>
  </si>
  <si>
    <t xml:space="preserve">Santa Cruz 2024 (por diferença)</t>
  </si>
  <si>
    <t xml:space="preserve">Cálculo</t>
  </si>
  <si>
    <t xml:space="preserve">(+) Ajuste ao valor justo — consolidado menos Paulista, RGE e Piratininga</t>
  </si>
  <si>
    <t xml:space="preserve">DF25 nota 11 p. 68; notas 11 das três DFs individuais</t>
  </si>
  <si>
    <t xml:space="preserve">(+) Transferência do ativo contratual — consolidado menos Paulista, RGE e Piratininga</t>
  </si>
  <si>
    <t xml:space="preserve">(−) Transferência para o intangível — consolidado menos Paulista, RGE e Piratininga</t>
  </si>
  <si>
    <t xml:space="preserve">(−) Baixas — consolidado menos Paulista, RGE e Piratininga</t>
  </si>
  <si>
    <t xml:space="preserve">Santa Cruz 2025 reconstruída pela movimentação</t>
  </si>
  <si>
    <t xml:space="preserve">Diferença vs. saldo usado (435.548)</t>
  </si>
  <si>
    <t xml:space="preserve">Esperado ±1 (arredondamento, DF25 nota 2.4 p. 46)</t>
  </si>
  <si>
    <t xml:space="preserve">Abertura da base registrada por distribuidora e categoria</t>
  </si>
  <si>
    <t xml:space="preserve">Categoria cadastrada</t>
  </si>
  <si>
    <t xml:space="preserve">Linhas</t>
  </si>
  <si>
    <t xml:space="preserve">Total (R$)</t>
  </si>
  <si>
    <t xml:space="preserve">% do total</t>
  </si>
  <si>
    <t xml:space="preserve">Redes de distribuicao</t>
  </si>
  <si>
    <t xml:space="preserve">Transformadores</t>
  </si>
  <si>
    <t xml:space="preserve">Postes e estruturas</t>
  </si>
  <si>
    <t xml:space="preserve">Medidores</t>
  </si>
  <si>
    <t xml:space="preserve">Subestacoes</t>
  </si>
  <si>
    <t xml:space="preserve">Total</t>
  </si>
  <si>
    <t xml:space="preserve">Confere com Conciliacao (deve ser 0)</t>
  </si>
  <si>
    <t xml:space="preserve">Resumo por categoria</t>
  </si>
  <si>
    <t xml:space="preserve">Dicionário de dados definitivo — base sintética v2</t>
  </si>
  <si>
    <t xml:space="preserve">Campo</t>
  </si>
  <si>
    <t xml:space="preserve">Tipo / formato</t>
  </si>
  <si>
    <t xml:space="preserve">Definição e domínio</t>
  </si>
  <si>
    <t xml:space="preserve">Natureza</t>
  </si>
  <si>
    <t xml:space="preserve">id_registro</t>
  </si>
  <si>
    <t xml:space="preserve">texto</t>
  </si>
  <si>
    <t xml:space="preserve">Chave primária. AFC-SIM-0000001 a AFC-SIM-0501000, atribuída após embaralhamento (não revela origem nem erro).</t>
  </si>
  <si>
    <t xml:space="preserve">Sintético</t>
  </si>
  <si>
    <t xml:space="preserve">id_bem_tecnico</t>
  </si>
  <si>
    <t xml:space="preserve">BEM-SIM-nnnnnnn. Identifica o bem físico; deveria ser único. Repetição = indício de duplicidade cadastral.</t>
  </si>
  <si>
    <t xml:space="preserve">distribuidora</t>
  </si>
  <si>
    <t xml:space="preserve">CPFL Paulista | RGE | CPFL Piratininga | CPFL Santa Cruz. Linhas proporcionais ao saldo publicado.</t>
  </si>
  <si>
    <t xml:space="preserve">Nome real; alocação sintética</t>
  </si>
  <si>
    <t xml:space="preserve">categoria_cadastrada</t>
  </si>
  <si>
    <t xml:space="preserve">Redes de distribuicao | Transformadores | Postes e estruturas | Medidores | Subestacoes (sem acento no arquivo).</t>
  </si>
  <si>
    <t xml:space="preserve">data_incorporacao</t>
  </si>
  <si>
    <t xml:space="preserve">data AAAA-MM-DD</t>
  </si>
  <si>
    <t xml:space="preserve">De max(1985; 2025 − vida útil + 1) a 2025; dia 1–28.</t>
  </si>
  <si>
    <t xml:space="preserve">vnr_base_simulado_rs</t>
  </si>
  <si>
    <t xml:space="preserve">decimal (2 casas), R$</t>
  </si>
  <si>
    <t xml:space="preserve">VNR unitário da categoria × U(0,35; 1,75). Não é VNR homologado pela ANEEL.</t>
  </si>
  <si>
    <t xml:space="preserve">fator_atualizacao_simulado</t>
  </si>
  <si>
    <t xml:space="preserve">decimal (4 casas)</t>
  </si>
  <si>
    <t xml:space="preserve">U(1,00; 1,30). Substituto didático do IPCA acumulado desde a avaliação (DF25 nota 4 p. 59).</t>
  </si>
  <si>
    <t xml:space="preserve">fator_residual_simulado</t>
  </si>
  <si>
    <t xml:space="preserve">1 − idade/vida útil da categoria verdadeira (mínimo 0,0100). Idade = (31/12/2025 − data de incorporação)/365,25.</t>
  </si>
  <si>
    <t xml:space="preserve">Sintético, dependente</t>
  </si>
  <si>
    <t xml:space="preserve">status_cadastral</t>
  </si>
  <si>
    <t xml:space="preserve">ATIVO | BAIXADO.</t>
  </si>
  <si>
    <t xml:space="preserve">data_baixa</t>
  </si>
  <si>
    <t xml:space="preserve">data ou vazio</t>
  </si>
  <si>
    <t xml:space="preserve">Vazio quando ATIVO (vazio justificado); data de 2025 quando BAIXADO.</t>
  </si>
  <si>
    <t xml:space="preserve">valor_registrado_rs</t>
  </si>
  <si>
    <t xml:space="preserve">SALDO em 31/12/2025 (estoque, não fluxo) = VNR × fator × residual × fator de escala da distribuidora, arredondado ao centavo por maior resto.</t>
  </si>
  <si>
    <t xml:space="preserve">Sintético; total conciliado</t>
  </si>
  <si>
    <t xml:space="preserve">data_base</t>
  </si>
  <si>
    <t xml:space="preserve">data</t>
  </si>
  <si>
    <t xml:space="preserve">2025-12-31 em todas as linhas.</t>
  </si>
  <si>
    <t xml:space="preserve">Constante</t>
  </si>
  <si>
    <t xml:space="preserve">origem_dados</t>
  </si>
  <si>
    <t xml:space="preserve">SINTETICO em todas as linhas.</t>
  </si>
  <si>
    <t xml:space="preserve">Rótulo obrigatório</t>
  </si>
  <si>
    <t xml:space="preserve">Categoria</t>
  </si>
  <si>
    <t xml:space="preserve">Peso nas linhas</t>
  </si>
  <si>
    <t xml:space="preserve">VNR unitário base (R$) / vida útil (anos)</t>
  </si>
  <si>
    <t xml:space="preserve">Origem</t>
  </si>
  <si>
    <t xml:space="preserve">52.000 / 30</t>
  </si>
  <si>
    <t xml:space="preserve">Arbitrado (peso e VNR da etapa 1; vida útil v2)</t>
  </si>
  <si>
    <t xml:space="preserve">98.000 / 24</t>
  </si>
  <si>
    <t xml:space="preserve">19.000 / 36</t>
  </si>
  <si>
    <t xml:space="preserve">5.800 / 15</t>
  </si>
  <si>
    <t xml:space="preserve">1.250.000 / 42</t>
  </si>
  <si>
    <t xml:space="preserve">Relatório de verificações de integridade (leitura do arquivo salvo)</t>
  </si>
  <si>
    <t xml:space="preserve">Ref.</t>
  </si>
  <si>
    <t xml:space="preserve">Verificação</t>
  </si>
  <si>
    <t xml:space="preserve">Resultado</t>
  </si>
  <si>
    <t xml:space="preserve">Esperado</t>
  </si>
  <si>
    <t xml:space="preserve">Classificação</t>
  </si>
  <si>
    <t xml:space="preserve">V01</t>
  </si>
  <si>
    <t xml:space="preserve">Cabeçalho = 13 campos do dicionário</t>
  </si>
  <si>
    <t xml:space="preserve">OK</t>
  </si>
  <si>
    <t xml:space="preserve">Integridade de geração</t>
  </si>
  <si>
    <t xml:space="preserve">V02</t>
  </si>
  <si>
    <t xml:space="preserve">Linhas de dados (sem cabeçalho)</t>
  </si>
  <si>
    <t xml:space="preserve">V03</t>
  </si>
  <si>
    <t xml:space="preserve">IDs de registro únicos</t>
  </si>
  <si>
    <t xml:space="preserve">V04</t>
  </si>
  <si>
    <t xml:space="preserve">Falhas de formato, domínio, datas, precisão, intervalos (F01–F16)</t>
  </si>
  <si>
    <t xml:space="preserve">V05</t>
  </si>
  <si>
    <t xml:space="preserve">Campos vazios fora de data_baixa</t>
  </si>
  <si>
    <t xml:space="preserve">V06</t>
  </si>
  <si>
    <t xml:space="preserve">data_baixa vazia (ATIVO)</t>
  </si>
  <si>
    <t xml:space="preserve">Vazio justificado</t>
  </si>
  <si>
    <t xml:space="preserve">V07</t>
  </si>
  <si>
    <t xml:space="preserve">Total da base − saldo do BP (R$)</t>
  </si>
  <si>
    <t xml:space="preserve">Conciliação</t>
  </si>
  <si>
    <t xml:space="preserve">V08</t>
  </si>
  <si>
    <t xml:space="preserve">Diferenças por distribuidora (soma dos módulos, R$)</t>
  </si>
  <si>
    <t xml:space="preserve">V09</t>
  </si>
  <si>
    <t xml:space="preserve">Mediana de valor/(VNR×fator×residual) ≈ fator de escala (máx. desvio absoluto)</t>
  </si>
  <si>
    <t xml:space="preserve">&lt; 0,001</t>
  </si>
  <si>
    <t xml:space="preserve">Consistência econômica agregada</t>
  </si>
  <si>
    <t xml:space="preserve">V10</t>
  </si>
  <si>
    <t xml:space="preserve">id_bem_tecnico repetidos (pares)</t>
  </si>
  <si>
    <t xml:space="preserve">Exceção prevista no desenho</t>
  </si>
  <si>
    <t xml:space="preserve">EXCEÇÃO INTENCIONAL — investigar no PT 530 (não é falha de geração)</t>
  </si>
  <si>
    <t xml:space="preserve">V11</t>
  </si>
  <si>
    <t xml:space="preserve">Registros BAIXADO com valor positivo</t>
  </si>
  <si>
    <t xml:space="preserve">EXCEÇÃO INTENCIONAL — investigar no PT 530</t>
  </si>
  <si>
    <t xml:space="preserve">V12</t>
  </si>
  <si>
    <t xml:space="preserve">Hash da base: execução original = execução em pasta limpa</t>
  </si>
  <si>
    <t xml:space="preserve">IGUAL</t>
  </si>
  <si>
    <t xml:space="preserve">Reprodutibilidade</t>
  </si>
  <si>
    <t xml:space="preserve">Nota: recálculo individual do valor e coerência residual × idade × vida útil (por registro) ficam para os testes do Bloco 08, para não antecipar a detecção. Super/subavaliação e classificação incorreta não são visíveis nas verificações estruturais.</t>
  </si>
  <si>
    <t xml:space="preserve">Registro de execução, ambiente e integridade dos arquivos</t>
  </si>
  <si>
    <t xml:space="preserve">Item</t>
  </si>
  <si>
    <t xml:space="preserve">Registro</t>
  </si>
  <si>
    <t xml:space="preserve">Gerador</t>
  </si>
  <si>
    <t xml:space="preserve">gerar_base_cpfl_v2.py (versão 2.0) + config_base_cpfl_v2.json; biblioteca padrão do Python</t>
  </si>
  <si>
    <t xml:space="preserve">Verificador</t>
  </si>
  <si>
    <t xml:space="preserve">verificar_base_cpfl_v2.py (lê só a base registrada e o config)</t>
  </si>
  <si>
    <t xml:space="preserve">Ambiente</t>
  </si>
  <si>
    <t xml:space="preserve">Python 3.13.16; Linux-6.18.44-fc-v153-x86_64-with-glibc2.39</t>
  </si>
  <si>
    <t xml:space="preserve">Semente</t>
  </si>
  <si>
    <t xml:space="preserve">231020069</t>
  </si>
  <si>
    <t xml:space="preserve">Comando 1 (pasta de trabalho)</t>
  </si>
  <si>
    <t xml:space="preserve">python3 gerar_base_cpfl_v2.py</t>
  </si>
  <si>
    <t xml:space="preserve">Execução 1</t>
  </si>
  <si>
    <t xml:space="preserve">2026-10-23T12:26:19 — 17.7 s</t>
  </si>
  <si>
    <t xml:space="preserve">Comando 2 (pasta limpa, só .py + .json copiados)</t>
  </si>
  <si>
    <t xml:space="preserve">python3 gerar_base_cpfl_v2.py &gt; execucao_limpa.log</t>
  </si>
  <si>
    <t xml:space="preserve">Execução 2</t>
  </si>
  <si>
    <t xml:space="preserve">2026-10-23T12:43:15 — 14.8 s</t>
  </si>
  <si>
    <t xml:space="preserve">Comando 3</t>
  </si>
  <si>
    <t xml:space="preserve">python3 verificar_base_cpfl_v2.py</t>
  </si>
  <si>
    <t xml:space="preserve">Execução 3</t>
  </si>
  <si>
    <t xml:space="preserve">2026-10-23T12:43:47 — 5.3 s</t>
  </si>
  <si>
    <t xml:space="preserve">Linhas por distribuidora (referência)</t>
  </si>
  <si>
    <t xml:space="preserve">{"CPFL Paulista": 212959, "RGE": 214934, "CPFL Piratininga": 64756, "CPFL Santa Cruz": 7351}</t>
  </si>
  <si>
    <t xml:space="preserve">Fator de escala por distribuidora</t>
  </si>
  <si>
    <t xml:space="preserve">{"CPFL Paulista": 1.32329073, "RGE": 1.32548465, "CPFL Piratininga": 1.33566195, "CPFL Santa Cruz": 1.27161731}</t>
  </si>
  <si>
    <t xml:space="preserve">Arquivo (caminho relativo)</t>
  </si>
  <si>
    <t xml:space="preserve">SHA-256 | bytes | igual na pasta limpa?</t>
  </si>
  <si>
    <t xml:space="preserve">saida/CPFL_SINTETICA_Base_AFC_2025_registrada.csv.gz</t>
  </si>
  <si>
    <t xml:space="preserve">877d4a0256af842b859617f22c71678f30749e75b724c20cd205895ef85e4bb0 | 14.678.974 | sim</t>
  </si>
  <si>
    <t xml:space="preserve">RESERVADO_NAO_ABRIR_ATE_CONGELAMENTO/CPFL_SINTETICA_Base_referencia_sem_erros.csv.gz</t>
  </si>
  <si>
    <t xml:space="preserve">48652ae2da566026007a70915ef9112862ec0ecdd91a807c09e0f954e618fcfc | 6.582.189 | sim</t>
  </si>
  <si>
    <t xml:space="preserve">RESERVADO_NAO_ABRIR_ATE_CONGELAMENTO/CPFL_SINTETICA_Registro_erros_inseridos.csv</t>
  </si>
  <si>
    <t xml:space="preserve">45e3ec3eba8d27918689506dccfb68d19b8da4a6c7b7113e988a0bcde3a1bbb8 | 520.069 | sim</t>
  </si>
  <si>
    <t xml:space="preserve">RESERVADO_NAO_ABRIR_ATE_CONGELAMENTO/CPFL_SINTETICA_Ponte_efeito_erros.json</t>
  </si>
  <si>
    <t xml:space="preserve">7eabcc92f3d2e888fe90cba6e4992b06627d42260229359a29c2f57c4ebe3b32 | 593 | sim</t>
  </si>
  <si>
    <t xml:space="preserve">Os três arquivos da pasta RESERVADO_NAO_ABRIR_ATE_CONGELAMENTO não foram lidos; os hashes acima congelam seu conteúdo e podem ser regenerados pelo gerador.</t>
  </si>
  <si>
    <t xml:space="preserve">Prévia: primeiras 1.000 linhas da base registrada (de 501.000)</t>
  </si>
  <si>
    <t xml:space="preserve">AFC-SIM-0000001</t>
  </si>
  <si>
    <t xml:space="preserve">BEM-SIM-0232671</t>
  </si>
  <si>
    <t xml:space="preserve">2019-05-24</t>
  </si>
  <si>
    <t xml:space="preserve">ATIVO</t>
  </si>
  <si>
    <t xml:space="preserve">2025-12-31</t>
  </si>
  <si>
    <t xml:space="preserve">SINTETICO</t>
  </si>
  <si>
    <t xml:space="preserve">AFC-SIM-0000002</t>
  </si>
  <si>
    <t xml:space="preserve">BEM-SIM-0191132</t>
  </si>
  <si>
    <t xml:space="preserve">2009-02-11</t>
  </si>
  <si>
    <t xml:space="preserve">AFC-SIM-0000003</t>
  </si>
  <si>
    <t xml:space="preserve">BEM-SIM-0363396</t>
  </si>
  <si>
    <t xml:space="preserve">2023-07-17</t>
  </si>
  <si>
    <t xml:space="preserve">AFC-SIM-0000004</t>
  </si>
  <si>
    <t xml:space="preserve">BEM-SIM-0435327</t>
  </si>
  <si>
    <t xml:space="preserve">2004-07-13</t>
  </si>
  <si>
    <t xml:space="preserve">AFC-SIM-0000005</t>
  </si>
  <si>
    <t xml:space="preserve">BEM-SIM-0483537</t>
  </si>
  <si>
    <t xml:space="preserve">2022-06-25</t>
  </si>
  <si>
    <t xml:space="preserve">AFC-SIM-0000006</t>
  </si>
  <si>
    <t xml:space="preserve">BEM-SIM-0088267</t>
  </si>
  <si>
    <t xml:space="preserve">1994-10-13</t>
  </si>
  <si>
    <t xml:space="preserve">AFC-SIM-0000007</t>
  </si>
  <si>
    <t xml:space="preserve">BEM-SIM-0085278</t>
  </si>
  <si>
    <t xml:space="preserve">2008-04-16</t>
  </si>
  <si>
    <t xml:space="preserve">AFC-SIM-0000008</t>
  </si>
  <si>
    <t xml:space="preserve">BEM-SIM-0068625</t>
  </si>
  <si>
    <t xml:space="preserve">2019-04-03</t>
  </si>
  <si>
    <t xml:space="preserve">AFC-SIM-0000009</t>
  </si>
  <si>
    <t xml:space="preserve">BEM-SIM-0016757</t>
  </si>
  <si>
    <t xml:space="preserve">2002-06-06</t>
  </si>
  <si>
    <t xml:space="preserve">AFC-SIM-0000010</t>
  </si>
  <si>
    <t xml:space="preserve">BEM-SIM-0240117</t>
  </si>
  <si>
    <t xml:space="preserve">2020-02-07</t>
  </si>
  <si>
    <t xml:space="preserve">AFC-SIM-0000011</t>
  </si>
  <si>
    <t xml:space="preserve">BEM-SIM-0269617</t>
  </si>
  <si>
    <t xml:space="preserve">2019-10-21</t>
  </si>
  <si>
    <t xml:space="preserve">AFC-SIM-0000012</t>
  </si>
  <si>
    <t xml:space="preserve">BEM-SIM-0014451</t>
  </si>
  <si>
    <t xml:space="preserve">2014-06-12</t>
  </si>
  <si>
    <t xml:space="preserve">AFC-SIM-0000013</t>
  </si>
  <si>
    <t xml:space="preserve">BEM-SIM-0334697</t>
  </si>
  <si>
    <t xml:space="preserve">1993-07-27</t>
  </si>
  <si>
    <t xml:space="preserve">AFC-SIM-0000014</t>
  </si>
  <si>
    <t xml:space="preserve">BEM-SIM-0497547</t>
  </si>
  <si>
    <t xml:space="preserve">2002-08-05</t>
  </si>
  <si>
    <t xml:space="preserve">AFC-SIM-0000015</t>
  </si>
  <si>
    <t xml:space="preserve">BEM-SIM-0343746</t>
  </si>
  <si>
    <t xml:space="preserve">2000-03-16</t>
  </si>
  <si>
    <t xml:space="preserve">AFC-SIM-0000016</t>
  </si>
  <si>
    <t xml:space="preserve">BEM-SIM-0311170</t>
  </si>
  <si>
    <t xml:space="preserve">2024-02-20</t>
  </si>
  <si>
    <t xml:space="preserve">AFC-SIM-0000017</t>
  </si>
  <si>
    <t xml:space="preserve">BEM-SIM-0135143</t>
  </si>
  <si>
    <t xml:space="preserve">2021-08-22</t>
  </si>
  <si>
    <t xml:space="preserve">AFC-SIM-0000018</t>
  </si>
  <si>
    <t xml:space="preserve">BEM-SIM-0491281</t>
  </si>
  <si>
    <t xml:space="preserve">2014-01-09</t>
  </si>
  <si>
    <t xml:space="preserve">AFC-SIM-0000019</t>
  </si>
  <si>
    <t xml:space="preserve">BEM-SIM-0196432</t>
  </si>
  <si>
    <t xml:space="preserve">2019-08-17</t>
  </si>
  <si>
    <t xml:space="preserve">AFC-SIM-0000020</t>
  </si>
  <si>
    <t xml:space="preserve">BEM-SIM-0138653</t>
  </si>
  <si>
    <t xml:space="preserve">2003-02-02</t>
  </si>
  <si>
    <t xml:space="preserve">AFC-SIM-0000021</t>
  </si>
  <si>
    <t xml:space="preserve">BEM-SIM-0414615</t>
  </si>
  <si>
    <t xml:space="preserve">2013-12-01</t>
  </si>
  <si>
    <t xml:space="preserve">AFC-SIM-0000022</t>
  </si>
  <si>
    <t xml:space="preserve">BEM-SIM-0322455</t>
  </si>
  <si>
    <t xml:space="preserve">2024-08-05</t>
  </si>
  <si>
    <t xml:space="preserve">AFC-SIM-0000023</t>
  </si>
  <si>
    <t xml:space="preserve">BEM-SIM-0175585</t>
  </si>
  <si>
    <t xml:space="preserve">2010-11-24</t>
  </si>
  <si>
    <t xml:space="preserve">AFC-SIM-0000024</t>
  </si>
  <si>
    <t xml:space="preserve">BEM-SIM-0078686</t>
  </si>
  <si>
    <t xml:space="preserve">2014-08-26</t>
  </si>
  <si>
    <t xml:space="preserve">AFC-SIM-0000025</t>
  </si>
  <si>
    <t xml:space="preserve">BEM-SIM-0315661</t>
  </si>
  <si>
    <t xml:space="preserve">2006-10-28</t>
  </si>
  <si>
    <t xml:space="preserve">AFC-SIM-0000026</t>
  </si>
  <si>
    <t xml:space="preserve">BEM-SIM-0493340</t>
  </si>
  <si>
    <t xml:space="preserve">2025-01-08</t>
  </si>
  <si>
    <t xml:space="preserve">AFC-SIM-0000027</t>
  </si>
  <si>
    <t xml:space="preserve">BEM-SIM-0348055</t>
  </si>
  <si>
    <t xml:space="preserve">2001-02-25</t>
  </si>
  <si>
    <t xml:space="preserve">AFC-SIM-0000028</t>
  </si>
  <si>
    <t xml:space="preserve">BEM-SIM-0422408</t>
  </si>
  <si>
    <t xml:space="preserve">2003-12-28</t>
  </si>
  <si>
    <t xml:space="preserve">AFC-SIM-0000029</t>
  </si>
  <si>
    <t xml:space="preserve">BEM-SIM-0156749</t>
  </si>
  <si>
    <t xml:space="preserve">2000-08-01</t>
  </si>
  <si>
    <t xml:space="preserve">AFC-SIM-0000030</t>
  </si>
  <si>
    <t xml:space="preserve">BEM-SIM-0457267</t>
  </si>
  <si>
    <t xml:space="preserve">2007-04-10</t>
  </si>
  <si>
    <t xml:space="preserve">AFC-SIM-0000031</t>
  </si>
  <si>
    <t xml:space="preserve">BEM-SIM-0488397</t>
  </si>
  <si>
    <t xml:space="preserve">2014-02-06</t>
  </si>
  <si>
    <t xml:space="preserve">AFC-SIM-0000032</t>
  </si>
  <si>
    <t xml:space="preserve">BEM-SIM-0079596</t>
  </si>
  <si>
    <t xml:space="preserve">1996-11-10</t>
  </si>
  <si>
    <t xml:space="preserve">AFC-SIM-0000033</t>
  </si>
  <si>
    <t xml:space="preserve">BEM-SIM-0181150</t>
  </si>
  <si>
    <t xml:space="preserve">2008-10-15</t>
  </si>
  <si>
    <t xml:space="preserve">AFC-SIM-0000034</t>
  </si>
  <si>
    <t xml:space="preserve">BEM-SIM-0291175</t>
  </si>
  <si>
    <t xml:space="preserve">2011-12-19</t>
  </si>
  <si>
    <t xml:space="preserve">AFC-SIM-0000035</t>
  </si>
  <si>
    <t xml:space="preserve">BEM-SIM-0395471</t>
  </si>
  <si>
    <t xml:space="preserve">2007-12-23</t>
  </si>
  <si>
    <t xml:space="preserve">AFC-SIM-0000036</t>
  </si>
  <si>
    <t xml:space="preserve">BEM-SIM-0453290</t>
  </si>
  <si>
    <t xml:space="preserve">2008-08-24</t>
  </si>
  <si>
    <t xml:space="preserve">AFC-SIM-0000037</t>
  </si>
  <si>
    <t xml:space="preserve">BEM-SIM-0479395</t>
  </si>
  <si>
    <t xml:space="preserve">2007-07-14</t>
  </si>
  <si>
    <t xml:space="preserve">AFC-SIM-0000038</t>
  </si>
  <si>
    <t xml:space="preserve">BEM-SIM-0300667</t>
  </si>
  <si>
    <t xml:space="preserve">2022-01-19</t>
  </si>
  <si>
    <t xml:space="preserve">AFC-SIM-0000039</t>
  </si>
  <si>
    <t xml:space="preserve">BEM-SIM-0288546</t>
  </si>
  <si>
    <t xml:space="preserve">2000-05-07</t>
  </si>
  <si>
    <t xml:space="preserve">AFC-SIM-0000040</t>
  </si>
  <si>
    <t xml:space="preserve">BEM-SIM-0131716</t>
  </si>
  <si>
    <t xml:space="preserve">2015-07-13</t>
  </si>
  <si>
    <t xml:space="preserve">AFC-SIM-0000041</t>
  </si>
  <si>
    <t xml:space="preserve">BEM-SIM-0224383</t>
  </si>
  <si>
    <t xml:space="preserve">2013-11-22</t>
  </si>
  <si>
    <t xml:space="preserve">AFC-SIM-0000042</t>
  </si>
  <si>
    <t xml:space="preserve">BEM-SIM-0055006</t>
  </si>
  <si>
    <t xml:space="preserve">2024-06-15</t>
  </si>
  <si>
    <t xml:space="preserve">AFC-SIM-0000043</t>
  </si>
  <si>
    <t xml:space="preserve">BEM-SIM-0121300</t>
  </si>
  <si>
    <t xml:space="preserve">1998-02-23</t>
  </si>
  <si>
    <t xml:space="preserve">AFC-SIM-0000044</t>
  </si>
  <si>
    <t xml:space="preserve">BEM-SIM-0132478</t>
  </si>
  <si>
    <t xml:space="preserve">2023-03-10</t>
  </si>
  <si>
    <t xml:space="preserve">AFC-SIM-0000045</t>
  </si>
  <si>
    <t xml:space="preserve">BEM-SIM-0471913</t>
  </si>
  <si>
    <t xml:space="preserve">2017-07-24</t>
  </si>
  <si>
    <t xml:space="preserve">AFC-SIM-0000046</t>
  </si>
  <si>
    <t xml:space="preserve">BEM-SIM-0469062</t>
  </si>
  <si>
    <t xml:space="preserve">2010-07-05</t>
  </si>
  <si>
    <t xml:space="preserve">AFC-SIM-0000047</t>
  </si>
  <si>
    <t xml:space="preserve">BEM-SIM-0072425</t>
  </si>
  <si>
    <t xml:space="preserve">2011-07-07</t>
  </si>
  <si>
    <t xml:space="preserve">AFC-SIM-0000048</t>
  </si>
  <si>
    <t xml:space="preserve">BEM-SIM-0435812</t>
  </si>
  <si>
    <t xml:space="preserve">2022-02-01</t>
  </si>
  <si>
    <t xml:space="preserve">AFC-SIM-0000049</t>
  </si>
  <si>
    <t xml:space="preserve">BEM-SIM-0179303</t>
  </si>
  <si>
    <t xml:space="preserve">2003-10-10</t>
  </si>
  <si>
    <t xml:space="preserve">AFC-SIM-0000050</t>
  </si>
  <si>
    <t xml:space="preserve">BEM-SIM-0109557</t>
  </si>
  <si>
    <t xml:space="preserve">2007-02-15</t>
  </si>
  <si>
    <t xml:space="preserve">AFC-SIM-0000051</t>
  </si>
  <si>
    <t xml:space="preserve">BEM-SIM-0236816</t>
  </si>
  <si>
    <t xml:space="preserve">2024-11-27</t>
  </si>
  <si>
    <t xml:space="preserve">AFC-SIM-0000052</t>
  </si>
  <si>
    <t xml:space="preserve">BEM-SIM-0118619</t>
  </si>
  <si>
    <t xml:space="preserve">2001-01-07</t>
  </si>
  <si>
    <t xml:space="preserve">AFC-SIM-0000053</t>
  </si>
  <si>
    <t xml:space="preserve">BEM-SIM-0129231</t>
  </si>
  <si>
    <t xml:space="preserve">2015-06-28</t>
  </si>
  <si>
    <t xml:space="preserve">AFC-SIM-0000054</t>
  </si>
  <si>
    <t xml:space="preserve">BEM-SIM-0427336</t>
  </si>
  <si>
    <t xml:space="preserve">2017-10-25</t>
  </si>
  <si>
    <t xml:space="preserve">AFC-SIM-0000055</t>
  </si>
  <si>
    <t xml:space="preserve">BEM-SIM-0471025</t>
  </si>
  <si>
    <t xml:space="preserve">2010-08-27</t>
  </si>
  <si>
    <t xml:space="preserve">AFC-SIM-0000056</t>
  </si>
  <si>
    <t xml:space="preserve">BEM-SIM-0183057</t>
  </si>
  <si>
    <t xml:space="preserve">2016-02-14</t>
  </si>
  <si>
    <t xml:space="preserve">AFC-SIM-0000057</t>
  </si>
  <si>
    <t xml:space="preserve">BEM-SIM-0359175</t>
  </si>
  <si>
    <t xml:space="preserve">2005-01-11</t>
  </si>
  <si>
    <t xml:space="preserve">AFC-SIM-0000058</t>
  </si>
  <si>
    <t xml:space="preserve">BEM-SIM-0455796</t>
  </si>
  <si>
    <t xml:space="preserve">1997-05-24</t>
  </si>
  <si>
    <t xml:space="preserve">AFC-SIM-0000059</t>
  </si>
  <si>
    <t xml:space="preserve">BEM-SIM-0328547</t>
  </si>
  <si>
    <t xml:space="preserve">2015-04-08</t>
  </si>
  <si>
    <t xml:space="preserve">AFC-SIM-0000060</t>
  </si>
  <si>
    <t xml:space="preserve">BEM-SIM-0373032</t>
  </si>
  <si>
    <t xml:space="preserve">2022-10-20</t>
  </si>
  <si>
    <t xml:space="preserve">AFC-SIM-0000061</t>
  </si>
  <si>
    <t xml:space="preserve">BEM-SIM-0257554</t>
  </si>
  <si>
    <t xml:space="preserve">2021-10-12</t>
  </si>
  <si>
    <t xml:space="preserve">AFC-SIM-0000062</t>
  </si>
  <si>
    <t xml:space="preserve">BEM-SIM-0257828</t>
  </si>
  <si>
    <t xml:space="preserve">2014-11-15</t>
  </si>
  <si>
    <t xml:space="preserve">AFC-SIM-0000063</t>
  </si>
  <si>
    <t xml:space="preserve">BEM-SIM-0371046</t>
  </si>
  <si>
    <t xml:space="preserve">2024-11-19</t>
  </si>
  <si>
    <t xml:space="preserve">AFC-SIM-0000064</t>
  </si>
  <si>
    <t xml:space="preserve">BEM-SIM-0280173</t>
  </si>
  <si>
    <t xml:space="preserve">2020-09-02</t>
  </si>
  <si>
    <t xml:space="preserve">AFC-SIM-0000065</t>
  </si>
  <si>
    <t xml:space="preserve">BEM-SIM-0233896</t>
  </si>
  <si>
    <t xml:space="preserve">2014-03-16</t>
  </si>
  <si>
    <t xml:space="preserve">AFC-SIM-0000066</t>
  </si>
  <si>
    <t xml:space="preserve">BEM-SIM-0233370</t>
  </si>
  <si>
    <t xml:space="preserve">2015-11-11</t>
  </si>
  <si>
    <t xml:space="preserve">AFC-SIM-0000067</t>
  </si>
  <si>
    <t xml:space="preserve">BEM-SIM-0312158</t>
  </si>
  <si>
    <t xml:space="preserve">2016-06-18</t>
  </si>
  <si>
    <t xml:space="preserve">AFC-SIM-0000068</t>
  </si>
  <si>
    <t xml:space="preserve">BEM-SIM-0460834</t>
  </si>
  <si>
    <t xml:space="preserve">2013-05-06</t>
  </si>
  <si>
    <t xml:space="preserve">AFC-SIM-0000069</t>
  </si>
  <si>
    <t xml:space="preserve">BEM-SIM-0429930</t>
  </si>
  <si>
    <t xml:space="preserve">2005-12-25</t>
  </si>
  <si>
    <t xml:space="preserve">AFC-SIM-0000070</t>
  </si>
  <si>
    <t xml:space="preserve">BEM-SIM-0369012</t>
  </si>
  <si>
    <t xml:space="preserve">2005-12-02</t>
  </si>
  <si>
    <t xml:space="preserve">AFC-SIM-0000071</t>
  </si>
  <si>
    <t xml:space="preserve">BEM-SIM-0380282</t>
  </si>
  <si>
    <t xml:space="preserve">1997-08-06</t>
  </si>
  <si>
    <t xml:space="preserve">AFC-SIM-0000072</t>
  </si>
  <si>
    <t xml:space="preserve">BEM-SIM-0021806</t>
  </si>
  <si>
    <t xml:space="preserve">1988-06-08</t>
  </si>
  <si>
    <t xml:space="preserve">AFC-SIM-0000073</t>
  </si>
  <si>
    <t xml:space="preserve">BEM-SIM-0003146</t>
  </si>
  <si>
    <t xml:space="preserve">1996-06-12</t>
  </si>
  <si>
    <t xml:space="preserve">AFC-SIM-0000074</t>
  </si>
  <si>
    <t xml:space="preserve">BEM-SIM-0378975</t>
  </si>
  <si>
    <t xml:space="preserve">2018-09-22</t>
  </si>
  <si>
    <t xml:space="preserve">AFC-SIM-0000075</t>
  </si>
  <si>
    <t xml:space="preserve">BEM-SIM-0278659</t>
  </si>
  <si>
    <t xml:space="preserve">1998-01-02</t>
  </si>
  <si>
    <t xml:space="preserve">AFC-SIM-0000076</t>
  </si>
  <si>
    <t xml:space="preserve">BEM-SIM-0167295</t>
  </si>
  <si>
    <t xml:space="preserve">2014-08-16</t>
  </si>
  <si>
    <t xml:space="preserve">AFC-SIM-0000077</t>
  </si>
  <si>
    <t xml:space="preserve">BEM-SIM-0337966</t>
  </si>
  <si>
    <t xml:space="preserve">2020-02-12</t>
  </si>
  <si>
    <t xml:space="preserve">AFC-SIM-0000078</t>
  </si>
  <si>
    <t xml:space="preserve">BEM-SIM-0138189</t>
  </si>
  <si>
    <t xml:space="preserve">2021-05-12</t>
  </si>
  <si>
    <t xml:space="preserve">AFC-SIM-0000079</t>
  </si>
  <si>
    <t xml:space="preserve">BEM-SIM-0469340</t>
  </si>
  <si>
    <t xml:space="preserve">2001-01-12</t>
  </si>
  <si>
    <t xml:space="preserve">AFC-SIM-0000080</t>
  </si>
  <si>
    <t xml:space="preserve">BEM-SIM-0231778</t>
  </si>
  <si>
    <t xml:space="preserve">2011-09-22</t>
  </si>
  <si>
    <t xml:space="preserve">AFC-SIM-0000081</t>
  </si>
  <si>
    <t xml:space="preserve">BEM-SIM-0366487</t>
  </si>
  <si>
    <t xml:space="preserve">2023-05-19</t>
  </si>
  <si>
    <t xml:space="preserve">AFC-SIM-0000082</t>
  </si>
  <si>
    <t xml:space="preserve">BEM-SIM-0166177</t>
  </si>
  <si>
    <t xml:space="preserve">2002-07-17</t>
  </si>
  <si>
    <t xml:space="preserve">AFC-SIM-0000083</t>
  </si>
  <si>
    <t xml:space="preserve">BEM-SIM-0093513</t>
  </si>
  <si>
    <t xml:space="preserve">2004-12-28</t>
  </si>
  <si>
    <t xml:space="preserve">AFC-SIM-0000084</t>
  </si>
  <si>
    <t xml:space="preserve">BEM-SIM-0374496</t>
  </si>
  <si>
    <t xml:space="preserve">2014-09-23</t>
  </si>
  <si>
    <t xml:space="preserve">AFC-SIM-0000085</t>
  </si>
  <si>
    <t xml:space="preserve">BEM-SIM-0473920</t>
  </si>
  <si>
    <t xml:space="preserve">2013-02-06</t>
  </si>
  <si>
    <t xml:space="preserve">AFC-SIM-0000086</t>
  </si>
  <si>
    <t xml:space="preserve">BEM-SIM-0077887</t>
  </si>
  <si>
    <t xml:space="preserve">2019-08-03</t>
  </si>
  <si>
    <t xml:space="preserve">AFC-SIM-0000087</t>
  </si>
  <si>
    <t xml:space="preserve">BEM-SIM-0438530</t>
  </si>
  <si>
    <t xml:space="preserve">1999-12-09</t>
  </si>
  <si>
    <t xml:space="preserve">AFC-SIM-0000088</t>
  </si>
  <si>
    <t xml:space="preserve">BEM-SIM-0473859</t>
  </si>
  <si>
    <t xml:space="preserve">2004-07-17</t>
  </si>
  <si>
    <t xml:space="preserve">AFC-SIM-0000089</t>
  </si>
  <si>
    <t xml:space="preserve">BEM-SIM-0237153</t>
  </si>
  <si>
    <t xml:space="preserve">2003-06-03</t>
  </si>
  <si>
    <t xml:space="preserve">AFC-SIM-0000090</t>
  </si>
  <si>
    <t xml:space="preserve">BEM-SIM-0392440</t>
  </si>
  <si>
    <t xml:space="preserve">2010-04-07</t>
  </si>
  <si>
    <t xml:space="preserve">AFC-SIM-0000091</t>
  </si>
  <si>
    <t xml:space="preserve">BEM-SIM-0218901</t>
  </si>
  <si>
    <t xml:space="preserve">2014-04-02</t>
  </si>
  <si>
    <t xml:space="preserve">AFC-SIM-0000092</t>
  </si>
  <si>
    <t xml:space="preserve">BEM-SIM-0341754</t>
  </si>
  <si>
    <t xml:space="preserve">2020-03-02</t>
  </si>
  <si>
    <t xml:space="preserve">AFC-SIM-0000093</t>
  </si>
  <si>
    <t xml:space="preserve">BEM-SIM-0136668</t>
  </si>
  <si>
    <t xml:space="preserve">2022-04-26</t>
  </si>
  <si>
    <t xml:space="preserve">AFC-SIM-0000094</t>
  </si>
  <si>
    <t xml:space="preserve">BEM-SIM-0497051</t>
  </si>
  <si>
    <t xml:space="preserve">2012-04-28</t>
  </si>
  <si>
    <t xml:space="preserve">AFC-SIM-0000095</t>
  </si>
  <si>
    <t xml:space="preserve">BEM-SIM-0103643</t>
  </si>
  <si>
    <t xml:space="preserve">2001-12-07</t>
  </si>
  <si>
    <t xml:space="preserve">AFC-SIM-0000096</t>
  </si>
  <si>
    <t xml:space="preserve">BEM-SIM-0216218</t>
  </si>
  <si>
    <t xml:space="preserve">2020-04-10</t>
  </si>
  <si>
    <t xml:space="preserve">AFC-SIM-0000097</t>
  </si>
  <si>
    <t xml:space="preserve">BEM-SIM-0222463</t>
  </si>
  <si>
    <t xml:space="preserve">2004-11-27</t>
  </si>
  <si>
    <t xml:space="preserve">AFC-SIM-0000098</t>
  </si>
  <si>
    <t xml:space="preserve">BEM-SIM-0340966</t>
  </si>
  <si>
    <t xml:space="preserve">2013-12-23</t>
  </si>
  <si>
    <t xml:space="preserve">AFC-SIM-0000099</t>
  </si>
  <si>
    <t xml:space="preserve">BEM-SIM-0477709</t>
  </si>
  <si>
    <t xml:space="preserve">2005-09-15</t>
  </si>
  <si>
    <t xml:space="preserve">AFC-SIM-0000100</t>
  </si>
  <si>
    <t xml:space="preserve">BEM-SIM-0375699</t>
  </si>
  <si>
    <t xml:space="preserve">2013-09-25</t>
  </si>
  <si>
    <t xml:space="preserve">AFC-SIM-0000101</t>
  </si>
  <si>
    <t xml:space="preserve">BEM-SIM-0115776</t>
  </si>
  <si>
    <t xml:space="preserve">2013-06-05</t>
  </si>
  <si>
    <t xml:space="preserve">AFC-SIM-0000102</t>
  </si>
  <si>
    <t xml:space="preserve">BEM-SIM-0178027</t>
  </si>
  <si>
    <t xml:space="preserve">2017-03-15</t>
  </si>
  <si>
    <t xml:space="preserve">AFC-SIM-0000103</t>
  </si>
  <si>
    <t xml:space="preserve">BEM-SIM-0026447</t>
  </si>
  <si>
    <t xml:space="preserve">2023-12-13</t>
  </si>
  <si>
    <t xml:space="preserve">AFC-SIM-0000104</t>
  </si>
  <si>
    <t xml:space="preserve">BEM-SIM-0040401</t>
  </si>
  <si>
    <t xml:space="preserve">2019-06-13</t>
  </si>
  <si>
    <t xml:space="preserve">AFC-SIM-0000105</t>
  </si>
  <si>
    <t xml:space="preserve">BEM-SIM-0106985</t>
  </si>
  <si>
    <t xml:space="preserve">1997-06-28</t>
  </si>
  <si>
    <t xml:space="preserve">AFC-SIM-0000106</t>
  </si>
  <si>
    <t xml:space="preserve">BEM-SIM-0379714</t>
  </si>
  <si>
    <t xml:space="preserve">AFC-SIM-0000107</t>
  </si>
  <si>
    <t xml:space="preserve">BEM-SIM-0081709</t>
  </si>
  <si>
    <t xml:space="preserve">2019-06-12</t>
  </si>
  <si>
    <t xml:space="preserve">AFC-SIM-0000108</t>
  </si>
  <si>
    <t xml:space="preserve">BEM-SIM-0442194</t>
  </si>
  <si>
    <t xml:space="preserve">1996-03-07</t>
  </si>
  <si>
    <t xml:space="preserve">AFC-SIM-0000109</t>
  </si>
  <si>
    <t xml:space="preserve">BEM-SIM-0298483</t>
  </si>
  <si>
    <t xml:space="preserve">2023-09-19</t>
  </si>
  <si>
    <t xml:space="preserve">AFC-SIM-0000110</t>
  </si>
  <si>
    <t xml:space="preserve">BEM-SIM-0315928</t>
  </si>
  <si>
    <t xml:space="preserve">2023-09-01</t>
  </si>
  <si>
    <t xml:space="preserve">AFC-SIM-0000111</t>
  </si>
  <si>
    <t xml:space="preserve">BEM-SIM-0185623</t>
  </si>
  <si>
    <t xml:space="preserve">2015-08-12</t>
  </si>
  <si>
    <t xml:space="preserve">AFC-SIM-0000112</t>
  </si>
  <si>
    <t xml:space="preserve">BEM-SIM-0167936</t>
  </si>
  <si>
    <t xml:space="preserve">2001-01-10</t>
  </si>
  <si>
    <t xml:space="preserve">AFC-SIM-0000113</t>
  </si>
  <si>
    <t xml:space="preserve">BEM-SIM-0185239</t>
  </si>
  <si>
    <t xml:space="preserve">2005-03-16</t>
  </si>
  <si>
    <t xml:space="preserve">AFC-SIM-0000114</t>
  </si>
  <si>
    <t xml:space="preserve">BEM-SIM-0249569</t>
  </si>
  <si>
    <t xml:space="preserve">2013-05-18</t>
  </si>
  <si>
    <t xml:space="preserve">AFC-SIM-0000115</t>
  </si>
  <si>
    <t xml:space="preserve">BEM-SIM-0129681</t>
  </si>
  <si>
    <t xml:space="preserve">2020-02-09</t>
  </si>
  <si>
    <t xml:space="preserve">AFC-SIM-0000116</t>
  </si>
  <si>
    <t xml:space="preserve">BEM-SIM-0497490</t>
  </si>
  <si>
    <t xml:space="preserve">2024-04-26</t>
  </si>
  <si>
    <t xml:space="preserve">AFC-SIM-0000117</t>
  </si>
  <si>
    <t xml:space="preserve">BEM-SIM-0288363</t>
  </si>
  <si>
    <t xml:space="preserve">2007-03-09</t>
  </si>
  <si>
    <t xml:space="preserve">AFC-SIM-0000118</t>
  </si>
  <si>
    <t xml:space="preserve">BEM-SIM-0445759</t>
  </si>
  <si>
    <t xml:space="preserve">2015-11-20</t>
  </si>
  <si>
    <t xml:space="preserve">AFC-SIM-0000119</t>
  </si>
  <si>
    <t xml:space="preserve">BEM-SIM-0262880</t>
  </si>
  <si>
    <t xml:space="preserve">2005-02-19</t>
  </si>
  <si>
    <t xml:space="preserve">AFC-SIM-0000120</t>
  </si>
  <si>
    <t xml:space="preserve">BEM-SIM-0139457</t>
  </si>
  <si>
    <t xml:space="preserve">2014-08-28</t>
  </si>
  <si>
    <t xml:space="preserve">AFC-SIM-0000121</t>
  </si>
  <si>
    <t xml:space="preserve">BEM-SIM-0135013</t>
  </si>
  <si>
    <t xml:space="preserve">2021-07-28</t>
  </si>
  <si>
    <t xml:space="preserve">AFC-SIM-0000122</t>
  </si>
  <si>
    <t xml:space="preserve">BEM-SIM-0415150</t>
  </si>
  <si>
    <t xml:space="preserve">2025-05-12</t>
  </si>
  <si>
    <t xml:space="preserve">AFC-SIM-0000123</t>
  </si>
  <si>
    <t xml:space="preserve">BEM-SIM-0320823</t>
  </si>
  <si>
    <t xml:space="preserve">1999-01-04</t>
  </si>
  <si>
    <t xml:space="preserve">AFC-SIM-0000124</t>
  </si>
  <si>
    <t xml:space="preserve">BEM-SIM-0024171</t>
  </si>
  <si>
    <t xml:space="preserve">1992-05-26</t>
  </si>
  <si>
    <t xml:space="preserve">AFC-SIM-0000125</t>
  </si>
  <si>
    <t xml:space="preserve">BEM-SIM-0226221</t>
  </si>
  <si>
    <t xml:space="preserve">2008-06-12</t>
  </si>
  <si>
    <t xml:space="preserve">AFC-SIM-0000126</t>
  </si>
  <si>
    <t xml:space="preserve">BEM-SIM-0497360</t>
  </si>
  <si>
    <t xml:space="preserve">2017-08-12</t>
  </si>
  <si>
    <t xml:space="preserve">AFC-SIM-0000127</t>
  </si>
  <si>
    <t xml:space="preserve">BEM-SIM-0405074</t>
  </si>
  <si>
    <t xml:space="preserve">2012-05-23</t>
  </si>
  <si>
    <t xml:space="preserve">AFC-SIM-0000128</t>
  </si>
  <si>
    <t xml:space="preserve">BEM-SIM-0456304</t>
  </si>
  <si>
    <t xml:space="preserve">2024-12-26</t>
  </si>
  <si>
    <t xml:space="preserve">AFC-SIM-0000129</t>
  </si>
  <si>
    <t xml:space="preserve">BEM-SIM-0092741</t>
  </si>
  <si>
    <t xml:space="preserve">2021-01-10</t>
  </si>
  <si>
    <t xml:space="preserve">AFC-SIM-0000130</t>
  </si>
  <si>
    <t xml:space="preserve">BEM-SIM-0253293</t>
  </si>
  <si>
    <t xml:space="preserve">2024-03-22</t>
  </si>
  <si>
    <t xml:space="preserve">AFC-SIM-0000131</t>
  </si>
  <si>
    <t xml:space="preserve">BEM-SIM-0081620</t>
  </si>
  <si>
    <t xml:space="preserve">2009-02-20</t>
  </si>
  <si>
    <t xml:space="preserve">AFC-SIM-0000132</t>
  </si>
  <si>
    <t xml:space="preserve">BEM-SIM-0220581</t>
  </si>
  <si>
    <t xml:space="preserve">1992-09-06</t>
  </si>
  <si>
    <t xml:space="preserve">AFC-SIM-0000133</t>
  </si>
  <si>
    <t xml:space="preserve">BEM-SIM-0121583</t>
  </si>
  <si>
    <t xml:space="preserve">2004-11-14</t>
  </si>
  <si>
    <t xml:space="preserve">AFC-SIM-0000134</t>
  </si>
  <si>
    <t xml:space="preserve">BEM-SIM-0124062</t>
  </si>
  <si>
    <t xml:space="preserve">2023-06-04</t>
  </si>
  <si>
    <t xml:space="preserve">AFC-SIM-0000135</t>
  </si>
  <si>
    <t xml:space="preserve">BEM-SIM-0267613</t>
  </si>
  <si>
    <t xml:space="preserve">2006-01-17</t>
  </si>
  <si>
    <t xml:space="preserve">AFC-SIM-0000136</t>
  </si>
  <si>
    <t xml:space="preserve">BEM-SIM-0196185</t>
  </si>
  <si>
    <t xml:space="preserve">1998-08-07</t>
  </si>
  <si>
    <t xml:space="preserve">AFC-SIM-0000137</t>
  </si>
  <si>
    <t xml:space="preserve">BEM-SIM-0213143</t>
  </si>
  <si>
    <t xml:space="preserve">2024-05-07</t>
  </si>
  <si>
    <t xml:space="preserve">AFC-SIM-0000138</t>
  </si>
  <si>
    <t xml:space="preserve">BEM-SIM-0403717</t>
  </si>
  <si>
    <t xml:space="preserve">2012-06-12</t>
  </si>
  <si>
    <t xml:space="preserve">AFC-SIM-0000139</t>
  </si>
  <si>
    <t xml:space="preserve">BEM-SIM-0352582</t>
  </si>
  <si>
    <t xml:space="preserve">2017-08-26</t>
  </si>
  <si>
    <t xml:space="preserve">AFC-SIM-0000140</t>
  </si>
  <si>
    <t xml:space="preserve">BEM-SIM-0245775</t>
  </si>
  <si>
    <t xml:space="preserve">1992-10-15</t>
  </si>
  <si>
    <t xml:space="preserve">AFC-SIM-0000141</t>
  </si>
  <si>
    <t xml:space="preserve">BEM-SIM-0084871</t>
  </si>
  <si>
    <t xml:space="preserve">1996-06-06</t>
  </si>
  <si>
    <t xml:space="preserve">AFC-SIM-0000142</t>
  </si>
  <si>
    <t xml:space="preserve">BEM-SIM-0434816</t>
  </si>
  <si>
    <t xml:space="preserve">2014-04-07</t>
  </si>
  <si>
    <t xml:space="preserve">AFC-SIM-0000143</t>
  </si>
  <si>
    <t xml:space="preserve">BEM-SIM-0036580</t>
  </si>
  <si>
    <t xml:space="preserve">2015-08-01</t>
  </si>
  <si>
    <t xml:space="preserve">AFC-SIM-0000144</t>
  </si>
  <si>
    <t xml:space="preserve">BEM-SIM-0338029</t>
  </si>
  <si>
    <t xml:space="preserve">1991-11-06</t>
  </si>
  <si>
    <t xml:space="preserve">AFC-SIM-0000145</t>
  </si>
  <si>
    <t xml:space="preserve">BEM-SIM-0098432</t>
  </si>
  <si>
    <t xml:space="preserve">2005-02-07</t>
  </si>
  <si>
    <t xml:space="preserve">AFC-SIM-0000146</t>
  </si>
  <si>
    <t xml:space="preserve">BEM-SIM-0367540</t>
  </si>
  <si>
    <t xml:space="preserve">2007-07-28</t>
  </si>
  <si>
    <t xml:space="preserve">AFC-SIM-0000147</t>
  </si>
  <si>
    <t xml:space="preserve">BEM-SIM-0225800</t>
  </si>
  <si>
    <t xml:space="preserve">2022-09-14</t>
  </si>
  <si>
    <t xml:space="preserve">AFC-SIM-0000148</t>
  </si>
  <si>
    <t xml:space="preserve">BEM-SIM-0453274</t>
  </si>
  <si>
    <t xml:space="preserve">2010-02-26</t>
  </si>
  <si>
    <t xml:space="preserve">AFC-SIM-0000149</t>
  </si>
  <si>
    <t xml:space="preserve">BEM-SIM-0056067</t>
  </si>
  <si>
    <t xml:space="preserve">2015-08-15</t>
  </si>
  <si>
    <t xml:space="preserve">AFC-SIM-0000150</t>
  </si>
  <si>
    <t xml:space="preserve">BEM-SIM-0024395</t>
  </si>
  <si>
    <t xml:space="preserve">1999-10-06</t>
  </si>
  <si>
    <t xml:space="preserve">AFC-SIM-0000151</t>
  </si>
  <si>
    <t xml:space="preserve">BEM-SIM-0276394</t>
  </si>
  <si>
    <t xml:space="preserve">2021-03-07</t>
  </si>
  <si>
    <t xml:space="preserve">AFC-SIM-0000152</t>
  </si>
  <si>
    <t xml:space="preserve">BEM-SIM-0215819</t>
  </si>
  <si>
    <t xml:space="preserve">2014-01-18</t>
  </si>
  <si>
    <t xml:space="preserve">AFC-SIM-0000153</t>
  </si>
  <si>
    <t xml:space="preserve">BEM-SIM-0014121</t>
  </si>
  <si>
    <t xml:space="preserve">2021-10-11</t>
  </si>
  <si>
    <t xml:space="preserve">AFC-SIM-0000154</t>
  </si>
  <si>
    <t xml:space="preserve">BEM-SIM-0125971</t>
  </si>
  <si>
    <t xml:space="preserve">2013-10-28</t>
  </si>
  <si>
    <t xml:space="preserve">AFC-SIM-0000155</t>
  </si>
  <si>
    <t xml:space="preserve">BEM-SIM-0150363</t>
  </si>
  <si>
    <t xml:space="preserve">2018-10-10</t>
  </si>
  <si>
    <t xml:space="preserve">AFC-SIM-0000156</t>
  </si>
  <si>
    <t xml:space="preserve">BEM-SIM-0143939</t>
  </si>
  <si>
    <t xml:space="preserve">1985-06-26</t>
  </si>
  <si>
    <t xml:space="preserve">AFC-SIM-0000157</t>
  </si>
  <si>
    <t xml:space="preserve">BEM-SIM-0251446</t>
  </si>
  <si>
    <t xml:space="preserve">1992-04-17</t>
  </si>
  <si>
    <t xml:space="preserve">AFC-SIM-0000158</t>
  </si>
  <si>
    <t xml:space="preserve">BEM-SIM-0317506</t>
  </si>
  <si>
    <t xml:space="preserve">1991-11-03</t>
  </si>
  <si>
    <t xml:space="preserve">AFC-SIM-0000159</t>
  </si>
  <si>
    <t xml:space="preserve">BEM-SIM-0089278</t>
  </si>
  <si>
    <t xml:space="preserve">2020-09-17</t>
  </si>
  <si>
    <t xml:space="preserve">AFC-SIM-0000160</t>
  </si>
  <si>
    <t xml:space="preserve">BEM-SIM-0413945</t>
  </si>
  <si>
    <t xml:space="preserve">2014-01-23</t>
  </si>
  <si>
    <t xml:space="preserve">AFC-SIM-0000161</t>
  </si>
  <si>
    <t xml:space="preserve">BEM-SIM-0410763</t>
  </si>
  <si>
    <t xml:space="preserve">2023-08-11</t>
  </si>
  <si>
    <t xml:space="preserve">AFC-SIM-0000162</t>
  </si>
  <si>
    <t xml:space="preserve">BEM-SIM-0468566</t>
  </si>
  <si>
    <t xml:space="preserve">2010-12-16</t>
  </si>
  <si>
    <t xml:space="preserve">AFC-SIM-0000163</t>
  </si>
  <si>
    <t xml:space="preserve">BEM-SIM-0270932</t>
  </si>
  <si>
    <t xml:space="preserve">2000-11-13</t>
  </si>
  <si>
    <t xml:space="preserve">AFC-SIM-0000164</t>
  </si>
  <si>
    <t xml:space="preserve">BEM-SIM-0077979</t>
  </si>
  <si>
    <t xml:space="preserve">2019-03-10</t>
  </si>
  <si>
    <t xml:space="preserve">AFC-SIM-0000165</t>
  </si>
  <si>
    <t xml:space="preserve">BEM-SIM-0026348</t>
  </si>
  <si>
    <t xml:space="preserve">2016-11-04</t>
  </si>
  <si>
    <t xml:space="preserve">AFC-SIM-0000166</t>
  </si>
  <si>
    <t xml:space="preserve">BEM-SIM-0075663</t>
  </si>
  <si>
    <t xml:space="preserve">2015-03-21</t>
  </si>
  <si>
    <t xml:space="preserve">AFC-SIM-0000167</t>
  </si>
  <si>
    <t xml:space="preserve">BEM-SIM-0166450</t>
  </si>
  <si>
    <t xml:space="preserve">2005-07-06</t>
  </si>
  <si>
    <t xml:space="preserve">AFC-SIM-0000168</t>
  </si>
  <si>
    <t xml:space="preserve">BEM-SIM-0251808</t>
  </si>
  <si>
    <t xml:space="preserve">2014-01-21</t>
  </si>
  <si>
    <t xml:space="preserve">AFC-SIM-0000169</t>
  </si>
  <si>
    <t xml:space="preserve">BEM-SIM-0461480</t>
  </si>
  <si>
    <t xml:space="preserve">2012-01-26</t>
  </si>
  <si>
    <t xml:space="preserve">AFC-SIM-0000170</t>
  </si>
  <si>
    <t xml:space="preserve">BEM-SIM-0118397</t>
  </si>
  <si>
    <t xml:space="preserve">2015-10-20</t>
  </si>
  <si>
    <t xml:space="preserve">AFC-SIM-0000171</t>
  </si>
  <si>
    <t xml:space="preserve">BEM-SIM-0127239</t>
  </si>
  <si>
    <t xml:space="preserve">2003-04-09</t>
  </si>
  <si>
    <t xml:space="preserve">AFC-SIM-0000172</t>
  </si>
  <si>
    <t xml:space="preserve">BEM-SIM-0113682</t>
  </si>
  <si>
    <t xml:space="preserve">AFC-SIM-0000173</t>
  </si>
  <si>
    <t xml:space="preserve">BEM-SIM-0287451</t>
  </si>
  <si>
    <t xml:space="preserve">2013-12-22</t>
  </si>
  <si>
    <t xml:space="preserve">AFC-SIM-0000174</t>
  </si>
  <si>
    <t xml:space="preserve">BEM-SIM-0335672</t>
  </si>
  <si>
    <t xml:space="preserve">2022-10-10</t>
  </si>
  <si>
    <t xml:space="preserve">AFC-SIM-0000175</t>
  </si>
  <si>
    <t xml:space="preserve">BEM-SIM-0315140</t>
  </si>
  <si>
    <t xml:space="preserve">1993-05-19</t>
  </si>
  <si>
    <t xml:space="preserve">AFC-SIM-0000176</t>
  </si>
  <si>
    <t xml:space="preserve">BEM-SIM-0412190</t>
  </si>
  <si>
    <t xml:space="preserve">2018-12-25</t>
  </si>
  <si>
    <t xml:space="preserve">AFC-SIM-0000177</t>
  </si>
  <si>
    <t xml:space="preserve">BEM-SIM-0416243</t>
  </si>
  <si>
    <t xml:space="preserve">2011-07-18</t>
  </si>
  <si>
    <t xml:space="preserve">AFC-SIM-0000178</t>
  </si>
  <si>
    <t xml:space="preserve">BEM-SIM-0259465</t>
  </si>
  <si>
    <t xml:space="preserve">2019-04-02</t>
  </si>
  <si>
    <t xml:space="preserve">AFC-SIM-0000179</t>
  </si>
  <si>
    <t xml:space="preserve">BEM-SIM-0053619</t>
  </si>
  <si>
    <t xml:space="preserve">2022-12-11</t>
  </si>
  <si>
    <t xml:space="preserve">AFC-SIM-0000180</t>
  </si>
  <si>
    <t xml:space="preserve">BEM-SIM-0315139</t>
  </si>
  <si>
    <t xml:space="preserve">AFC-SIM-0000181</t>
  </si>
  <si>
    <t xml:space="preserve">BEM-SIM-0187678</t>
  </si>
  <si>
    <t xml:space="preserve">2010-05-17</t>
  </si>
  <si>
    <t xml:space="preserve">AFC-SIM-0000182</t>
  </si>
  <si>
    <t xml:space="preserve">BEM-SIM-0030819</t>
  </si>
  <si>
    <t xml:space="preserve">2021-01-04</t>
  </si>
  <si>
    <t xml:space="preserve">AFC-SIM-0000183</t>
  </si>
  <si>
    <t xml:space="preserve">BEM-SIM-0263551</t>
  </si>
  <si>
    <t xml:space="preserve">2020-12-26</t>
  </si>
  <si>
    <t xml:space="preserve">AFC-SIM-0000184</t>
  </si>
  <si>
    <t xml:space="preserve">BEM-SIM-0294005</t>
  </si>
  <si>
    <t xml:space="preserve">2022-01-11</t>
  </si>
  <si>
    <t xml:space="preserve">AFC-SIM-0000185</t>
  </si>
  <si>
    <t xml:space="preserve">BEM-SIM-0218185</t>
  </si>
  <si>
    <t xml:space="preserve">1996-12-26</t>
  </si>
  <si>
    <t xml:space="preserve">AFC-SIM-0000186</t>
  </si>
  <si>
    <t xml:space="preserve">BEM-SIM-0230037</t>
  </si>
  <si>
    <t xml:space="preserve">1998-11-14</t>
  </si>
  <si>
    <t xml:space="preserve">AFC-SIM-0000187</t>
  </si>
  <si>
    <t xml:space="preserve">BEM-SIM-0037673</t>
  </si>
  <si>
    <t xml:space="preserve">2018-08-08</t>
  </si>
  <si>
    <t xml:space="preserve">AFC-SIM-0000188</t>
  </si>
  <si>
    <t xml:space="preserve">BEM-SIM-0254256</t>
  </si>
  <si>
    <t xml:space="preserve">2008-08-16</t>
  </si>
  <si>
    <t xml:space="preserve">AFC-SIM-0000189</t>
  </si>
  <si>
    <t xml:space="preserve">BEM-SIM-0182826</t>
  </si>
  <si>
    <t xml:space="preserve">1990-02-19</t>
  </si>
  <si>
    <t xml:space="preserve">AFC-SIM-0000190</t>
  </si>
  <si>
    <t xml:space="preserve">BEM-SIM-0481468</t>
  </si>
  <si>
    <t xml:space="preserve">2005-05-07</t>
  </si>
  <si>
    <t xml:space="preserve">AFC-SIM-0000191</t>
  </si>
  <si>
    <t xml:space="preserve">BEM-SIM-0261712</t>
  </si>
  <si>
    <t xml:space="preserve">2018-12-24</t>
  </si>
  <si>
    <t xml:space="preserve">AFC-SIM-0000192</t>
  </si>
  <si>
    <t xml:space="preserve">BEM-SIM-0178070</t>
  </si>
  <si>
    <t xml:space="preserve">2019-05-28</t>
  </si>
  <si>
    <t xml:space="preserve">AFC-SIM-0000193</t>
  </si>
  <si>
    <t xml:space="preserve">BEM-SIM-0042704</t>
  </si>
  <si>
    <t xml:space="preserve">1999-07-23</t>
  </si>
  <si>
    <t xml:space="preserve">AFC-SIM-0000194</t>
  </si>
  <si>
    <t xml:space="preserve">BEM-SIM-0268628</t>
  </si>
  <si>
    <t xml:space="preserve">2011-11-27</t>
  </si>
  <si>
    <t xml:space="preserve">AFC-SIM-0000195</t>
  </si>
  <si>
    <t xml:space="preserve">BEM-SIM-0079692</t>
  </si>
  <si>
    <t xml:space="preserve">2000-01-14</t>
  </si>
  <si>
    <t xml:space="preserve">AFC-SIM-0000196</t>
  </si>
  <si>
    <t xml:space="preserve">BEM-SIM-0067908</t>
  </si>
  <si>
    <t xml:space="preserve">2011-06-07</t>
  </si>
  <si>
    <t xml:space="preserve">AFC-SIM-0000197</t>
  </si>
  <si>
    <t xml:space="preserve">BEM-SIM-0077946</t>
  </si>
  <si>
    <t xml:space="preserve">2021-09-20</t>
  </si>
  <si>
    <t xml:space="preserve">AFC-SIM-0000198</t>
  </si>
  <si>
    <t xml:space="preserve">BEM-SIM-0341861</t>
  </si>
  <si>
    <t xml:space="preserve">2022-08-03</t>
  </si>
  <si>
    <t xml:space="preserve">AFC-SIM-0000199</t>
  </si>
  <si>
    <t xml:space="preserve">BEM-SIM-0334268</t>
  </si>
  <si>
    <t xml:space="preserve">1994-09-07</t>
  </si>
  <si>
    <t xml:space="preserve">AFC-SIM-0000200</t>
  </si>
  <si>
    <t xml:space="preserve">BEM-SIM-0388802</t>
  </si>
  <si>
    <t xml:space="preserve">2024-04-27</t>
  </si>
  <si>
    <t xml:space="preserve">AFC-SIM-0000201</t>
  </si>
  <si>
    <t xml:space="preserve">BEM-SIM-0496650</t>
  </si>
  <si>
    <t xml:space="preserve">2025-12-08</t>
  </si>
  <si>
    <t xml:space="preserve">AFC-SIM-0000202</t>
  </si>
  <si>
    <t xml:space="preserve">BEM-SIM-0226938</t>
  </si>
  <si>
    <t xml:space="preserve">2014-11-27</t>
  </si>
  <si>
    <t xml:space="preserve">AFC-SIM-0000203</t>
  </si>
  <si>
    <t xml:space="preserve">BEM-SIM-0362644</t>
  </si>
  <si>
    <t xml:space="preserve">2015-12-13</t>
  </si>
  <si>
    <t xml:space="preserve">AFC-SIM-0000204</t>
  </si>
  <si>
    <t xml:space="preserve">BEM-SIM-0214661</t>
  </si>
  <si>
    <t xml:space="preserve">2015-09-01</t>
  </si>
  <si>
    <t xml:space="preserve">AFC-SIM-0000205</t>
  </si>
  <si>
    <t xml:space="preserve">BEM-SIM-0445454</t>
  </si>
  <si>
    <t xml:space="preserve">2014-04-23</t>
  </si>
  <si>
    <t xml:space="preserve">AFC-SIM-0000206</t>
  </si>
  <si>
    <t xml:space="preserve">BEM-SIM-0233498</t>
  </si>
  <si>
    <t xml:space="preserve">2017-12-13</t>
  </si>
  <si>
    <t xml:space="preserve">AFC-SIM-0000207</t>
  </si>
  <si>
    <t xml:space="preserve">BEM-SIM-0282663</t>
  </si>
  <si>
    <t xml:space="preserve">2015-06-07</t>
  </si>
  <si>
    <t xml:space="preserve">AFC-SIM-0000208</t>
  </si>
  <si>
    <t xml:space="preserve">BEM-SIM-0016118</t>
  </si>
  <si>
    <t xml:space="preserve">2012-09-04</t>
  </si>
  <si>
    <t xml:space="preserve">AFC-SIM-0000209</t>
  </si>
  <si>
    <t xml:space="preserve">BEM-SIM-0217024</t>
  </si>
  <si>
    <t xml:space="preserve">2013-06-01</t>
  </si>
  <si>
    <t xml:space="preserve">AFC-SIM-0000210</t>
  </si>
  <si>
    <t xml:space="preserve">BEM-SIM-0045287</t>
  </si>
  <si>
    <t xml:space="preserve">2005-10-08</t>
  </si>
  <si>
    <t xml:space="preserve">AFC-SIM-0000211</t>
  </si>
  <si>
    <t xml:space="preserve">BEM-SIM-0243791</t>
  </si>
  <si>
    <t xml:space="preserve">2015-10-19</t>
  </si>
  <si>
    <t xml:space="preserve">AFC-SIM-0000212</t>
  </si>
  <si>
    <t xml:space="preserve">BEM-SIM-0429375</t>
  </si>
  <si>
    <t xml:space="preserve">2007-11-21</t>
  </si>
  <si>
    <t xml:space="preserve">AFC-SIM-0000213</t>
  </si>
  <si>
    <t xml:space="preserve">BEM-SIM-0092028</t>
  </si>
  <si>
    <t xml:space="preserve">2018-02-18</t>
  </si>
  <si>
    <t xml:space="preserve">AFC-SIM-0000214</t>
  </si>
  <si>
    <t xml:space="preserve">BEM-SIM-0276617</t>
  </si>
  <si>
    <t xml:space="preserve">1997-12-23</t>
  </si>
  <si>
    <t xml:space="preserve">AFC-SIM-0000215</t>
  </si>
  <si>
    <t xml:space="preserve">BEM-SIM-0269451</t>
  </si>
  <si>
    <t xml:space="preserve">2000-03-01</t>
  </si>
  <si>
    <t xml:space="preserve">AFC-SIM-0000216</t>
  </si>
  <si>
    <t xml:space="preserve">BEM-SIM-0485641</t>
  </si>
  <si>
    <t xml:space="preserve">2021-01-01</t>
  </si>
  <si>
    <t xml:space="preserve">AFC-SIM-0000217</t>
  </si>
  <si>
    <t xml:space="preserve">BEM-SIM-0214295</t>
  </si>
  <si>
    <t xml:space="preserve">2004-08-18</t>
  </si>
  <si>
    <t xml:space="preserve">AFC-SIM-0000218</t>
  </si>
  <si>
    <t xml:space="preserve">BEM-SIM-0429214</t>
  </si>
  <si>
    <t xml:space="preserve">2022-12-13</t>
  </si>
  <si>
    <t xml:space="preserve">AFC-SIM-0000219</t>
  </si>
  <si>
    <t xml:space="preserve">BEM-SIM-0050040</t>
  </si>
  <si>
    <t xml:space="preserve">2017-01-26</t>
  </si>
  <si>
    <t xml:space="preserve">AFC-SIM-0000220</t>
  </si>
  <si>
    <t xml:space="preserve">BEM-SIM-0471161</t>
  </si>
  <si>
    <t xml:space="preserve">2016-09-26</t>
  </si>
  <si>
    <t xml:space="preserve">AFC-SIM-0000221</t>
  </si>
  <si>
    <t xml:space="preserve">BEM-SIM-0050501</t>
  </si>
  <si>
    <t xml:space="preserve">2019-12-16</t>
  </si>
  <si>
    <t xml:space="preserve">AFC-SIM-0000222</t>
  </si>
  <si>
    <t xml:space="preserve">BEM-SIM-0144754</t>
  </si>
  <si>
    <t xml:space="preserve">1992-07-05</t>
  </si>
  <si>
    <t xml:space="preserve">AFC-SIM-0000223</t>
  </si>
  <si>
    <t xml:space="preserve">BEM-SIM-0237852</t>
  </si>
  <si>
    <t xml:space="preserve">2014-02-09</t>
  </si>
  <si>
    <t xml:space="preserve">AFC-SIM-0000224</t>
  </si>
  <si>
    <t xml:space="preserve">BEM-SIM-0407843</t>
  </si>
  <si>
    <t xml:space="preserve">1992-04-08</t>
  </si>
  <si>
    <t xml:space="preserve">AFC-SIM-0000225</t>
  </si>
  <si>
    <t xml:space="preserve">BEM-SIM-0296336</t>
  </si>
  <si>
    <t xml:space="preserve">2013-09-16</t>
  </si>
  <si>
    <t xml:space="preserve">AFC-SIM-0000226</t>
  </si>
  <si>
    <t xml:space="preserve">BEM-SIM-0106765</t>
  </si>
  <si>
    <t xml:space="preserve">2022-09-25</t>
  </si>
  <si>
    <t xml:space="preserve">AFC-SIM-0000227</t>
  </si>
  <si>
    <t xml:space="preserve">BEM-SIM-0256900</t>
  </si>
  <si>
    <t xml:space="preserve">2008-12-13</t>
  </si>
  <si>
    <t xml:space="preserve">AFC-SIM-0000228</t>
  </si>
  <si>
    <t xml:space="preserve">BEM-SIM-0286465</t>
  </si>
  <si>
    <t xml:space="preserve">2000-05-23</t>
  </si>
  <si>
    <t xml:space="preserve">AFC-SIM-0000229</t>
  </si>
  <si>
    <t xml:space="preserve">BEM-SIM-0361638</t>
  </si>
  <si>
    <t xml:space="preserve">2023-05-13</t>
  </si>
  <si>
    <t xml:space="preserve">AFC-SIM-0000230</t>
  </si>
  <si>
    <t xml:space="preserve">BEM-SIM-0283656</t>
  </si>
  <si>
    <t xml:space="preserve">2011-08-22</t>
  </si>
  <si>
    <t xml:space="preserve">AFC-SIM-0000231</t>
  </si>
  <si>
    <t xml:space="preserve">BEM-SIM-0373982</t>
  </si>
  <si>
    <t xml:space="preserve">1991-02-15</t>
  </si>
  <si>
    <t xml:space="preserve">AFC-SIM-0000232</t>
  </si>
  <si>
    <t xml:space="preserve">BEM-SIM-0007776</t>
  </si>
  <si>
    <t xml:space="preserve">1992-12-15</t>
  </si>
  <si>
    <t xml:space="preserve">AFC-SIM-0000233</t>
  </si>
  <si>
    <t xml:space="preserve">BEM-SIM-0074027</t>
  </si>
  <si>
    <t xml:space="preserve">2012-06-18</t>
  </si>
  <si>
    <t xml:space="preserve">AFC-SIM-0000234</t>
  </si>
  <si>
    <t xml:space="preserve">BEM-SIM-0287944</t>
  </si>
  <si>
    <t xml:space="preserve">2007-06-18</t>
  </si>
  <si>
    <t xml:space="preserve">AFC-SIM-0000235</t>
  </si>
  <si>
    <t xml:space="preserve">BEM-SIM-0079824</t>
  </si>
  <si>
    <t xml:space="preserve">2014-04-19</t>
  </si>
  <si>
    <t xml:space="preserve">AFC-SIM-0000236</t>
  </si>
  <si>
    <t xml:space="preserve">BEM-SIM-0336377</t>
  </si>
  <si>
    <t xml:space="preserve">2011-07-10</t>
  </si>
  <si>
    <t xml:space="preserve">AFC-SIM-0000237</t>
  </si>
  <si>
    <t xml:space="preserve">BEM-SIM-0330168</t>
  </si>
  <si>
    <t xml:space="preserve">2008-08-03</t>
  </si>
  <si>
    <t xml:space="preserve">AFC-SIM-0000238</t>
  </si>
  <si>
    <t xml:space="preserve">BEM-SIM-0159546</t>
  </si>
  <si>
    <t xml:space="preserve">AFC-SIM-0000239</t>
  </si>
  <si>
    <t xml:space="preserve">BEM-SIM-0306341</t>
  </si>
  <si>
    <t xml:space="preserve">1987-07-11</t>
  </si>
  <si>
    <t xml:space="preserve">AFC-SIM-0000240</t>
  </si>
  <si>
    <t xml:space="preserve">BEM-SIM-0125916</t>
  </si>
  <si>
    <t xml:space="preserve">2011-05-25</t>
  </si>
  <si>
    <t xml:space="preserve">AFC-SIM-0000241</t>
  </si>
  <si>
    <t xml:space="preserve">BEM-SIM-0053153</t>
  </si>
  <si>
    <t xml:space="preserve">2019-12-21</t>
  </si>
  <si>
    <t xml:space="preserve">AFC-SIM-0000242</t>
  </si>
  <si>
    <t xml:space="preserve">BEM-SIM-0201929</t>
  </si>
  <si>
    <t xml:space="preserve">1999-01-07</t>
  </si>
  <si>
    <t xml:space="preserve">AFC-SIM-0000243</t>
  </si>
  <si>
    <t xml:space="preserve">BEM-SIM-0251641</t>
  </si>
  <si>
    <t xml:space="preserve">2018-08-02</t>
  </si>
  <si>
    <t xml:space="preserve">AFC-SIM-0000244</t>
  </si>
  <si>
    <t xml:space="preserve">BEM-SIM-0105737</t>
  </si>
  <si>
    <t xml:space="preserve">2015-07-22</t>
  </si>
  <si>
    <t xml:space="preserve">AFC-SIM-0000245</t>
  </si>
  <si>
    <t xml:space="preserve">BEM-SIM-0344259</t>
  </si>
  <si>
    <t xml:space="preserve">2012-02-01</t>
  </si>
  <si>
    <t xml:space="preserve">AFC-SIM-0000246</t>
  </si>
  <si>
    <t xml:space="preserve">BEM-SIM-0106213</t>
  </si>
  <si>
    <t xml:space="preserve">1997-08-24</t>
  </si>
  <si>
    <t xml:space="preserve">AFC-SIM-0000247</t>
  </si>
  <si>
    <t xml:space="preserve">BEM-SIM-0142788</t>
  </si>
  <si>
    <t xml:space="preserve">2009-10-15</t>
  </si>
  <si>
    <t xml:space="preserve">AFC-SIM-0000248</t>
  </si>
  <si>
    <t xml:space="preserve">BEM-SIM-0016993</t>
  </si>
  <si>
    <t xml:space="preserve">1999-03-25</t>
  </si>
  <si>
    <t xml:space="preserve">AFC-SIM-0000249</t>
  </si>
  <si>
    <t xml:space="preserve">BEM-SIM-0195675</t>
  </si>
  <si>
    <t xml:space="preserve">1996-06-13</t>
  </si>
  <si>
    <t xml:space="preserve">AFC-SIM-0000250</t>
  </si>
  <si>
    <t xml:space="preserve">BEM-SIM-0115466</t>
  </si>
  <si>
    <t xml:space="preserve">2018-12-05</t>
  </si>
  <si>
    <t xml:space="preserve">AFC-SIM-0000251</t>
  </si>
  <si>
    <t xml:space="preserve">BEM-SIM-0427347</t>
  </si>
  <si>
    <t xml:space="preserve">2023-04-14</t>
  </si>
  <si>
    <t xml:space="preserve">AFC-SIM-0000252</t>
  </si>
  <si>
    <t xml:space="preserve">BEM-SIM-0139385</t>
  </si>
  <si>
    <t xml:space="preserve">2004-05-01</t>
  </si>
  <si>
    <t xml:space="preserve">AFC-SIM-0000253</t>
  </si>
  <si>
    <t xml:space="preserve">BEM-SIM-0445751</t>
  </si>
  <si>
    <t xml:space="preserve">2022-10-21</t>
  </si>
  <si>
    <t xml:space="preserve">AFC-SIM-0000254</t>
  </si>
  <si>
    <t xml:space="preserve">BEM-SIM-0097672</t>
  </si>
  <si>
    <t xml:space="preserve">2013-10-17</t>
  </si>
  <si>
    <t xml:space="preserve">AFC-SIM-0000255</t>
  </si>
  <si>
    <t xml:space="preserve">BEM-SIM-0138967</t>
  </si>
  <si>
    <t xml:space="preserve">2015-07-16</t>
  </si>
  <si>
    <t xml:space="preserve">AFC-SIM-0000256</t>
  </si>
  <si>
    <t xml:space="preserve">BEM-SIM-0419695</t>
  </si>
  <si>
    <t xml:space="preserve">2013-06-20</t>
  </si>
  <si>
    <t xml:space="preserve">AFC-SIM-0000257</t>
  </si>
  <si>
    <t xml:space="preserve">BEM-SIM-0351711</t>
  </si>
  <si>
    <t xml:space="preserve">2024-04-11</t>
  </si>
  <si>
    <t xml:space="preserve">AFC-SIM-0000258</t>
  </si>
  <si>
    <t xml:space="preserve">BEM-SIM-0213410</t>
  </si>
  <si>
    <t xml:space="preserve">2019-02-16</t>
  </si>
  <si>
    <t xml:space="preserve">AFC-SIM-0000259</t>
  </si>
  <si>
    <t xml:space="preserve">BEM-SIM-0393933</t>
  </si>
  <si>
    <t xml:space="preserve">2009-06-12</t>
  </si>
  <si>
    <t xml:space="preserve">AFC-SIM-0000260</t>
  </si>
  <si>
    <t xml:space="preserve">BEM-SIM-0039607</t>
  </si>
  <si>
    <t xml:space="preserve">2023-08-22</t>
  </si>
  <si>
    <t xml:space="preserve">AFC-SIM-0000261</t>
  </si>
  <si>
    <t xml:space="preserve">BEM-SIM-0437723</t>
  </si>
  <si>
    <t xml:space="preserve">2001-01-17</t>
  </si>
  <si>
    <t xml:space="preserve">AFC-SIM-0000262</t>
  </si>
  <si>
    <t xml:space="preserve">BEM-SIM-0469654</t>
  </si>
  <si>
    <t xml:space="preserve">2016-08-10</t>
  </si>
  <si>
    <t xml:space="preserve">AFC-SIM-0000263</t>
  </si>
  <si>
    <t xml:space="preserve">BEM-SIM-0206760</t>
  </si>
  <si>
    <t xml:space="preserve">2019-09-20</t>
  </si>
  <si>
    <t xml:space="preserve">AFC-SIM-0000264</t>
  </si>
  <si>
    <t xml:space="preserve">BEM-SIM-0184455</t>
  </si>
  <si>
    <t xml:space="preserve">2025-02-16</t>
  </si>
  <si>
    <t xml:space="preserve">AFC-SIM-0000265</t>
  </si>
  <si>
    <t xml:space="preserve">BEM-SIM-0287529</t>
  </si>
  <si>
    <t xml:space="preserve">2020-12-15</t>
  </si>
  <si>
    <t xml:space="preserve">AFC-SIM-0000266</t>
  </si>
  <si>
    <t xml:space="preserve">BEM-SIM-0060579</t>
  </si>
  <si>
    <t xml:space="preserve">2003-10-03</t>
  </si>
  <si>
    <t xml:space="preserve">AFC-SIM-0000267</t>
  </si>
  <si>
    <t xml:space="preserve">BEM-SIM-0165767</t>
  </si>
  <si>
    <t xml:space="preserve">2021-03-25</t>
  </si>
  <si>
    <t xml:space="preserve">AFC-SIM-0000268</t>
  </si>
  <si>
    <t xml:space="preserve">BEM-SIM-0268031</t>
  </si>
  <si>
    <t xml:space="preserve">2020-09-15</t>
  </si>
  <si>
    <t xml:space="preserve">AFC-SIM-0000269</t>
  </si>
  <si>
    <t xml:space="preserve">BEM-SIM-0363726</t>
  </si>
  <si>
    <t xml:space="preserve">2021-04-27</t>
  </si>
  <si>
    <t xml:space="preserve">AFC-SIM-0000270</t>
  </si>
  <si>
    <t xml:space="preserve">BEM-SIM-0009753</t>
  </si>
  <si>
    <t xml:space="preserve">1992-03-23</t>
  </si>
  <si>
    <t xml:space="preserve">AFC-SIM-0000271</t>
  </si>
  <si>
    <t xml:space="preserve">BEM-SIM-0310767</t>
  </si>
  <si>
    <t xml:space="preserve">2017-07-15</t>
  </si>
  <si>
    <t xml:space="preserve">AFC-SIM-0000272</t>
  </si>
  <si>
    <t xml:space="preserve">BEM-SIM-0043450</t>
  </si>
  <si>
    <t xml:space="preserve">2007-05-01</t>
  </si>
  <si>
    <t xml:space="preserve">AFC-SIM-0000273</t>
  </si>
  <si>
    <t xml:space="preserve">BEM-SIM-0181772</t>
  </si>
  <si>
    <t xml:space="preserve">2024-06-09</t>
  </si>
  <si>
    <t xml:space="preserve">AFC-SIM-0000274</t>
  </si>
  <si>
    <t xml:space="preserve">BEM-SIM-0166117</t>
  </si>
  <si>
    <t xml:space="preserve">2017-11-23</t>
  </si>
  <si>
    <t xml:space="preserve">AFC-SIM-0000275</t>
  </si>
  <si>
    <t xml:space="preserve">BEM-SIM-0336180</t>
  </si>
  <si>
    <t xml:space="preserve">2017-07-13</t>
  </si>
  <si>
    <t xml:space="preserve">AFC-SIM-0000276</t>
  </si>
  <si>
    <t xml:space="preserve">BEM-SIM-0273043</t>
  </si>
  <si>
    <t xml:space="preserve">2013-11-16</t>
  </si>
  <si>
    <t xml:space="preserve">AFC-SIM-0000277</t>
  </si>
  <si>
    <t xml:space="preserve">BEM-SIM-0032622</t>
  </si>
  <si>
    <t xml:space="preserve">2015-06-10</t>
  </si>
  <si>
    <t xml:space="preserve">AFC-SIM-0000278</t>
  </si>
  <si>
    <t xml:space="preserve">BEM-SIM-0248248</t>
  </si>
  <si>
    <t xml:space="preserve">2025-08-15</t>
  </si>
  <si>
    <t xml:space="preserve">AFC-SIM-0000279</t>
  </si>
  <si>
    <t xml:space="preserve">BEM-SIM-0251721</t>
  </si>
  <si>
    <t xml:space="preserve">2005-10-26</t>
  </si>
  <si>
    <t xml:space="preserve">AFC-SIM-0000280</t>
  </si>
  <si>
    <t xml:space="preserve">BEM-SIM-0241393</t>
  </si>
  <si>
    <t xml:space="preserve">2022-12-20</t>
  </si>
  <si>
    <t xml:space="preserve">AFC-SIM-0000281</t>
  </si>
  <si>
    <t xml:space="preserve">BEM-SIM-0070487</t>
  </si>
  <si>
    <t xml:space="preserve">2015-05-06</t>
  </si>
  <si>
    <t xml:space="preserve">AFC-SIM-0000282</t>
  </si>
  <si>
    <t xml:space="preserve">BEM-SIM-0208794</t>
  </si>
  <si>
    <t xml:space="preserve">2018-04-04</t>
  </si>
  <si>
    <t xml:space="preserve">AFC-SIM-0000283</t>
  </si>
  <si>
    <t xml:space="preserve">BEM-SIM-0472133</t>
  </si>
  <si>
    <t xml:space="preserve">2024-12-24</t>
  </si>
  <si>
    <t xml:space="preserve">AFC-SIM-0000284</t>
  </si>
  <si>
    <t xml:space="preserve">BEM-SIM-0120299</t>
  </si>
  <si>
    <t xml:space="preserve">2005-12-18</t>
  </si>
  <si>
    <t xml:space="preserve">AFC-SIM-0000285</t>
  </si>
  <si>
    <t xml:space="preserve">BEM-SIM-0139405</t>
  </si>
  <si>
    <t xml:space="preserve">2002-02-16</t>
  </si>
  <si>
    <t xml:space="preserve">AFC-SIM-0000286</t>
  </si>
  <si>
    <t xml:space="preserve">BEM-SIM-0343649</t>
  </si>
  <si>
    <t xml:space="preserve">2021-04-06</t>
  </si>
  <si>
    <t xml:space="preserve">AFC-SIM-0000287</t>
  </si>
  <si>
    <t xml:space="preserve">BEM-SIM-0018793</t>
  </si>
  <si>
    <t xml:space="preserve">2016-07-19</t>
  </si>
  <si>
    <t xml:space="preserve">AFC-SIM-0000288</t>
  </si>
  <si>
    <t xml:space="preserve">BEM-SIM-0066976</t>
  </si>
  <si>
    <t xml:space="preserve">2011-10-11</t>
  </si>
  <si>
    <t xml:space="preserve">AFC-SIM-0000289</t>
  </si>
  <si>
    <t xml:space="preserve">BEM-SIM-0297265</t>
  </si>
  <si>
    <t xml:space="preserve">1995-07-14</t>
  </si>
  <si>
    <t xml:space="preserve">AFC-SIM-0000290</t>
  </si>
  <si>
    <t xml:space="preserve">BEM-SIM-0228096</t>
  </si>
  <si>
    <t xml:space="preserve">2010-11-27</t>
  </si>
  <si>
    <t xml:space="preserve">AFC-SIM-0000291</t>
  </si>
  <si>
    <t xml:space="preserve">BEM-SIM-0328749</t>
  </si>
  <si>
    <t xml:space="preserve">2010-05-18</t>
  </si>
  <si>
    <t xml:space="preserve">AFC-SIM-0000292</t>
  </si>
  <si>
    <t xml:space="preserve">BEM-SIM-0460409</t>
  </si>
  <si>
    <t xml:space="preserve">2011-08-17</t>
  </si>
  <si>
    <t xml:space="preserve">AFC-SIM-0000293</t>
  </si>
  <si>
    <t xml:space="preserve">BEM-SIM-0253330</t>
  </si>
  <si>
    <t xml:space="preserve">2006-03-23</t>
  </si>
  <si>
    <t xml:space="preserve">AFC-SIM-0000294</t>
  </si>
  <si>
    <t xml:space="preserve">BEM-SIM-0388483</t>
  </si>
  <si>
    <t xml:space="preserve">2025-01-26</t>
  </si>
  <si>
    <t xml:space="preserve">AFC-SIM-0000295</t>
  </si>
  <si>
    <t xml:space="preserve">BEM-SIM-0003590</t>
  </si>
  <si>
    <t xml:space="preserve">2012-04-16</t>
  </si>
  <si>
    <t xml:space="preserve">AFC-SIM-0000296</t>
  </si>
  <si>
    <t xml:space="preserve">BEM-SIM-0305503</t>
  </si>
  <si>
    <t xml:space="preserve">2019-06-17</t>
  </si>
  <si>
    <t xml:space="preserve">AFC-SIM-0000297</t>
  </si>
  <si>
    <t xml:space="preserve">BEM-SIM-0322778</t>
  </si>
  <si>
    <t xml:space="preserve">2014-10-22</t>
  </si>
  <si>
    <t xml:space="preserve">AFC-SIM-0000298</t>
  </si>
  <si>
    <t xml:space="preserve">BEM-SIM-0277383</t>
  </si>
  <si>
    <t xml:space="preserve">2018-04-08</t>
  </si>
  <si>
    <t xml:space="preserve">AFC-SIM-0000299</t>
  </si>
  <si>
    <t xml:space="preserve">BEM-SIM-0157495</t>
  </si>
  <si>
    <t xml:space="preserve">2016-07-11</t>
  </si>
  <si>
    <t xml:space="preserve">AFC-SIM-0000300</t>
  </si>
  <si>
    <t xml:space="preserve">BEM-SIM-0126799</t>
  </si>
  <si>
    <t xml:space="preserve">2015-12-04</t>
  </si>
  <si>
    <t xml:space="preserve">AFC-SIM-0000301</t>
  </si>
  <si>
    <t xml:space="preserve">BEM-SIM-0277759</t>
  </si>
  <si>
    <t xml:space="preserve">2012-07-06</t>
  </si>
  <si>
    <t xml:space="preserve">AFC-SIM-0000302</t>
  </si>
  <si>
    <t xml:space="preserve">BEM-SIM-0199395</t>
  </si>
  <si>
    <t xml:space="preserve">2003-09-24</t>
  </si>
  <si>
    <t xml:space="preserve">AFC-SIM-0000303</t>
  </si>
  <si>
    <t xml:space="preserve">BEM-SIM-0033777</t>
  </si>
  <si>
    <t xml:space="preserve">2024-02-01</t>
  </si>
  <si>
    <t xml:space="preserve">AFC-SIM-0000304</t>
  </si>
  <si>
    <t xml:space="preserve">BEM-SIM-0465811</t>
  </si>
  <si>
    <t xml:space="preserve">2020-01-26</t>
  </si>
  <si>
    <t xml:space="preserve">AFC-SIM-0000305</t>
  </si>
  <si>
    <t xml:space="preserve">BEM-SIM-0404889</t>
  </si>
  <si>
    <t xml:space="preserve">2022-11-16</t>
  </si>
  <si>
    <t xml:space="preserve">AFC-SIM-0000306</t>
  </si>
  <si>
    <t xml:space="preserve">BEM-SIM-0462600</t>
  </si>
  <si>
    <t xml:space="preserve">2024-03-23</t>
  </si>
  <si>
    <t xml:space="preserve">AFC-SIM-0000307</t>
  </si>
  <si>
    <t xml:space="preserve">BEM-SIM-0259279</t>
  </si>
  <si>
    <t xml:space="preserve">2010-05-25</t>
  </si>
  <si>
    <t xml:space="preserve">AFC-SIM-0000308</t>
  </si>
  <si>
    <t xml:space="preserve">BEM-SIM-0435671</t>
  </si>
  <si>
    <t xml:space="preserve">2004-07-21</t>
  </si>
  <si>
    <t xml:space="preserve">AFC-SIM-0000309</t>
  </si>
  <si>
    <t xml:space="preserve">BEM-SIM-0000475</t>
  </si>
  <si>
    <t xml:space="preserve">2021-01-23</t>
  </si>
  <si>
    <t xml:space="preserve">AFC-SIM-0000310</t>
  </si>
  <si>
    <t xml:space="preserve">BEM-SIM-0054548</t>
  </si>
  <si>
    <t xml:space="preserve">2025-04-02</t>
  </si>
  <si>
    <t xml:space="preserve">AFC-SIM-0000311</t>
  </si>
  <si>
    <t xml:space="preserve">BEM-SIM-0122657</t>
  </si>
  <si>
    <t xml:space="preserve">2004-01-17</t>
  </si>
  <si>
    <t xml:space="preserve">AFC-SIM-0000312</t>
  </si>
  <si>
    <t xml:space="preserve">BEM-SIM-0201420</t>
  </si>
  <si>
    <t xml:space="preserve">2007-03-03</t>
  </si>
  <si>
    <t xml:space="preserve">AFC-SIM-0000313</t>
  </si>
  <si>
    <t xml:space="preserve">BEM-SIM-0477058</t>
  </si>
  <si>
    <t xml:space="preserve">2005-06-19</t>
  </si>
  <si>
    <t xml:space="preserve">AFC-SIM-0000314</t>
  </si>
  <si>
    <t xml:space="preserve">BEM-SIM-0171300</t>
  </si>
  <si>
    <t xml:space="preserve">2006-08-28</t>
  </si>
  <si>
    <t xml:space="preserve">AFC-SIM-0000315</t>
  </si>
  <si>
    <t xml:space="preserve">BEM-SIM-0193782</t>
  </si>
  <si>
    <t xml:space="preserve">2011-02-19</t>
  </si>
  <si>
    <t xml:space="preserve">AFC-SIM-0000316</t>
  </si>
  <si>
    <t xml:space="preserve">BEM-SIM-0014450</t>
  </si>
  <si>
    <t xml:space="preserve">2015-04-07</t>
  </si>
  <si>
    <t xml:space="preserve">AFC-SIM-0000317</t>
  </si>
  <si>
    <t xml:space="preserve">BEM-SIM-0102625</t>
  </si>
  <si>
    <t xml:space="preserve">2013-12-12</t>
  </si>
  <si>
    <t xml:space="preserve">AFC-SIM-0000318</t>
  </si>
  <si>
    <t xml:space="preserve">BEM-SIM-0168402</t>
  </si>
  <si>
    <t xml:space="preserve">1998-01-20</t>
  </si>
  <si>
    <t xml:space="preserve">AFC-SIM-0000319</t>
  </si>
  <si>
    <t xml:space="preserve">BEM-SIM-0457300</t>
  </si>
  <si>
    <t xml:space="preserve">2019-05-17</t>
  </si>
  <si>
    <t xml:space="preserve">AFC-SIM-0000320</t>
  </si>
  <si>
    <t xml:space="preserve">BEM-SIM-0402703</t>
  </si>
  <si>
    <t xml:space="preserve">2012-09-28</t>
  </si>
  <si>
    <t xml:space="preserve">AFC-SIM-0000321</t>
  </si>
  <si>
    <t xml:space="preserve">BEM-SIM-0251945</t>
  </si>
  <si>
    <t xml:space="preserve">2023-12-25</t>
  </si>
  <si>
    <t xml:space="preserve">AFC-SIM-0000322</t>
  </si>
  <si>
    <t xml:space="preserve">BEM-SIM-0392414</t>
  </si>
  <si>
    <t xml:space="preserve">2004-05-05</t>
  </si>
  <si>
    <t xml:space="preserve">AFC-SIM-0000323</t>
  </si>
  <si>
    <t xml:space="preserve">BEM-SIM-0337360</t>
  </si>
  <si>
    <t xml:space="preserve">2002-10-22</t>
  </si>
  <si>
    <t xml:space="preserve">AFC-SIM-0000324</t>
  </si>
  <si>
    <t xml:space="preserve">BEM-SIM-0430121</t>
  </si>
  <si>
    <t xml:space="preserve">1990-11-17</t>
  </si>
  <si>
    <t xml:space="preserve">AFC-SIM-0000325</t>
  </si>
  <si>
    <t xml:space="preserve">BEM-SIM-0024394</t>
  </si>
  <si>
    <t xml:space="preserve">2010-12-14</t>
  </si>
  <si>
    <t xml:space="preserve">AFC-SIM-0000326</t>
  </si>
  <si>
    <t xml:space="preserve">BEM-SIM-0157835</t>
  </si>
  <si>
    <t xml:space="preserve">2017-02-27</t>
  </si>
  <si>
    <t xml:space="preserve">AFC-SIM-0000327</t>
  </si>
  <si>
    <t xml:space="preserve">BEM-SIM-0416459</t>
  </si>
  <si>
    <t xml:space="preserve">2009-08-20</t>
  </si>
  <si>
    <t xml:space="preserve">AFC-SIM-0000328</t>
  </si>
  <si>
    <t xml:space="preserve">BEM-SIM-0052902</t>
  </si>
  <si>
    <t xml:space="preserve">2019-01-05</t>
  </si>
  <si>
    <t xml:space="preserve">AFC-SIM-0000329</t>
  </si>
  <si>
    <t xml:space="preserve">BEM-SIM-0232986</t>
  </si>
  <si>
    <t xml:space="preserve">2006-03-07</t>
  </si>
  <si>
    <t xml:space="preserve">AFC-SIM-0000330</t>
  </si>
  <si>
    <t xml:space="preserve">BEM-SIM-0358235</t>
  </si>
  <si>
    <t xml:space="preserve">2013-01-25</t>
  </si>
  <si>
    <t xml:space="preserve">AFC-SIM-0000331</t>
  </si>
  <si>
    <t xml:space="preserve">BEM-SIM-0194097</t>
  </si>
  <si>
    <t xml:space="preserve">2012-11-25</t>
  </si>
  <si>
    <t xml:space="preserve">AFC-SIM-0000332</t>
  </si>
  <si>
    <t xml:space="preserve">BEM-SIM-0368299</t>
  </si>
  <si>
    <t xml:space="preserve">1996-04-21</t>
  </si>
  <si>
    <t xml:space="preserve">AFC-SIM-0000333</t>
  </si>
  <si>
    <t xml:space="preserve">BEM-SIM-0063235</t>
  </si>
  <si>
    <t xml:space="preserve">1997-11-09</t>
  </si>
  <si>
    <t xml:space="preserve">AFC-SIM-0000334</t>
  </si>
  <si>
    <t xml:space="preserve">BEM-SIM-0134260</t>
  </si>
  <si>
    <t xml:space="preserve">2004-12-09</t>
  </si>
  <si>
    <t xml:space="preserve">AFC-SIM-0000335</t>
  </si>
  <si>
    <t xml:space="preserve">BEM-SIM-0196912</t>
  </si>
  <si>
    <t xml:space="preserve">AFC-SIM-0000336</t>
  </si>
  <si>
    <t xml:space="preserve">BEM-SIM-0130390</t>
  </si>
  <si>
    <t xml:space="preserve">2018-09-14</t>
  </si>
  <si>
    <t xml:space="preserve">AFC-SIM-0000337</t>
  </si>
  <si>
    <t xml:space="preserve">BEM-SIM-0322379</t>
  </si>
  <si>
    <t xml:space="preserve">1993-09-07</t>
  </si>
  <si>
    <t xml:space="preserve">AFC-SIM-0000338</t>
  </si>
  <si>
    <t xml:space="preserve">BEM-SIM-0259784</t>
  </si>
  <si>
    <t xml:space="preserve">2016-07-13</t>
  </si>
  <si>
    <t xml:space="preserve">AFC-SIM-0000339</t>
  </si>
  <si>
    <t xml:space="preserve">BEM-SIM-0369145</t>
  </si>
  <si>
    <t xml:space="preserve">2012-10-05</t>
  </si>
  <si>
    <t xml:space="preserve">AFC-SIM-0000340</t>
  </si>
  <si>
    <t xml:space="preserve">BEM-SIM-0345254</t>
  </si>
  <si>
    <t xml:space="preserve">2020-07-06</t>
  </si>
  <si>
    <t xml:space="preserve">AFC-SIM-0000341</t>
  </si>
  <si>
    <t xml:space="preserve">BEM-SIM-0174084</t>
  </si>
  <si>
    <t xml:space="preserve">2009-03-24</t>
  </si>
  <si>
    <t xml:space="preserve">AFC-SIM-0000342</t>
  </si>
  <si>
    <t xml:space="preserve">BEM-SIM-0105370</t>
  </si>
  <si>
    <t xml:space="preserve">2023-08-23</t>
  </si>
  <si>
    <t xml:space="preserve">AFC-SIM-0000343</t>
  </si>
  <si>
    <t xml:space="preserve">BEM-SIM-0350666</t>
  </si>
  <si>
    <t xml:space="preserve">2005-11-18</t>
  </si>
  <si>
    <t xml:space="preserve">AFC-SIM-0000344</t>
  </si>
  <si>
    <t xml:space="preserve">BEM-SIM-0411349</t>
  </si>
  <si>
    <t xml:space="preserve">2003-04-20</t>
  </si>
  <si>
    <t xml:space="preserve">AFC-SIM-0000345</t>
  </si>
  <si>
    <t xml:space="preserve">BEM-SIM-0443827</t>
  </si>
  <si>
    <t xml:space="preserve">1992-05-25</t>
  </si>
  <si>
    <t xml:space="preserve">AFC-SIM-0000346</t>
  </si>
  <si>
    <t xml:space="preserve">BEM-SIM-0345345</t>
  </si>
  <si>
    <t xml:space="preserve">2006-04-22</t>
  </si>
  <si>
    <t xml:space="preserve">AFC-SIM-0000347</t>
  </si>
  <si>
    <t xml:space="preserve">BEM-SIM-0050696</t>
  </si>
  <si>
    <t xml:space="preserve">2014-03-10</t>
  </si>
  <si>
    <t xml:space="preserve">AFC-SIM-0000348</t>
  </si>
  <si>
    <t xml:space="preserve">BEM-SIM-0420402</t>
  </si>
  <si>
    <t xml:space="preserve">1993-06-01</t>
  </si>
  <si>
    <t xml:space="preserve">AFC-SIM-0000349</t>
  </si>
  <si>
    <t xml:space="preserve">BEM-SIM-0212358</t>
  </si>
  <si>
    <t xml:space="preserve">2009-02-28</t>
  </si>
  <si>
    <t xml:space="preserve">AFC-SIM-0000350</t>
  </si>
  <si>
    <t xml:space="preserve">BEM-SIM-0135215</t>
  </si>
  <si>
    <t xml:space="preserve">2003-03-05</t>
  </si>
  <si>
    <t xml:space="preserve">AFC-SIM-0000351</t>
  </si>
  <si>
    <t xml:space="preserve">BEM-SIM-0007551</t>
  </si>
  <si>
    <t xml:space="preserve">2010-07-03</t>
  </si>
  <si>
    <t xml:space="preserve">AFC-SIM-0000352</t>
  </si>
  <si>
    <t xml:space="preserve">BEM-SIM-0491917</t>
  </si>
  <si>
    <t xml:space="preserve">2007-05-08</t>
  </si>
  <si>
    <t xml:space="preserve">AFC-SIM-0000353</t>
  </si>
  <si>
    <t xml:space="preserve">BEM-SIM-0305165</t>
  </si>
  <si>
    <t xml:space="preserve">1992-08-21</t>
  </si>
  <si>
    <t xml:space="preserve">AFC-SIM-0000354</t>
  </si>
  <si>
    <t xml:space="preserve">BEM-SIM-0399421</t>
  </si>
  <si>
    <t xml:space="preserve">2014-07-04</t>
  </si>
  <si>
    <t xml:space="preserve">AFC-SIM-0000355</t>
  </si>
  <si>
    <t xml:space="preserve">BEM-SIM-0392950</t>
  </si>
  <si>
    <t xml:space="preserve">2007-02-28</t>
  </si>
  <si>
    <t xml:space="preserve">AFC-SIM-0000356</t>
  </si>
  <si>
    <t xml:space="preserve">BEM-SIM-0012417</t>
  </si>
  <si>
    <t xml:space="preserve">2009-11-08</t>
  </si>
  <si>
    <t xml:space="preserve">AFC-SIM-0000357</t>
  </si>
  <si>
    <t xml:space="preserve">BEM-SIM-0306708</t>
  </si>
  <si>
    <t xml:space="preserve">2017-01-06</t>
  </si>
  <si>
    <t xml:space="preserve">AFC-SIM-0000358</t>
  </si>
  <si>
    <t xml:space="preserve">BEM-SIM-0094329</t>
  </si>
  <si>
    <t xml:space="preserve">2010-12-04</t>
  </si>
  <si>
    <t xml:space="preserve">AFC-SIM-0000359</t>
  </si>
  <si>
    <t xml:space="preserve">BEM-SIM-0349360</t>
  </si>
  <si>
    <t xml:space="preserve">2023-12-05</t>
  </si>
  <si>
    <t xml:space="preserve">AFC-SIM-0000360</t>
  </si>
  <si>
    <t xml:space="preserve">BEM-SIM-0324807</t>
  </si>
  <si>
    <t xml:space="preserve">2012-03-18</t>
  </si>
  <si>
    <t xml:space="preserve">AFC-SIM-0000361</t>
  </si>
  <si>
    <t xml:space="preserve">BEM-SIM-0057843</t>
  </si>
  <si>
    <t xml:space="preserve">2001-11-18</t>
  </si>
  <si>
    <t xml:space="preserve">AFC-SIM-0000362</t>
  </si>
  <si>
    <t xml:space="preserve">BEM-SIM-0336514</t>
  </si>
  <si>
    <t xml:space="preserve">2000-09-20</t>
  </si>
  <si>
    <t xml:space="preserve">AFC-SIM-0000363</t>
  </si>
  <si>
    <t xml:space="preserve">BEM-SIM-0378745</t>
  </si>
  <si>
    <t xml:space="preserve">2025-12-07</t>
  </si>
  <si>
    <t xml:space="preserve">AFC-SIM-0000364</t>
  </si>
  <si>
    <t xml:space="preserve">BEM-SIM-0403355</t>
  </si>
  <si>
    <t xml:space="preserve">2022-12-25</t>
  </si>
  <si>
    <t xml:space="preserve">AFC-SIM-0000365</t>
  </si>
  <si>
    <t xml:space="preserve">BEM-SIM-0135323</t>
  </si>
  <si>
    <t xml:space="preserve">2016-01-20</t>
  </si>
  <si>
    <t xml:space="preserve">AFC-SIM-0000366</t>
  </si>
  <si>
    <t xml:space="preserve">BEM-SIM-0419630</t>
  </si>
  <si>
    <t xml:space="preserve">2023-11-23</t>
  </si>
  <si>
    <t xml:space="preserve">AFC-SIM-0000367</t>
  </si>
  <si>
    <t xml:space="preserve">BEM-SIM-0297822</t>
  </si>
  <si>
    <t xml:space="preserve">2016-12-28</t>
  </si>
  <si>
    <t xml:space="preserve">AFC-SIM-0000368</t>
  </si>
  <si>
    <t xml:space="preserve">BEM-SIM-0027825</t>
  </si>
  <si>
    <t xml:space="preserve">2020-03-24</t>
  </si>
  <si>
    <t xml:space="preserve">AFC-SIM-0000369</t>
  </si>
  <si>
    <t xml:space="preserve">BEM-SIM-0266338</t>
  </si>
  <si>
    <t xml:space="preserve">2005-08-01</t>
  </si>
  <si>
    <t xml:space="preserve">AFC-SIM-0000370</t>
  </si>
  <si>
    <t xml:space="preserve">BEM-SIM-0065979</t>
  </si>
  <si>
    <t xml:space="preserve">2014-04-16</t>
  </si>
  <si>
    <t xml:space="preserve">AFC-SIM-0000371</t>
  </si>
  <si>
    <t xml:space="preserve">BEM-SIM-0052473</t>
  </si>
  <si>
    <t xml:space="preserve">2010-04-08</t>
  </si>
  <si>
    <t xml:space="preserve">AFC-SIM-0000372</t>
  </si>
  <si>
    <t xml:space="preserve">BEM-SIM-0369075</t>
  </si>
  <si>
    <t xml:space="preserve">2001-07-26</t>
  </si>
  <si>
    <t xml:space="preserve">AFC-SIM-0000373</t>
  </si>
  <si>
    <t xml:space="preserve">BEM-SIM-0013188</t>
  </si>
  <si>
    <t xml:space="preserve">1990-12-14</t>
  </si>
  <si>
    <t xml:space="preserve">AFC-SIM-0000374</t>
  </si>
  <si>
    <t xml:space="preserve">BEM-SIM-0197686</t>
  </si>
  <si>
    <t xml:space="preserve">2005-10-19</t>
  </si>
  <si>
    <t xml:space="preserve">AFC-SIM-0000375</t>
  </si>
  <si>
    <t xml:space="preserve">BEM-SIM-0022668</t>
  </si>
  <si>
    <t xml:space="preserve">1993-09-05</t>
  </si>
  <si>
    <t xml:space="preserve">AFC-SIM-0000376</t>
  </si>
  <si>
    <t xml:space="preserve">BEM-SIM-0382042</t>
  </si>
  <si>
    <t xml:space="preserve">2006-04-02</t>
  </si>
  <si>
    <t xml:space="preserve">AFC-SIM-0000377</t>
  </si>
  <si>
    <t xml:space="preserve">BEM-SIM-0029045</t>
  </si>
  <si>
    <t xml:space="preserve">2024-09-15</t>
  </si>
  <si>
    <t xml:space="preserve">AFC-SIM-0000378</t>
  </si>
  <si>
    <t xml:space="preserve">BEM-SIM-0435040</t>
  </si>
  <si>
    <t xml:space="preserve">2018-03-03</t>
  </si>
  <si>
    <t xml:space="preserve">AFC-SIM-0000379</t>
  </si>
  <si>
    <t xml:space="preserve">BEM-SIM-0165384</t>
  </si>
  <si>
    <t xml:space="preserve">2000-06-06</t>
  </si>
  <si>
    <t xml:space="preserve">AFC-SIM-0000380</t>
  </si>
  <si>
    <t xml:space="preserve">BEM-SIM-0349350</t>
  </si>
  <si>
    <t xml:space="preserve">2016-05-26</t>
  </si>
  <si>
    <t xml:space="preserve">AFC-SIM-0000381</t>
  </si>
  <si>
    <t xml:space="preserve">BEM-SIM-0422901</t>
  </si>
  <si>
    <t xml:space="preserve">2020-05-15</t>
  </si>
  <si>
    <t xml:space="preserve">AFC-SIM-0000382</t>
  </si>
  <si>
    <t xml:space="preserve">BEM-SIM-0320860</t>
  </si>
  <si>
    <t xml:space="preserve">2024-07-14</t>
  </si>
  <si>
    <t xml:space="preserve">AFC-SIM-0000383</t>
  </si>
  <si>
    <t xml:space="preserve">BEM-SIM-0080187</t>
  </si>
  <si>
    <t xml:space="preserve">2005-04-10</t>
  </si>
  <si>
    <t xml:space="preserve">AFC-SIM-0000384</t>
  </si>
  <si>
    <t xml:space="preserve">BEM-SIM-0216137</t>
  </si>
  <si>
    <t xml:space="preserve">1991-10-03</t>
  </si>
  <si>
    <t xml:space="preserve">AFC-SIM-0000385</t>
  </si>
  <si>
    <t xml:space="preserve">BEM-SIM-0342563</t>
  </si>
  <si>
    <t xml:space="preserve">2016-03-26</t>
  </si>
  <si>
    <t xml:space="preserve">AFC-SIM-0000386</t>
  </si>
  <si>
    <t xml:space="preserve">BEM-SIM-0122492</t>
  </si>
  <si>
    <t xml:space="preserve">2024-05-20</t>
  </si>
  <si>
    <t xml:space="preserve">AFC-SIM-0000387</t>
  </si>
  <si>
    <t xml:space="preserve">BEM-SIM-0237952</t>
  </si>
  <si>
    <t xml:space="preserve">1996-10-06</t>
  </si>
  <si>
    <t xml:space="preserve">AFC-SIM-0000388</t>
  </si>
  <si>
    <t xml:space="preserve">BEM-SIM-0229031</t>
  </si>
  <si>
    <t xml:space="preserve">1993-09-25</t>
  </si>
  <si>
    <t xml:space="preserve">AFC-SIM-0000389</t>
  </si>
  <si>
    <t xml:space="preserve">BEM-SIM-0268973</t>
  </si>
  <si>
    <t xml:space="preserve">1993-12-23</t>
  </si>
  <si>
    <t xml:space="preserve">AFC-SIM-0000390</t>
  </si>
  <si>
    <t xml:space="preserve">BEM-SIM-0198275</t>
  </si>
  <si>
    <t xml:space="preserve">2009-06-28</t>
  </si>
  <si>
    <t xml:space="preserve">AFC-SIM-0000391</t>
  </si>
  <si>
    <t xml:space="preserve">BEM-SIM-0293527</t>
  </si>
  <si>
    <t xml:space="preserve">2020-06-25</t>
  </si>
  <si>
    <t xml:space="preserve">AFC-SIM-0000392</t>
  </si>
  <si>
    <t xml:space="preserve">BEM-SIM-0174704</t>
  </si>
  <si>
    <t xml:space="preserve">2020-02-19</t>
  </si>
  <si>
    <t xml:space="preserve">AFC-SIM-0000393</t>
  </si>
  <si>
    <t xml:space="preserve">BEM-SIM-0283539</t>
  </si>
  <si>
    <t xml:space="preserve">2023-10-24</t>
  </si>
  <si>
    <t xml:space="preserve">AFC-SIM-0000394</t>
  </si>
  <si>
    <t xml:space="preserve">BEM-SIM-0287243</t>
  </si>
  <si>
    <t xml:space="preserve">2011-07-23</t>
  </si>
  <si>
    <t xml:space="preserve">AFC-SIM-0000395</t>
  </si>
  <si>
    <t xml:space="preserve">BEM-SIM-0395586</t>
  </si>
  <si>
    <t xml:space="preserve">2011-04-03</t>
  </si>
  <si>
    <t xml:space="preserve">AFC-SIM-0000396</t>
  </si>
  <si>
    <t xml:space="preserve">BEM-SIM-0183788</t>
  </si>
  <si>
    <t xml:space="preserve">2015-02-24</t>
  </si>
  <si>
    <t xml:space="preserve">AFC-SIM-0000397</t>
  </si>
  <si>
    <t xml:space="preserve">BEM-SIM-0384266</t>
  </si>
  <si>
    <t xml:space="preserve">1990-02-20</t>
  </si>
  <si>
    <t xml:space="preserve">AFC-SIM-0000398</t>
  </si>
  <si>
    <t xml:space="preserve">BEM-SIM-0361496</t>
  </si>
  <si>
    <t xml:space="preserve">2016-10-13</t>
  </si>
  <si>
    <t xml:space="preserve">AFC-SIM-0000399</t>
  </si>
  <si>
    <t xml:space="preserve">BEM-SIM-0086164</t>
  </si>
  <si>
    <t xml:space="preserve">2012-12-28</t>
  </si>
  <si>
    <t xml:space="preserve">AFC-SIM-0000400</t>
  </si>
  <si>
    <t xml:space="preserve">BEM-SIM-0293484</t>
  </si>
  <si>
    <t xml:space="preserve">2013-10-23</t>
  </si>
  <si>
    <t xml:space="preserve">AFC-SIM-0000401</t>
  </si>
  <si>
    <t xml:space="preserve">BEM-SIM-0286224</t>
  </si>
  <si>
    <t xml:space="preserve">2015-11-02</t>
  </si>
  <si>
    <t xml:space="preserve">AFC-SIM-0000402</t>
  </si>
  <si>
    <t xml:space="preserve">BEM-SIM-0190271</t>
  </si>
  <si>
    <t xml:space="preserve">2018-06-08</t>
  </si>
  <si>
    <t xml:space="preserve">AFC-SIM-0000403</t>
  </si>
  <si>
    <t xml:space="preserve">BEM-SIM-0069604</t>
  </si>
  <si>
    <t xml:space="preserve">1997-07-04</t>
  </si>
  <si>
    <t xml:space="preserve">AFC-SIM-0000404</t>
  </si>
  <si>
    <t xml:space="preserve">BEM-SIM-0192744</t>
  </si>
  <si>
    <t xml:space="preserve">2007-04-26</t>
  </si>
  <si>
    <t xml:space="preserve">AFC-SIM-0000405</t>
  </si>
  <si>
    <t xml:space="preserve">BEM-SIM-0124936</t>
  </si>
  <si>
    <t xml:space="preserve">2021-04-13</t>
  </si>
  <si>
    <t xml:space="preserve">AFC-SIM-0000406</t>
  </si>
  <si>
    <t xml:space="preserve">BEM-SIM-0356021</t>
  </si>
  <si>
    <t xml:space="preserve">2013-02-16</t>
  </si>
  <si>
    <t xml:space="preserve">AFC-SIM-0000407</t>
  </si>
  <si>
    <t xml:space="preserve">BEM-SIM-0261298</t>
  </si>
  <si>
    <t xml:space="preserve">2018-08-09</t>
  </si>
  <si>
    <t xml:space="preserve">AFC-SIM-0000408</t>
  </si>
  <si>
    <t xml:space="preserve">BEM-SIM-0158954</t>
  </si>
  <si>
    <t xml:space="preserve">2005-03-20</t>
  </si>
  <si>
    <t xml:space="preserve">AFC-SIM-0000409</t>
  </si>
  <si>
    <t xml:space="preserve">BEM-SIM-0330898</t>
  </si>
  <si>
    <t xml:space="preserve">2019-11-25</t>
  </si>
  <si>
    <t xml:space="preserve">AFC-SIM-0000410</t>
  </si>
  <si>
    <t xml:space="preserve">BEM-SIM-0140241</t>
  </si>
  <si>
    <t xml:space="preserve">2023-06-08</t>
  </si>
  <si>
    <t xml:space="preserve">AFC-SIM-0000411</t>
  </si>
  <si>
    <t xml:space="preserve">BEM-SIM-0049445</t>
  </si>
  <si>
    <t xml:space="preserve">2022-11-17</t>
  </si>
  <si>
    <t xml:space="preserve">AFC-SIM-0000412</t>
  </si>
  <si>
    <t xml:space="preserve">BEM-SIM-0205144</t>
  </si>
  <si>
    <t xml:space="preserve">2022-10-28</t>
  </si>
  <si>
    <t xml:space="preserve">AFC-SIM-0000413</t>
  </si>
  <si>
    <t xml:space="preserve">BEM-SIM-0030787</t>
  </si>
  <si>
    <t xml:space="preserve">2013-05-15</t>
  </si>
  <si>
    <t xml:space="preserve">AFC-SIM-0000414</t>
  </si>
  <si>
    <t xml:space="preserve">BEM-SIM-0364955</t>
  </si>
  <si>
    <t xml:space="preserve">2005-02-10</t>
  </si>
  <si>
    <t xml:space="preserve">AFC-SIM-0000415</t>
  </si>
  <si>
    <t xml:space="preserve">BEM-SIM-0442647</t>
  </si>
  <si>
    <t xml:space="preserve">2023-05-21</t>
  </si>
  <si>
    <t xml:space="preserve">AFC-SIM-0000416</t>
  </si>
  <si>
    <t xml:space="preserve">BEM-SIM-0471473</t>
  </si>
  <si>
    <t xml:space="preserve">2021-08-28</t>
  </si>
  <si>
    <t xml:space="preserve">AFC-SIM-0000417</t>
  </si>
  <si>
    <t xml:space="preserve">BEM-SIM-0488238</t>
  </si>
  <si>
    <t xml:space="preserve">2023-09-15</t>
  </si>
  <si>
    <t xml:space="preserve">AFC-SIM-0000418</t>
  </si>
  <si>
    <t xml:space="preserve">BEM-SIM-0393969</t>
  </si>
  <si>
    <t xml:space="preserve">2025-05-19</t>
  </si>
  <si>
    <t xml:space="preserve">AFC-SIM-0000419</t>
  </si>
  <si>
    <t xml:space="preserve">BEM-SIM-0198329</t>
  </si>
  <si>
    <t xml:space="preserve">2012-09-16</t>
  </si>
  <si>
    <t xml:space="preserve">AFC-SIM-0000420</t>
  </si>
  <si>
    <t xml:space="preserve">BEM-SIM-0402011</t>
  </si>
  <si>
    <t xml:space="preserve">2023-10-25</t>
  </si>
  <si>
    <t xml:space="preserve">AFC-SIM-0000421</t>
  </si>
  <si>
    <t xml:space="preserve">BEM-SIM-0262380</t>
  </si>
  <si>
    <t xml:space="preserve">2021-02-26</t>
  </si>
  <si>
    <t xml:space="preserve">AFC-SIM-0000422</t>
  </si>
  <si>
    <t xml:space="preserve">BEM-SIM-0077748</t>
  </si>
  <si>
    <t xml:space="preserve">2025-08-22</t>
  </si>
  <si>
    <t xml:space="preserve">AFC-SIM-0000423</t>
  </si>
  <si>
    <t xml:space="preserve">BEM-SIM-0121511</t>
  </si>
  <si>
    <t xml:space="preserve">1993-05-22</t>
  </si>
  <si>
    <t xml:space="preserve">AFC-SIM-0000424</t>
  </si>
  <si>
    <t xml:space="preserve">BEM-SIM-0341293</t>
  </si>
  <si>
    <t xml:space="preserve">2021-07-06</t>
  </si>
  <si>
    <t xml:space="preserve">AFC-SIM-0000425</t>
  </si>
  <si>
    <t xml:space="preserve">BEM-SIM-0076427</t>
  </si>
  <si>
    <t xml:space="preserve">2018-12-26</t>
  </si>
  <si>
    <t xml:space="preserve">AFC-SIM-0000426</t>
  </si>
  <si>
    <t xml:space="preserve">BEM-SIM-0086035</t>
  </si>
  <si>
    <t xml:space="preserve">2005-03-14</t>
  </si>
  <si>
    <t xml:space="preserve">AFC-SIM-0000427</t>
  </si>
  <si>
    <t xml:space="preserve">BEM-SIM-0219967</t>
  </si>
  <si>
    <t xml:space="preserve">2016-09-14</t>
  </si>
  <si>
    <t xml:space="preserve">AFC-SIM-0000428</t>
  </si>
  <si>
    <t xml:space="preserve">BEM-SIM-0255205</t>
  </si>
  <si>
    <t xml:space="preserve">2010-05-02</t>
  </si>
  <si>
    <t xml:space="preserve">AFC-SIM-0000429</t>
  </si>
  <si>
    <t xml:space="preserve">BEM-SIM-0285585</t>
  </si>
  <si>
    <t xml:space="preserve">1990-06-27</t>
  </si>
  <si>
    <t xml:space="preserve">AFC-SIM-0000430</t>
  </si>
  <si>
    <t xml:space="preserve">BEM-SIM-0363649</t>
  </si>
  <si>
    <t xml:space="preserve">2025-01-03</t>
  </si>
  <si>
    <t xml:space="preserve">AFC-SIM-0000431</t>
  </si>
  <si>
    <t xml:space="preserve">BEM-SIM-0280102</t>
  </si>
  <si>
    <t xml:space="preserve">1996-03-27</t>
  </si>
  <si>
    <t xml:space="preserve">AFC-SIM-0000432</t>
  </si>
  <si>
    <t xml:space="preserve">BEM-SIM-0120233</t>
  </si>
  <si>
    <t xml:space="preserve">2014-01-16</t>
  </si>
  <si>
    <t xml:space="preserve">AFC-SIM-0000433</t>
  </si>
  <si>
    <t xml:space="preserve">BEM-SIM-0214336</t>
  </si>
  <si>
    <t xml:space="preserve">2002-07-22</t>
  </si>
  <si>
    <t xml:space="preserve">AFC-SIM-0000434</t>
  </si>
  <si>
    <t xml:space="preserve">BEM-SIM-0483917</t>
  </si>
  <si>
    <t xml:space="preserve">2010-07-11</t>
  </si>
  <si>
    <t xml:space="preserve">AFC-SIM-0000435</t>
  </si>
  <si>
    <t xml:space="preserve">BEM-SIM-0085544</t>
  </si>
  <si>
    <t xml:space="preserve">1999-03-06</t>
  </si>
  <si>
    <t xml:space="preserve">AFC-SIM-0000436</t>
  </si>
  <si>
    <t xml:space="preserve">BEM-SIM-0497531</t>
  </si>
  <si>
    <t xml:space="preserve">2017-08-06</t>
  </si>
  <si>
    <t xml:space="preserve">AFC-SIM-0000437</t>
  </si>
  <si>
    <t xml:space="preserve">BEM-SIM-0361064</t>
  </si>
  <si>
    <t xml:space="preserve">2014-07-12</t>
  </si>
  <si>
    <t xml:space="preserve">AFC-SIM-0000438</t>
  </si>
  <si>
    <t xml:space="preserve">BEM-SIM-0182708</t>
  </si>
  <si>
    <t xml:space="preserve">2016-06-25</t>
  </si>
  <si>
    <t xml:space="preserve">AFC-SIM-0000439</t>
  </si>
  <si>
    <t xml:space="preserve">BEM-SIM-0494985</t>
  </si>
  <si>
    <t xml:space="preserve">2019-11-20</t>
  </si>
  <si>
    <t xml:space="preserve">AFC-SIM-0000440</t>
  </si>
  <si>
    <t xml:space="preserve">BEM-SIM-0390635</t>
  </si>
  <si>
    <t xml:space="preserve">2018-04-03</t>
  </si>
  <si>
    <t xml:space="preserve">AFC-SIM-0000441</t>
  </si>
  <si>
    <t xml:space="preserve">BEM-SIM-0132487</t>
  </si>
  <si>
    <t xml:space="preserve">AFC-SIM-0000442</t>
  </si>
  <si>
    <t xml:space="preserve">BEM-SIM-0003323</t>
  </si>
  <si>
    <t xml:space="preserve">1998-04-02</t>
  </si>
  <si>
    <t xml:space="preserve">AFC-SIM-0000443</t>
  </si>
  <si>
    <t xml:space="preserve">BEM-SIM-0047737</t>
  </si>
  <si>
    <t xml:space="preserve">2021-06-01</t>
  </si>
  <si>
    <t xml:space="preserve">AFC-SIM-0000444</t>
  </si>
  <si>
    <t xml:space="preserve">BEM-SIM-0249952</t>
  </si>
  <si>
    <t xml:space="preserve">2005-06-21</t>
  </si>
  <si>
    <t xml:space="preserve">AFC-SIM-0000445</t>
  </si>
  <si>
    <t xml:space="preserve">BEM-SIM-0403909</t>
  </si>
  <si>
    <t xml:space="preserve">2016-09-25</t>
  </si>
  <si>
    <t xml:space="preserve">AFC-SIM-0000446</t>
  </si>
  <si>
    <t xml:space="preserve">BEM-SIM-0378465</t>
  </si>
  <si>
    <t xml:space="preserve">2021-05-04</t>
  </si>
  <si>
    <t xml:space="preserve">AFC-SIM-0000447</t>
  </si>
  <si>
    <t xml:space="preserve">BEM-SIM-0356320</t>
  </si>
  <si>
    <t xml:space="preserve">2009-10-06</t>
  </si>
  <si>
    <t xml:space="preserve">AFC-SIM-0000448</t>
  </si>
  <si>
    <t xml:space="preserve">BEM-SIM-0169841</t>
  </si>
  <si>
    <t xml:space="preserve">2003-02-01</t>
  </si>
  <si>
    <t xml:space="preserve">AFC-SIM-0000449</t>
  </si>
  <si>
    <t xml:space="preserve">BEM-SIM-0339145</t>
  </si>
  <si>
    <t xml:space="preserve">2009-09-06</t>
  </si>
  <si>
    <t xml:space="preserve">AFC-SIM-0000450</t>
  </si>
  <si>
    <t xml:space="preserve">BEM-SIM-0368773</t>
  </si>
  <si>
    <t xml:space="preserve">1996-05-20</t>
  </si>
  <si>
    <t xml:space="preserve">AFC-SIM-0000451</t>
  </si>
  <si>
    <t xml:space="preserve">BEM-SIM-0072673</t>
  </si>
  <si>
    <t xml:space="preserve">2012-02-16</t>
  </si>
  <si>
    <t xml:space="preserve">AFC-SIM-0000452</t>
  </si>
  <si>
    <t xml:space="preserve">BEM-SIM-0473355</t>
  </si>
  <si>
    <t xml:space="preserve">2022-04-28</t>
  </si>
  <si>
    <t xml:space="preserve">AFC-SIM-0000453</t>
  </si>
  <si>
    <t xml:space="preserve">BEM-SIM-0466085</t>
  </si>
  <si>
    <t xml:space="preserve">AFC-SIM-0000454</t>
  </si>
  <si>
    <t xml:space="preserve">BEM-SIM-0261601</t>
  </si>
  <si>
    <t xml:space="preserve">2019-08-14</t>
  </si>
  <si>
    <t xml:space="preserve">AFC-SIM-0000455</t>
  </si>
  <si>
    <t xml:space="preserve">BEM-SIM-0408996</t>
  </si>
  <si>
    <t xml:space="preserve">2021-01-25</t>
  </si>
  <si>
    <t xml:space="preserve">AFC-SIM-0000456</t>
  </si>
  <si>
    <t xml:space="preserve">BEM-SIM-0185295</t>
  </si>
  <si>
    <t xml:space="preserve">AFC-SIM-0000457</t>
  </si>
  <si>
    <t xml:space="preserve">BEM-SIM-0307126</t>
  </si>
  <si>
    <t xml:space="preserve">2002-12-22</t>
  </si>
  <si>
    <t xml:space="preserve">AFC-SIM-0000458</t>
  </si>
  <si>
    <t xml:space="preserve">BEM-SIM-0390278</t>
  </si>
  <si>
    <t xml:space="preserve">2001-12-28</t>
  </si>
  <si>
    <t xml:space="preserve">AFC-SIM-0000459</t>
  </si>
  <si>
    <t xml:space="preserve">BEM-SIM-0335722</t>
  </si>
  <si>
    <t xml:space="preserve">2010-07-23</t>
  </si>
  <si>
    <t xml:space="preserve">AFC-SIM-0000460</t>
  </si>
  <si>
    <t xml:space="preserve">BEM-SIM-0143876</t>
  </si>
  <si>
    <t xml:space="preserve">1993-06-14</t>
  </si>
  <si>
    <t xml:space="preserve">AFC-SIM-0000461</t>
  </si>
  <si>
    <t xml:space="preserve">BEM-SIM-0289693</t>
  </si>
  <si>
    <t xml:space="preserve">2009-12-14</t>
  </si>
  <si>
    <t xml:space="preserve">AFC-SIM-0000462</t>
  </si>
  <si>
    <t xml:space="preserve">BEM-SIM-0186588</t>
  </si>
  <si>
    <t xml:space="preserve">2011-06-10</t>
  </si>
  <si>
    <t xml:space="preserve">AFC-SIM-0000463</t>
  </si>
  <si>
    <t xml:space="preserve">BEM-SIM-0386727</t>
  </si>
  <si>
    <t xml:space="preserve">2023-11-20</t>
  </si>
  <si>
    <t xml:space="preserve">AFC-SIM-0000464</t>
  </si>
  <si>
    <t xml:space="preserve">BEM-SIM-0028453</t>
  </si>
  <si>
    <t xml:space="preserve">2024-03-12</t>
  </si>
  <si>
    <t xml:space="preserve">AFC-SIM-0000465</t>
  </si>
  <si>
    <t xml:space="preserve">BEM-SIM-0202461</t>
  </si>
  <si>
    <t xml:space="preserve">2018-05-19</t>
  </si>
  <si>
    <t xml:space="preserve">AFC-SIM-0000466</t>
  </si>
  <si>
    <t xml:space="preserve">BEM-SIM-0022340</t>
  </si>
  <si>
    <t xml:space="preserve">2020-04-22</t>
  </si>
  <si>
    <t xml:space="preserve">AFC-SIM-0000467</t>
  </si>
  <si>
    <t xml:space="preserve">BEM-SIM-0476863</t>
  </si>
  <si>
    <t xml:space="preserve">2020-08-11</t>
  </si>
  <si>
    <t xml:space="preserve">AFC-SIM-0000468</t>
  </si>
  <si>
    <t xml:space="preserve">BEM-SIM-0236014</t>
  </si>
  <si>
    <t xml:space="preserve">2016-09-01</t>
  </si>
  <si>
    <t xml:space="preserve">AFC-SIM-0000469</t>
  </si>
  <si>
    <t xml:space="preserve">BEM-SIM-0329830</t>
  </si>
  <si>
    <t xml:space="preserve">2016-03-27</t>
  </si>
  <si>
    <t xml:space="preserve">AFC-SIM-0000470</t>
  </si>
  <si>
    <t xml:space="preserve">BEM-SIM-0029322</t>
  </si>
  <si>
    <t xml:space="preserve">2017-11-14</t>
  </si>
  <si>
    <t xml:space="preserve">AFC-SIM-0000471</t>
  </si>
  <si>
    <t xml:space="preserve">BEM-SIM-0478384</t>
  </si>
  <si>
    <t xml:space="preserve">2019-10-16</t>
  </si>
  <si>
    <t xml:space="preserve">AFC-SIM-0000472</t>
  </si>
  <si>
    <t xml:space="preserve">BEM-SIM-0125295</t>
  </si>
  <si>
    <t xml:space="preserve">2003-01-21</t>
  </si>
  <si>
    <t xml:space="preserve">AFC-SIM-0000473</t>
  </si>
  <si>
    <t xml:space="preserve">BEM-SIM-0101673</t>
  </si>
  <si>
    <t xml:space="preserve">AFC-SIM-0000474</t>
  </si>
  <si>
    <t xml:space="preserve">BEM-SIM-0197867</t>
  </si>
  <si>
    <t xml:space="preserve">2008-03-25</t>
  </si>
  <si>
    <t xml:space="preserve">AFC-SIM-0000475</t>
  </si>
  <si>
    <t xml:space="preserve">BEM-SIM-0283736</t>
  </si>
  <si>
    <t xml:space="preserve">2020-10-07</t>
  </si>
  <si>
    <t xml:space="preserve">AFC-SIM-0000476</t>
  </si>
  <si>
    <t xml:space="preserve">BEM-SIM-0135991</t>
  </si>
  <si>
    <t xml:space="preserve">2013-09-13</t>
  </si>
  <si>
    <t xml:space="preserve">AFC-SIM-0000477</t>
  </si>
  <si>
    <t xml:space="preserve">BEM-SIM-0372334</t>
  </si>
  <si>
    <t xml:space="preserve">2009-09-20</t>
  </si>
  <si>
    <t xml:space="preserve">AFC-SIM-0000478</t>
  </si>
  <si>
    <t xml:space="preserve">BEM-SIM-0330912</t>
  </si>
  <si>
    <t xml:space="preserve">2016-03-06</t>
  </si>
  <si>
    <t xml:space="preserve">AFC-SIM-0000479</t>
  </si>
  <si>
    <t xml:space="preserve">BEM-SIM-0198953</t>
  </si>
  <si>
    <t xml:space="preserve">2014-08-11</t>
  </si>
  <si>
    <t xml:space="preserve">AFC-SIM-0000480</t>
  </si>
  <si>
    <t xml:space="preserve">BEM-SIM-0290778</t>
  </si>
  <si>
    <t xml:space="preserve">2011-03-01</t>
  </si>
  <si>
    <t xml:space="preserve">AFC-SIM-0000481</t>
  </si>
  <si>
    <t xml:space="preserve">BEM-SIM-0321831</t>
  </si>
  <si>
    <t xml:space="preserve">2008-08-13</t>
  </si>
  <si>
    <t xml:space="preserve">AFC-SIM-0000482</t>
  </si>
  <si>
    <t xml:space="preserve">BEM-SIM-0207485</t>
  </si>
  <si>
    <t xml:space="preserve">2015-11-09</t>
  </si>
  <si>
    <t xml:space="preserve">AFC-SIM-0000483</t>
  </si>
  <si>
    <t xml:space="preserve">BEM-SIM-0199230</t>
  </si>
  <si>
    <t xml:space="preserve">2020-10-16</t>
  </si>
  <si>
    <t xml:space="preserve">AFC-SIM-0000484</t>
  </si>
  <si>
    <t xml:space="preserve">BEM-SIM-0148215</t>
  </si>
  <si>
    <t xml:space="preserve">2016-01-13</t>
  </si>
  <si>
    <t xml:space="preserve">AFC-SIM-0000485</t>
  </si>
  <si>
    <t xml:space="preserve">BEM-SIM-0058211</t>
  </si>
  <si>
    <t xml:space="preserve">1996-03-15</t>
  </si>
  <si>
    <t xml:space="preserve">AFC-SIM-0000486</t>
  </si>
  <si>
    <t xml:space="preserve">BEM-SIM-0135522</t>
  </si>
  <si>
    <t xml:space="preserve">2004-12-23</t>
  </si>
  <si>
    <t xml:space="preserve">AFC-SIM-0000487</t>
  </si>
  <si>
    <t xml:space="preserve">BEM-SIM-0188696</t>
  </si>
  <si>
    <t xml:space="preserve">1995-05-15</t>
  </si>
  <si>
    <t xml:space="preserve">AFC-SIM-0000488</t>
  </si>
  <si>
    <t xml:space="preserve">BEM-SIM-0174886</t>
  </si>
  <si>
    <t xml:space="preserve">2024-04-18</t>
  </si>
  <si>
    <t xml:space="preserve">AFC-SIM-0000489</t>
  </si>
  <si>
    <t xml:space="preserve">BEM-SIM-0140679</t>
  </si>
  <si>
    <t xml:space="preserve">2019-08-09</t>
  </si>
  <si>
    <t xml:space="preserve">AFC-SIM-0000490</t>
  </si>
  <si>
    <t xml:space="preserve">BEM-SIM-0241635</t>
  </si>
  <si>
    <t xml:space="preserve">2021-12-09</t>
  </si>
  <si>
    <t xml:space="preserve">AFC-SIM-0000491</t>
  </si>
  <si>
    <t xml:space="preserve">BEM-SIM-0090843</t>
  </si>
  <si>
    <t xml:space="preserve">2002-07-20</t>
  </si>
  <si>
    <t xml:space="preserve">AFC-SIM-0000492</t>
  </si>
  <si>
    <t xml:space="preserve">BEM-SIM-0152322</t>
  </si>
  <si>
    <t xml:space="preserve">2022-06-28</t>
  </si>
  <si>
    <t xml:space="preserve">AFC-SIM-0000493</t>
  </si>
  <si>
    <t xml:space="preserve">BEM-SIM-0416226</t>
  </si>
  <si>
    <t xml:space="preserve">2018-12-07</t>
  </si>
  <si>
    <t xml:space="preserve">AFC-SIM-0000494</t>
  </si>
  <si>
    <t xml:space="preserve">BEM-SIM-0223937</t>
  </si>
  <si>
    <t xml:space="preserve">2015-06-06</t>
  </si>
  <si>
    <t xml:space="preserve">AFC-SIM-0000495</t>
  </si>
  <si>
    <t xml:space="preserve">BEM-SIM-0021156</t>
  </si>
  <si>
    <t xml:space="preserve">2003-02-26</t>
  </si>
  <si>
    <t xml:space="preserve">AFC-SIM-0000496</t>
  </si>
  <si>
    <t xml:space="preserve">BEM-SIM-0267626</t>
  </si>
  <si>
    <t xml:space="preserve">2017-11-01</t>
  </si>
  <si>
    <t xml:space="preserve">AFC-SIM-0000497</t>
  </si>
  <si>
    <t xml:space="preserve">BEM-SIM-0397661</t>
  </si>
  <si>
    <t xml:space="preserve">1992-06-17</t>
  </si>
  <si>
    <t xml:space="preserve">AFC-SIM-0000498</t>
  </si>
  <si>
    <t xml:space="preserve">BEM-SIM-0197058</t>
  </si>
  <si>
    <t xml:space="preserve">2017-10-05</t>
  </si>
  <si>
    <t xml:space="preserve">AFC-SIM-0000499</t>
  </si>
  <si>
    <t xml:space="preserve">BEM-SIM-0042684</t>
  </si>
  <si>
    <t xml:space="preserve">1993-11-18</t>
  </si>
  <si>
    <t xml:space="preserve">AFC-SIM-0000500</t>
  </si>
  <si>
    <t xml:space="preserve">BEM-SIM-0450841</t>
  </si>
  <si>
    <t xml:space="preserve">2018-12-02</t>
  </si>
  <si>
    <t xml:space="preserve">AFC-SIM-0000501</t>
  </si>
  <si>
    <t xml:space="preserve">BEM-SIM-0164098</t>
  </si>
  <si>
    <t xml:space="preserve">2018-01-01</t>
  </si>
  <si>
    <t xml:space="preserve">AFC-SIM-0000502</t>
  </si>
  <si>
    <t xml:space="preserve">BEM-SIM-0354711</t>
  </si>
  <si>
    <t xml:space="preserve">2016-09-04</t>
  </si>
  <si>
    <t xml:space="preserve">AFC-SIM-0000503</t>
  </si>
  <si>
    <t xml:space="preserve">BEM-SIM-0376973</t>
  </si>
  <si>
    <t xml:space="preserve">2003-07-01</t>
  </si>
  <si>
    <t xml:space="preserve">AFC-SIM-0000504</t>
  </si>
  <si>
    <t xml:space="preserve">BEM-SIM-0065449</t>
  </si>
  <si>
    <t xml:space="preserve">2024-07-21</t>
  </si>
  <si>
    <t xml:space="preserve">AFC-SIM-0000505</t>
  </si>
  <si>
    <t xml:space="preserve">BEM-SIM-0354155</t>
  </si>
  <si>
    <t xml:space="preserve">2017-09-12</t>
  </si>
  <si>
    <t xml:space="preserve">AFC-SIM-0000506</t>
  </si>
  <si>
    <t xml:space="preserve">BEM-SIM-0403377</t>
  </si>
  <si>
    <t xml:space="preserve">AFC-SIM-0000507</t>
  </si>
  <si>
    <t xml:space="preserve">BEM-SIM-0118348</t>
  </si>
  <si>
    <t xml:space="preserve">2020-09-27</t>
  </si>
  <si>
    <t xml:space="preserve">AFC-SIM-0000508</t>
  </si>
  <si>
    <t xml:space="preserve">BEM-SIM-0290269</t>
  </si>
  <si>
    <t xml:space="preserve">2016-01-06</t>
  </si>
  <si>
    <t xml:space="preserve">AFC-SIM-0000509</t>
  </si>
  <si>
    <t xml:space="preserve">BEM-SIM-0465843</t>
  </si>
  <si>
    <t xml:space="preserve">2006-07-12</t>
  </si>
  <si>
    <t xml:space="preserve">AFC-SIM-0000510</t>
  </si>
  <si>
    <t xml:space="preserve">BEM-SIM-0484903</t>
  </si>
  <si>
    <t xml:space="preserve">2000-11-22</t>
  </si>
  <si>
    <t xml:space="preserve">AFC-SIM-0000511</t>
  </si>
  <si>
    <t xml:space="preserve">BEM-SIM-0112227</t>
  </si>
  <si>
    <t xml:space="preserve">2022-12-07</t>
  </si>
  <si>
    <t xml:space="preserve">AFC-SIM-0000512</t>
  </si>
  <si>
    <t xml:space="preserve">BEM-SIM-0465047</t>
  </si>
  <si>
    <t xml:space="preserve">2024-07-06</t>
  </si>
  <si>
    <t xml:space="preserve">AFC-SIM-0000513</t>
  </si>
  <si>
    <t xml:space="preserve">BEM-SIM-0179686</t>
  </si>
  <si>
    <t xml:space="preserve">2020-03-03</t>
  </si>
  <si>
    <t xml:space="preserve">AFC-SIM-0000514</t>
  </si>
  <si>
    <t xml:space="preserve">BEM-SIM-0404604</t>
  </si>
  <si>
    <t xml:space="preserve">2016-10-01</t>
  </si>
  <si>
    <t xml:space="preserve">AFC-SIM-0000515</t>
  </si>
  <si>
    <t xml:space="preserve">BEM-SIM-0363497</t>
  </si>
  <si>
    <t xml:space="preserve">2018-11-24</t>
  </si>
  <si>
    <t xml:space="preserve">AFC-SIM-0000516</t>
  </si>
  <si>
    <t xml:space="preserve">BEM-SIM-0083853</t>
  </si>
  <si>
    <t xml:space="preserve">2018-12-03</t>
  </si>
  <si>
    <t xml:space="preserve">AFC-SIM-0000517</t>
  </si>
  <si>
    <t xml:space="preserve">BEM-SIM-0362813</t>
  </si>
  <si>
    <t xml:space="preserve">2017-01-23</t>
  </si>
  <si>
    <t xml:space="preserve">AFC-SIM-0000518</t>
  </si>
  <si>
    <t xml:space="preserve">BEM-SIM-0356611</t>
  </si>
  <si>
    <t xml:space="preserve">2001-10-17</t>
  </si>
  <si>
    <t xml:space="preserve">AFC-SIM-0000519</t>
  </si>
  <si>
    <t xml:space="preserve">BEM-SIM-0135649</t>
  </si>
  <si>
    <t xml:space="preserve">2018-05-06</t>
  </si>
  <si>
    <t xml:space="preserve">AFC-SIM-0000520</t>
  </si>
  <si>
    <t xml:space="preserve">BEM-SIM-0087373</t>
  </si>
  <si>
    <t xml:space="preserve">2003-02-04</t>
  </si>
  <si>
    <t xml:space="preserve">AFC-SIM-0000521</t>
  </si>
  <si>
    <t xml:space="preserve">BEM-SIM-0278765</t>
  </si>
  <si>
    <t xml:space="preserve">2025-02-23</t>
  </si>
  <si>
    <t xml:space="preserve">AFC-SIM-0000522</t>
  </si>
  <si>
    <t xml:space="preserve">BEM-SIM-0494139</t>
  </si>
  <si>
    <t xml:space="preserve">2012-07-10</t>
  </si>
  <si>
    <t xml:space="preserve">AFC-SIM-0000523</t>
  </si>
  <si>
    <t xml:space="preserve">BEM-SIM-0297058</t>
  </si>
  <si>
    <t xml:space="preserve">2010-10-05</t>
  </si>
  <si>
    <t xml:space="preserve">AFC-SIM-0000524</t>
  </si>
  <si>
    <t xml:space="preserve">BEM-SIM-0238803</t>
  </si>
  <si>
    <t xml:space="preserve">2018-12-27</t>
  </si>
  <si>
    <t xml:space="preserve">AFC-SIM-0000525</t>
  </si>
  <si>
    <t xml:space="preserve">BEM-SIM-0492195</t>
  </si>
  <si>
    <t xml:space="preserve">2020-01-21</t>
  </si>
  <si>
    <t xml:space="preserve">AFC-SIM-0000526</t>
  </si>
  <si>
    <t xml:space="preserve">BEM-SIM-0082434</t>
  </si>
  <si>
    <t xml:space="preserve">1987-12-06</t>
  </si>
  <si>
    <t xml:space="preserve">AFC-SIM-0000527</t>
  </si>
  <si>
    <t xml:space="preserve">BEM-SIM-0409332</t>
  </si>
  <si>
    <t xml:space="preserve">1990-05-11</t>
  </si>
  <si>
    <t xml:space="preserve">AFC-SIM-0000528</t>
  </si>
  <si>
    <t xml:space="preserve">BEM-SIM-0078652</t>
  </si>
  <si>
    <t xml:space="preserve">2011-05-18</t>
  </si>
  <si>
    <t xml:space="preserve">AFC-SIM-0000529</t>
  </si>
  <si>
    <t xml:space="preserve">BEM-SIM-0290796</t>
  </si>
  <si>
    <t xml:space="preserve">2010-10-24</t>
  </si>
  <si>
    <t xml:space="preserve">AFC-SIM-0000530</t>
  </si>
  <si>
    <t xml:space="preserve">BEM-SIM-0446925</t>
  </si>
  <si>
    <t xml:space="preserve">2011-05-17</t>
  </si>
  <si>
    <t xml:space="preserve">AFC-SIM-0000531</t>
  </si>
  <si>
    <t xml:space="preserve">BEM-SIM-0485602</t>
  </si>
  <si>
    <t xml:space="preserve">1994-10-27</t>
  </si>
  <si>
    <t xml:space="preserve">AFC-SIM-0000532</t>
  </si>
  <si>
    <t xml:space="preserve">BEM-SIM-0071042</t>
  </si>
  <si>
    <t xml:space="preserve">2006-11-25</t>
  </si>
  <si>
    <t xml:space="preserve">AFC-SIM-0000533</t>
  </si>
  <si>
    <t xml:space="preserve">BEM-SIM-0040292</t>
  </si>
  <si>
    <t xml:space="preserve">2002-03-08</t>
  </si>
  <si>
    <t xml:space="preserve">AFC-SIM-0000534</t>
  </si>
  <si>
    <t xml:space="preserve">BEM-SIM-0189179</t>
  </si>
  <si>
    <t xml:space="preserve">2020-02-26</t>
  </si>
  <si>
    <t xml:space="preserve">AFC-SIM-0000535</t>
  </si>
  <si>
    <t xml:space="preserve">BEM-SIM-0294117</t>
  </si>
  <si>
    <t xml:space="preserve">2012-02-23</t>
  </si>
  <si>
    <t xml:space="preserve">AFC-SIM-0000536</t>
  </si>
  <si>
    <t xml:space="preserve">BEM-SIM-0136847</t>
  </si>
  <si>
    <t xml:space="preserve">2020-02-20</t>
  </si>
  <si>
    <t xml:space="preserve">AFC-SIM-0000537</t>
  </si>
  <si>
    <t xml:space="preserve">BEM-SIM-0277960</t>
  </si>
  <si>
    <t xml:space="preserve">2021-10-16</t>
  </si>
  <si>
    <t xml:space="preserve">AFC-SIM-0000538</t>
  </si>
  <si>
    <t xml:space="preserve">BEM-SIM-0095393</t>
  </si>
  <si>
    <t xml:space="preserve">1994-04-05</t>
  </si>
  <si>
    <t xml:space="preserve">AFC-SIM-0000539</t>
  </si>
  <si>
    <t xml:space="preserve">BEM-SIM-0020435</t>
  </si>
  <si>
    <t xml:space="preserve">2006-01-05</t>
  </si>
  <si>
    <t xml:space="preserve">AFC-SIM-0000540</t>
  </si>
  <si>
    <t xml:space="preserve">BEM-SIM-0056780</t>
  </si>
  <si>
    <t xml:space="preserve">2005-01-22</t>
  </si>
  <si>
    <t xml:space="preserve">AFC-SIM-0000541</t>
  </si>
  <si>
    <t xml:space="preserve">BEM-SIM-0186783</t>
  </si>
  <si>
    <t xml:space="preserve">1996-09-17</t>
  </si>
  <si>
    <t xml:space="preserve">AFC-SIM-0000542</t>
  </si>
  <si>
    <t xml:space="preserve">BEM-SIM-0455342</t>
  </si>
  <si>
    <t xml:space="preserve">2023-02-26</t>
  </si>
  <si>
    <t xml:space="preserve">AFC-SIM-0000543</t>
  </si>
  <si>
    <t xml:space="preserve">BEM-SIM-0109693</t>
  </si>
  <si>
    <t xml:space="preserve">2001-09-21</t>
  </si>
  <si>
    <t xml:space="preserve">AFC-SIM-0000544</t>
  </si>
  <si>
    <t xml:space="preserve">BEM-SIM-0401860</t>
  </si>
  <si>
    <t xml:space="preserve">AFC-SIM-0000545</t>
  </si>
  <si>
    <t xml:space="preserve">BEM-SIM-0354015</t>
  </si>
  <si>
    <t xml:space="preserve">2019-09-05</t>
  </si>
  <si>
    <t xml:space="preserve">AFC-SIM-0000546</t>
  </si>
  <si>
    <t xml:space="preserve">BEM-SIM-0280469</t>
  </si>
  <si>
    <t xml:space="preserve">2017-07-20</t>
  </si>
  <si>
    <t xml:space="preserve">AFC-SIM-0000547</t>
  </si>
  <si>
    <t xml:space="preserve">BEM-SIM-0031556</t>
  </si>
  <si>
    <t xml:space="preserve">1997-03-01</t>
  </si>
  <si>
    <t xml:space="preserve">AFC-SIM-0000548</t>
  </si>
  <si>
    <t xml:space="preserve">BEM-SIM-0068689</t>
  </si>
  <si>
    <t xml:space="preserve">2006-02-22</t>
  </si>
  <si>
    <t xml:space="preserve">AFC-SIM-0000549</t>
  </si>
  <si>
    <t xml:space="preserve">BEM-SIM-0224952</t>
  </si>
  <si>
    <t xml:space="preserve">2023-09-07</t>
  </si>
  <si>
    <t xml:space="preserve">AFC-SIM-0000550</t>
  </si>
  <si>
    <t xml:space="preserve">BEM-SIM-0188824</t>
  </si>
  <si>
    <t xml:space="preserve">AFC-SIM-0000551</t>
  </si>
  <si>
    <t xml:space="preserve">BEM-SIM-0231956</t>
  </si>
  <si>
    <t xml:space="preserve">2014-10-23</t>
  </si>
  <si>
    <t xml:space="preserve">AFC-SIM-0000552</t>
  </si>
  <si>
    <t xml:space="preserve">BEM-SIM-0157830</t>
  </si>
  <si>
    <t xml:space="preserve">2023-12-19</t>
  </si>
  <si>
    <t xml:space="preserve">AFC-SIM-0000553</t>
  </si>
  <si>
    <t xml:space="preserve">BEM-SIM-0206752</t>
  </si>
  <si>
    <t xml:space="preserve">2015-04-19</t>
  </si>
  <si>
    <t xml:space="preserve">AFC-SIM-0000554</t>
  </si>
  <si>
    <t xml:space="preserve">BEM-SIM-0138590</t>
  </si>
  <si>
    <t xml:space="preserve">1994-02-18</t>
  </si>
  <si>
    <t xml:space="preserve">AFC-SIM-0000555</t>
  </si>
  <si>
    <t xml:space="preserve">BEM-SIM-0172101</t>
  </si>
  <si>
    <t xml:space="preserve">2015-06-03</t>
  </si>
  <si>
    <t xml:space="preserve">AFC-SIM-0000556</t>
  </si>
  <si>
    <t xml:space="preserve">BEM-SIM-0054532</t>
  </si>
  <si>
    <t xml:space="preserve">2016-08-12</t>
  </si>
  <si>
    <t xml:space="preserve">AFC-SIM-0000557</t>
  </si>
  <si>
    <t xml:space="preserve">BEM-SIM-0040600</t>
  </si>
  <si>
    <t xml:space="preserve">2020-11-25</t>
  </si>
  <si>
    <t xml:space="preserve">AFC-SIM-0000558</t>
  </si>
  <si>
    <t xml:space="preserve">BEM-SIM-0179622</t>
  </si>
  <si>
    <t xml:space="preserve">2000-09-04</t>
  </si>
  <si>
    <t xml:space="preserve">AFC-SIM-0000559</t>
  </si>
  <si>
    <t xml:space="preserve">BEM-SIM-0087382</t>
  </si>
  <si>
    <t xml:space="preserve">2023-08-07</t>
  </si>
  <si>
    <t xml:space="preserve">AFC-SIM-0000560</t>
  </si>
  <si>
    <t xml:space="preserve">BEM-SIM-0391714</t>
  </si>
  <si>
    <t xml:space="preserve">2021-06-03</t>
  </si>
  <si>
    <t xml:space="preserve">AFC-SIM-0000561</t>
  </si>
  <si>
    <t xml:space="preserve">BEM-SIM-0346156</t>
  </si>
  <si>
    <t xml:space="preserve">2012-10-19</t>
  </si>
  <si>
    <t xml:space="preserve">AFC-SIM-0000562</t>
  </si>
  <si>
    <t xml:space="preserve">BEM-SIM-0189944</t>
  </si>
  <si>
    <t xml:space="preserve">1997-11-24</t>
  </si>
  <si>
    <t xml:space="preserve">AFC-SIM-0000563</t>
  </si>
  <si>
    <t xml:space="preserve">BEM-SIM-0103058</t>
  </si>
  <si>
    <t xml:space="preserve">2014-04-01</t>
  </si>
  <si>
    <t xml:space="preserve">AFC-SIM-0000564</t>
  </si>
  <si>
    <t xml:space="preserve">BEM-SIM-0441796</t>
  </si>
  <si>
    <t xml:space="preserve">2007-04-07</t>
  </si>
  <si>
    <t xml:space="preserve">AFC-SIM-0000565</t>
  </si>
  <si>
    <t xml:space="preserve">BEM-SIM-0093031</t>
  </si>
  <si>
    <t xml:space="preserve">2014-11-21</t>
  </si>
  <si>
    <t xml:space="preserve">AFC-SIM-0000566</t>
  </si>
  <si>
    <t xml:space="preserve">BEM-SIM-0163477</t>
  </si>
  <si>
    <t xml:space="preserve">2012-10-25</t>
  </si>
  <si>
    <t xml:space="preserve">AFC-SIM-0000567</t>
  </si>
  <si>
    <t xml:space="preserve">BEM-SIM-0407605</t>
  </si>
  <si>
    <t xml:space="preserve">2004-11-19</t>
  </si>
  <si>
    <t xml:space="preserve">AFC-SIM-0000568</t>
  </si>
  <si>
    <t xml:space="preserve">BEM-SIM-0169337</t>
  </si>
  <si>
    <t xml:space="preserve">2006-03-14</t>
  </si>
  <si>
    <t xml:space="preserve">AFC-SIM-0000569</t>
  </si>
  <si>
    <t xml:space="preserve">BEM-SIM-0307399</t>
  </si>
  <si>
    <t xml:space="preserve">2014-11-05</t>
  </si>
  <si>
    <t xml:space="preserve">AFC-SIM-0000570</t>
  </si>
  <si>
    <t xml:space="preserve">BEM-SIM-0175420</t>
  </si>
  <si>
    <t xml:space="preserve">2016-02-17</t>
  </si>
  <si>
    <t xml:space="preserve">AFC-SIM-0000571</t>
  </si>
  <si>
    <t xml:space="preserve">BEM-SIM-0221842</t>
  </si>
  <si>
    <t xml:space="preserve">2000-07-25</t>
  </si>
  <si>
    <t xml:space="preserve">AFC-SIM-0000572</t>
  </si>
  <si>
    <t xml:space="preserve">BEM-SIM-0301707</t>
  </si>
  <si>
    <t xml:space="preserve">2020-10-12</t>
  </si>
  <si>
    <t xml:space="preserve">AFC-SIM-0000573</t>
  </si>
  <si>
    <t xml:space="preserve">BEM-SIM-0488156</t>
  </si>
  <si>
    <t xml:space="preserve">2002-02-08</t>
  </si>
  <si>
    <t xml:space="preserve">AFC-SIM-0000574</t>
  </si>
  <si>
    <t xml:space="preserve">BEM-SIM-0336506</t>
  </si>
  <si>
    <t xml:space="preserve">2024-03-02</t>
  </si>
  <si>
    <t xml:space="preserve">AFC-SIM-0000575</t>
  </si>
  <si>
    <t xml:space="preserve">BEM-SIM-0314187</t>
  </si>
  <si>
    <t xml:space="preserve">2015-05-26</t>
  </si>
  <si>
    <t xml:space="preserve">AFC-SIM-0000576</t>
  </si>
  <si>
    <t xml:space="preserve">BEM-SIM-0390400</t>
  </si>
  <si>
    <t xml:space="preserve">2005-05-13</t>
  </si>
  <si>
    <t xml:space="preserve">AFC-SIM-0000577</t>
  </si>
  <si>
    <t xml:space="preserve">BEM-SIM-0229495</t>
  </si>
  <si>
    <t xml:space="preserve">AFC-SIM-0000578</t>
  </si>
  <si>
    <t xml:space="preserve">BEM-SIM-0220300</t>
  </si>
  <si>
    <t xml:space="preserve">2021-10-25</t>
  </si>
  <si>
    <t xml:space="preserve">AFC-SIM-0000579</t>
  </si>
  <si>
    <t xml:space="preserve">BEM-SIM-0172266</t>
  </si>
  <si>
    <t xml:space="preserve">2011-06-11</t>
  </si>
  <si>
    <t xml:space="preserve">AFC-SIM-0000580</t>
  </si>
  <si>
    <t xml:space="preserve">BEM-SIM-0427472</t>
  </si>
  <si>
    <t xml:space="preserve">2007-10-20</t>
  </si>
  <si>
    <t xml:space="preserve">AFC-SIM-0000581</t>
  </si>
  <si>
    <t xml:space="preserve">BEM-SIM-0198409</t>
  </si>
  <si>
    <t xml:space="preserve">2014-07-26</t>
  </si>
  <si>
    <t xml:space="preserve">AFC-SIM-0000582</t>
  </si>
  <si>
    <t xml:space="preserve">BEM-SIM-0184046</t>
  </si>
  <si>
    <t xml:space="preserve">1993-06-12</t>
  </si>
  <si>
    <t xml:space="preserve">AFC-SIM-0000583</t>
  </si>
  <si>
    <t xml:space="preserve">BEM-SIM-0232517</t>
  </si>
  <si>
    <t xml:space="preserve">AFC-SIM-0000584</t>
  </si>
  <si>
    <t xml:space="preserve">BEM-SIM-0080486</t>
  </si>
  <si>
    <t xml:space="preserve">AFC-SIM-0000585</t>
  </si>
  <si>
    <t xml:space="preserve">BEM-SIM-0029265</t>
  </si>
  <si>
    <t xml:space="preserve">1997-08-02</t>
  </si>
  <si>
    <t xml:space="preserve">AFC-SIM-0000586</t>
  </si>
  <si>
    <t xml:space="preserve">BEM-SIM-0266508</t>
  </si>
  <si>
    <t xml:space="preserve">2025-01-22</t>
  </si>
  <si>
    <t xml:space="preserve">AFC-SIM-0000587</t>
  </si>
  <si>
    <t xml:space="preserve">BEM-SIM-0274037</t>
  </si>
  <si>
    <t xml:space="preserve">2013-06-07</t>
  </si>
  <si>
    <t xml:space="preserve">AFC-SIM-0000588</t>
  </si>
  <si>
    <t xml:space="preserve">BEM-SIM-0122122</t>
  </si>
  <si>
    <t xml:space="preserve">2007-08-07</t>
  </si>
  <si>
    <t xml:space="preserve">AFC-SIM-0000589</t>
  </si>
  <si>
    <t xml:space="preserve">BEM-SIM-0372969</t>
  </si>
  <si>
    <t xml:space="preserve">2011-08-01</t>
  </si>
  <si>
    <t xml:space="preserve">AFC-SIM-0000590</t>
  </si>
  <si>
    <t xml:space="preserve">BEM-SIM-0372058</t>
  </si>
  <si>
    <t xml:space="preserve">2004-11-03</t>
  </si>
  <si>
    <t xml:space="preserve">AFC-SIM-0000591</t>
  </si>
  <si>
    <t xml:space="preserve">BEM-SIM-0486899</t>
  </si>
  <si>
    <t xml:space="preserve">2022-09-13</t>
  </si>
  <si>
    <t xml:space="preserve">AFC-SIM-0000592</t>
  </si>
  <si>
    <t xml:space="preserve">BEM-SIM-0145561</t>
  </si>
  <si>
    <t xml:space="preserve">2023-11-13</t>
  </si>
  <si>
    <t xml:space="preserve">AFC-SIM-0000593</t>
  </si>
  <si>
    <t xml:space="preserve">BEM-SIM-0445425</t>
  </si>
  <si>
    <t xml:space="preserve">2012-06-02</t>
  </si>
  <si>
    <t xml:space="preserve">AFC-SIM-0000594</t>
  </si>
  <si>
    <t xml:space="preserve">BEM-SIM-0225611</t>
  </si>
  <si>
    <t xml:space="preserve">2018-04-10</t>
  </si>
  <si>
    <t xml:space="preserve">AFC-SIM-0000595</t>
  </si>
  <si>
    <t xml:space="preserve">BEM-SIM-0365219</t>
  </si>
  <si>
    <t xml:space="preserve">2012-06-22</t>
  </si>
  <si>
    <t xml:space="preserve">AFC-SIM-0000596</t>
  </si>
  <si>
    <t xml:space="preserve">BEM-SIM-0418683</t>
  </si>
  <si>
    <t xml:space="preserve">2024-07-25</t>
  </si>
  <si>
    <t xml:space="preserve">AFC-SIM-0000597</t>
  </si>
  <si>
    <t xml:space="preserve">BEM-SIM-0439633</t>
  </si>
  <si>
    <t xml:space="preserve">2012-11-15</t>
  </si>
  <si>
    <t xml:space="preserve">AFC-SIM-0000598</t>
  </si>
  <si>
    <t xml:space="preserve">BEM-SIM-0121483</t>
  </si>
  <si>
    <t xml:space="preserve">2011-07-14</t>
  </si>
  <si>
    <t xml:space="preserve">AFC-SIM-0000599</t>
  </si>
  <si>
    <t xml:space="preserve">BEM-SIM-0098707</t>
  </si>
  <si>
    <t xml:space="preserve">1995-12-12</t>
  </si>
  <si>
    <t xml:space="preserve">AFC-SIM-0000600</t>
  </si>
  <si>
    <t xml:space="preserve">BEM-SIM-0385118</t>
  </si>
  <si>
    <t xml:space="preserve">2023-02-11</t>
  </si>
  <si>
    <t xml:space="preserve">AFC-SIM-0000601</t>
  </si>
  <si>
    <t xml:space="preserve">BEM-SIM-0313875</t>
  </si>
  <si>
    <t xml:space="preserve">2013-06-17</t>
  </si>
  <si>
    <t xml:space="preserve">AFC-SIM-0000602</t>
  </si>
  <si>
    <t xml:space="preserve">BEM-SIM-0402142</t>
  </si>
  <si>
    <t xml:space="preserve">2002-09-09</t>
  </si>
  <si>
    <t xml:space="preserve">AFC-SIM-0000603</t>
  </si>
  <si>
    <t xml:space="preserve">BEM-SIM-0152514</t>
  </si>
  <si>
    <t xml:space="preserve">2015-04-04</t>
  </si>
  <si>
    <t xml:space="preserve">AFC-SIM-0000604</t>
  </si>
  <si>
    <t xml:space="preserve">BEM-SIM-0429036</t>
  </si>
  <si>
    <t xml:space="preserve">AFC-SIM-0000605</t>
  </si>
  <si>
    <t xml:space="preserve">BEM-SIM-0139158</t>
  </si>
  <si>
    <t xml:space="preserve">2017-07-10</t>
  </si>
  <si>
    <t xml:space="preserve">AFC-SIM-0000606</t>
  </si>
  <si>
    <t xml:space="preserve">BEM-SIM-0018240</t>
  </si>
  <si>
    <t xml:space="preserve">2011-05-09</t>
  </si>
  <si>
    <t xml:space="preserve">AFC-SIM-0000607</t>
  </si>
  <si>
    <t xml:space="preserve">BEM-SIM-0043048</t>
  </si>
  <si>
    <t xml:space="preserve">AFC-SIM-0000608</t>
  </si>
  <si>
    <t xml:space="preserve">BEM-SIM-0462917</t>
  </si>
  <si>
    <t xml:space="preserve">AFC-SIM-0000609</t>
  </si>
  <si>
    <t xml:space="preserve">BEM-SIM-0219321</t>
  </si>
  <si>
    <t xml:space="preserve">2011-04-16</t>
  </si>
  <si>
    <t xml:space="preserve">AFC-SIM-0000610</t>
  </si>
  <si>
    <t xml:space="preserve">BEM-SIM-0007786</t>
  </si>
  <si>
    <t xml:space="preserve">2017-05-09</t>
  </si>
  <si>
    <t xml:space="preserve">AFC-SIM-0000611</t>
  </si>
  <si>
    <t xml:space="preserve">BEM-SIM-0043217</t>
  </si>
  <si>
    <t xml:space="preserve">1996-09-26</t>
  </si>
  <si>
    <t xml:space="preserve">AFC-SIM-0000612</t>
  </si>
  <si>
    <t xml:space="preserve">BEM-SIM-0100006</t>
  </si>
  <si>
    <t xml:space="preserve">2024-02-05</t>
  </si>
  <si>
    <t xml:space="preserve">AFC-SIM-0000613</t>
  </si>
  <si>
    <t xml:space="preserve">BEM-SIM-0212985</t>
  </si>
  <si>
    <t xml:space="preserve">2018-09-19</t>
  </si>
  <si>
    <t xml:space="preserve">AFC-SIM-0000614</t>
  </si>
  <si>
    <t xml:space="preserve">BEM-SIM-0430277</t>
  </si>
  <si>
    <t xml:space="preserve">2021-04-14</t>
  </si>
  <si>
    <t xml:space="preserve">AFC-SIM-0000615</t>
  </si>
  <si>
    <t xml:space="preserve">BEM-SIM-0277253</t>
  </si>
  <si>
    <t xml:space="preserve">2006-08-22</t>
  </si>
  <si>
    <t xml:space="preserve">AFC-SIM-0000616</t>
  </si>
  <si>
    <t xml:space="preserve">BEM-SIM-0280540</t>
  </si>
  <si>
    <t xml:space="preserve">2001-04-13</t>
  </si>
  <si>
    <t xml:space="preserve">AFC-SIM-0000617</t>
  </si>
  <si>
    <t xml:space="preserve">BEM-SIM-0304159</t>
  </si>
  <si>
    <t xml:space="preserve">2012-06-19</t>
  </si>
  <si>
    <t xml:space="preserve">AFC-SIM-0000618</t>
  </si>
  <si>
    <t xml:space="preserve">BEM-SIM-0123880</t>
  </si>
  <si>
    <t xml:space="preserve">2001-12-09</t>
  </si>
  <si>
    <t xml:space="preserve">AFC-SIM-0000619</t>
  </si>
  <si>
    <t xml:space="preserve">BEM-SIM-0260942</t>
  </si>
  <si>
    <t xml:space="preserve">2013-07-20</t>
  </si>
  <si>
    <t xml:space="preserve">AFC-SIM-0000620</t>
  </si>
  <si>
    <t xml:space="preserve">BEM-SIM-0034224</t>
  </si>
  <si>
    <t xml:space="preserve">2025-01-10</t>
  </si>
  <si>
    <t xml:space="preserve">AFC-SIM-0000621</t>
  </si>
  <si>
    <t xml:space="preserve">BEM-SIM-0209361</t>
  </si>
  <si>
    <t xml:space="preserve">2024-09-09</t>
  </si>
  <si>
    <t xml:space="preserve">AFC-SIM-0000622</t>
  </si>
  <si>
    <t xml:space="preserve">BEM-SIM-0209128</t>
  </si>
  <si>
    <t xml:space="preserve">2021-11-15</t>
  </si>
  <si>
    <t xml:space="preserve">AFC-SIM-0000623</t>
  </si>
  <si>
    <t xml:space="preserve">BEM-SIM-0010575</t>
  </si>
  <si>
    <t xml:space="preserve">2015-01-22</t>
  </si>
  <si>
    <t xml:space="preserve">AFC-SIM-0000624</t>
  </si>
  <si>
    <t xml:space="preserve">BEM-SIM-0018693</t>
  </si>
  <si>
    <t xml:space="preserve">2001-01-18</t>
  </si>
  <si>
    <t xml:space="preserve">AFC-SIM-0000625</t>
  </si>
  <si>
    <t xml:space="preserve">BEM-SIM-0457357</t>
  </si>
  <si>
    <t xml:space="preserve">AFC-SIM-0000626</t>
  </si>
  <si>
    <t xml:space="preserve">BEM-SIM-0294232</t>
  </si>
  <si>
    <t xml:space="preserve">1985-12-11</t>
  </si>
  <si>
    <t xml:space="preserve">AFC-SIM-0000627</t>
  </si>
  <si>
    <t xml:space="preserve">BEM-SIM-0360502</t>
  </si>
  <si>
    <t xml:space="preserve">2003-01-07</t>
  </si>
  <si>
    <t xml:space="preserve">AFC-SIM-0000628</t>
  </si>
  <si>
    <t xml:space="preserve">BEM-SIM-0143307</t>
  </si>
  <si>
    <t xml:space="preserve">2000-06-28</t>
  </si>
  <si>
    <t xml:space="preserve">AFC-SIM-0000629</t>
  </si>
  <si>
    <t xml:space="preserve">BEM-SIM-0458720</t>
  </si>
  <si>
    <t xml:space="preserve">2021-06-04</t>
  </si>
  <si>
    <t xml:space="preserve">AFC-SIM-0000630</t>
  </si>
  <si>
    <t xml:space="preserve">BEM-SIM-0352364</t>
  </si>
  <si>
    <t xml:space="preserve">2025-02-27</t>
  </si>
  <si>
    <t xml:space="preserve">AFC-SIM-0000631</t>
  </si>
  <si>
    <t xml:space="preserve">BEM-SIM-0294924</t>
  </si>
  <si>
    <t xml:space="preserve">2017-11-05</t>
  </si>
  <si>
    <t xml:space="preserve">AFC-SIM-0000632</t>
  </si>
  <si>
    <t xml:space="preserve">BEM-SIM-0009961</t>
  </si>
  <si>
    <t xml:space="preserve">2008-06-14</t>
  </si>
  <si>
    <t xml:space="preserve">AFC-SIM-0000633</t>
  </si>
  <si>
    <t xml:space="preserve">BEM-SIM-0436332</t>
  </si>
  <si>
    <t xml:space="preserve">2005-05-22</t>
  </si>
  <si>
    <t xml:space="preserve">AFC-SIM-0000634</t>
  </si>
  <si>
    <t xml:space="preserve">BEM-SIM-0358652</t>
  </si>
  <si>
    <t xml:space="preserve">AFC-SIM-0000635</t>
  </si>
  <si>
    <t xml:space="preserve">BEM-SIM-0384875</t>
  </si>
  <si>
    <t xml:space="preserve">2024-10-08</t>
  </si>
  <si>
    <t xml:space="preserve">AFC-SIM-0000636</t>
  </si>
  <si>
    <t xml:space="preserve">BEM-SIM-0339527</t>
  </si>
  <si>
    <t xml:space="preserve">2004-06-23</t>
  </si>
  <si>
    <t xml:space="preserve">AFC-SIM-0000637</t>
  </si>
  <si>
    <t xml:space="preserve">BEM-SIM-0474960</t>
  </si>
  <si>
    <t xml:space="preserve">2014-05-28</t>
  </si>
  <si>
    <t xml:space="preserve">AFC-SIM-0000638</t>
  </si>
  <si>
    <t xml:space="preserve">BEM-SIM-0483987</t>
  </si>
  <si>
    <t xml:space="preserve">2024-11-14</t>
  </si>
  <si>
    <t xml:space="preserve">AFC-SIM-0000639</t>
  </si>
  <si>
    <t xml:space="preserve">BEM-SIM-0425585</t>
  </si>
  <si>
    <t xml:space="preserve">2021-05-08</t>
  </si>
  <si>
    <t xml:space="preserve">AFC-SIM-0000640</t>
  </si>
  <si>
    <t xml:space="preserve">BEM-SIM-0086914</t>
  </si>
  <si>
    <t xml:space="preserve">2018-12-21</t>
  </si>
  <si>
    <t xml:space="preserve">AFC-SIM-0000641</t>
  </si>
  <si>
    <t xml:space="preserve">BEM-SIM-0275554</t>
  </si>
  <si>
    <t xml:space="preserve">1988-05-26</t>
  </si>
  <si>
    <t xml:space="preserve">BAIXADO</t>
  </si>
  <si>
    <t xml:space="preserve">2025-06-03</t>
  </si>
  <si>
    <t xml:space="preserve">AFC-SIM-0000642</t>
  </si>
  <si>
    <t xml:space="preserve">BEM-SIM-0239279</t>
  </si>
  <si>
    <t xml:space="preserve">2018-07-10</t>
  </si>
  <si>
    <t xml:space="preserve">AFC-SIM-0000643</t>
  </si>
  <si>
    <t xml:space="preserve">BEM-SIM-0312404</t>
  </si>
  <si>
    <t xml:space="preserve">2015-05-10</t>
  </si>
  <si>
    <t xml:space="preserve">AFC-SIM-0000644</t>
  </si>
  <si>
    <t xml:space="preserve">BEM-SIM-0333180</t>
  </si>
  <si>
    <t xml:space="preserve">2002-01-18</t>
  </si>
  <si>
    <t xml:space="preserve">AFC-SIM-0000645</t>
  </si>
  <si>
    <t xml:space="preserve">BEM-SIM-0243665</t>
  </si>
  <si>
    <t xml:space="preserve">2010-11-08</t>
  </si>
  <si>
    <t xml:space="preserve">AFC-SIM-0000646</t>
  </si>
  <si>
    <t xml:space="preserve">BEM-SIM-0489879</t>
  </si>
  <si>
    <t xml:space="preserve">2009-01-08</t>
  </si>
  <si>
    <t xml:space="preserve">AFC-SIM-0000647</t>
  </si>
  <si>
    <t xml:space="preserve">BEM-SIM-0311739</t>
  </si>
  <si>
    <t xml:space="preserve">2025-07-07</t>
  </si>
  <si>
    <t xml:space="preserve">AFC-SIM-0000648</t>
  </si>
  <si>
    <t xml:space="preserve">BEM-SIM-0249405</t>
  </si>
  <si>
    <t xml:space="preserve">AFC-SIM-0000649</t>
  </si>
  <si>
    <t xml:space="preserve">BEM-SIM-0487634</t>
  </si>
  <si>
    <t xml:space="preserve">1993-11-07</t>
  </si>
  <si>
    <t xml:space="preserve">AFC-SIM-0000650</t>
  </si>
  <si>
    <t xml:space="preserve">BEM-SIM-0476125</t>
  </si>
  <si>
    <t xml:space="preserve">AFC-SIM-0000651</t>
  </si>
  <si>
    <t xml:space="preserve">BEM-SIM-0266814</t>
  </si>
  <si>
    <t xml:space="preserve">2010-05-05</t>
  </si>
  <si>
    <t xml:space="preserve">AFC-SIM-0000652</t>
  </si>
  <si>
    <t xml:space="preserve">BEM-SIM-0094988</t>
  </si>
  <si>
    <t xml:space="preserve">2010-02-27</t>
  </si>
  <si>
    <t xml:space="preserve">AFC-SIM-0000653</t>
  </si>
  <si>
    <t xml:space="preserve">BEM-SIM-0401378</t>
  </si>
  <si>
    <t xml:space="preserve">1997-05-27</t>
  </si>
  <si>
    <t xml:space="preserve">AFC-SIM-0000654</t>
  </si>
  <si>
    <t xml:space="preserve">BEM-SIM-0067916</t>
  </si>
  <si>
    <t xml:space="preserve">1996-07-14</t>
  </si>
  <si>
    <t xml:space="preserve">AFC-SIM-0000655</t>
  </si>
  <si>
    <t xml:space="preserve">BEM-SIM-0272348</t>
  </si>
  <si>
    <t xml:space="preserve">2018-10-15</t>
  </si>
  <si>
    <t xml:space="preserve">AFC-SIM-0000656</t>
  </si>
  <si>
    <t xml:space="preserve">BEM-SIM-0414259</t>
  </si>
  <si>
    <t xml:space="preserve">1993-07-25</t>
  </si>
  <si>
    <t xml:space="preserve">AFC-SIM-0000657</t>
  </si>
  <si>
    <t xml:space="preserve">BEM-SIM-0443812</t>
  </si>
  <si>
    <t xml:space="preserve">2001-06-27</t>
  </si>
  <si>
    <t xml:space="preserve">AFC-SIM-0000658</t>
  </si>
  <si>
    <t xml:space="preserve">BEM-SIM-0334893</t>
  </si>
  <si>
    <t xml:space="preserve">2000-08-05</t>
  </si>
  <si>
    <t xml:space="preserve">AFC-SIM-0000659</t>
  </si>
  <si>
    <t xml:space="preserve">BEM-SIM-0150825</t>
  </si>
  <si>
    <t xml:space="preserve">2014-04-04</t>
  </si>
  <si>
    <t xml:space="preserve">AFC-SIM-0000660</t>
  </si>
  <si>
    <t xml:space="preserve">BEM-SIM-0215989</t>
  </si>
  <si>
    <t xml:space="preserve">2007-07-24</t>
  </si>
  <si>
    <t xml:space="preserve">AFC-SIM-0000661</t>
  </si>
  <si>
    <t xml:space="preserve">BEM-SIM-0264295</t>
  </si>
  <si>
    <t xml:space="preserve">2023-03-17</t>
  </si>
  <si>
    <t xml:space="preserve">AFC-SIM-0000662</t>
  </si>
  <si>
    <t xml:space="preserve">BEM-SIM-0112911</t>
  </si>
  <si>
    <t xml:space="preserve">2002-03-05</t>
  </si>
  <si>
    <t xml:space="preserve">AFC-SIM-0000663</t>
  </si>
  <si>
    <t xml:space="preserve">BEM-SIM-0207548</t>
  </si>
  <si>
    <t xml:space="preserve">2017-12-24</t>
  </si>
  <si>
    <t xml:space="preserve">AFC-SIM-0000664</t>
  </si>
  <si>
    <t xml:space="preserve">BEM-SIM-0415789</t>
  </si>
  <si>
    <t xml:space="preserve">2015-12-18</t>
  </si>
  <si>
    <t xml:space="preserve">AFC-SIM-0000665</t>
  </si>
  <si>
    <t xml:space="preserve">BEM-SIM-0325537</t>
  </si>
  <si>
    <t xml:space="preserve">2019-12-10</t>
  </si>
  <si>
    <t xml:space="preserve">AFC-SIM-0000666</t>
  </si>
  <si>
    <t xml:space="preserve">BEM-SIM-0145300</t>
  </si>
  <si>
    <t xml:space="preserve">2017-03-18</t>
  </si>
  <si>
    <t xml:space="preserve">AFC-SIM-0000667</t>
  </si>
  <si>
    <t xml:space="preserve">BEM-SIM-0042461</t>
  </si>
  <si>
    <t xml:space="preserve">2018-06-23</t>
  </si>
  <si>
    <t xml:space="preserve">AFC-SIM-0000668</t>
  </si>
  <si>
    <t xml:space="preserve">BEM-SIM-0392841</t>
  </si>
  <si>
    <t xml:space="preserve">1993-06-07</t>
  </si>
  <si>
    <t xml:space="preserve">AFC-SIM-0000669</t>
  </si>
  <si>
    <t xml:space="preserve">BEM-SIM-0074057</t>
  </si>
  <si>
    <t xml:space="preserve">2012-12-19</t>
  </si>
  <si>
    <t xml:space="preserve">AFC-SIM-0000670</t>
  </si>
  <si>
    <t xml:space="preserve">BEM-SIM-0293236</t>
  </si>
  <si>
    <t xml:space="preserve">2017-01-09</t>
  </si>
  <si>
    <t xml:space="preserve">AFC-SIM-0000671</t>
  </si>
  <si>
    <t xml:space="preserve">BEM-SIM-0417790</t>
  </si>
  <si>
    <t xml:space="preserve">2015-08-09</t>
  </si>
  <si>
    <t xml:space="preserve">AFC-SIM-0000672</t>
  </si>
  <si>
    <t xml:space="preserve">BEM-SIM-0347351</t>
  </si>
  <si>
    <t xml:space="preserve">2004-08-11</t>
  </si>
  <si>
    <t xml:space="preserve">AFC-SIM-0000673</t>
  </si>
  <si>
    <t xml:space="preserve">BEM-SIM-0424770</t>
  </si>
  <si>
    <t xml:space="preserve">2004-05-03</t>
  </si>
  <si>
    <t xml:space="preserve">AFC-SIM-0000674</t>
  </si>
  <si>
    <t xml:space="preserve">BEM-SIM-0018725</t>
  </si>
  <si>
    <t xml:space="preserve">AFC-SIM-0000675</t>
  </si>
  <si>
    <t xml:space="preserve">BEM-SIM-0275690</t>
  </si>
  <si>
    <t xml:space="preserve">2017-05-23</t>
  </si>
  <si>
    <t xml:space="preserve">AFC-SIM-0000676</t>
  </si>
  <si>
    <t xml:space="preserve">BEM-SIM-0305574</t>
  </si>
  <si>
    <t xml:space="preserve">2017-01-01</t>
  </si>
  <si>
    <t xml:space="preserve">AFC-SIM-0000677</t>
  </si>
  <si>
    <t xml:space="preserve">BEM-SIM-0206478</t>
  </si>
  <si>
    <t xml:space="preserve">1997-01-06</t>
  </si>
  <si>
    <t xml:space="preserve">AFC-SIM-0000678</t>
  </si>
  <si>
    <t xml:space="preserve">BEM-SIM-0301198</t>
  </si>
  <si>
    <t xml:space="preserve">2017-12-14</t>
  </si>
  <si>
    <t xml:space="preserve">AFC-SIM-0000679</t>
  </si>
  <si>
    <t xml:space="preserve">BEM-SIM-0305104</t>
  </si>
  <si>
    <t xml:space="preserve">2020-12-19</t>
  </si>
  <si>
    <t xml:space="preserve">AFC-SIM-0000680</t>
  </si>
  <si>
    <t xml:space="preserve">BEM-SIM-0162967</t>
  </si>
  <si>
    <t xml:space="preserve">2008-09-17</t>
  </si>
  <si>
    <t xml:space="preserve">AFC-SIM-0000681</t>
  </si>
  <si>
    <t xml:space="preserve">BEM-SIM-0184675</t>
  </si>
  <si>
    <t xml:space="preserve">2023-07-08</t>
  </si>
  <si>
    <t xml:space="preserve">AFC-SIM-0000682</t>
  </si>
  <si>
    <t xml:space="preserve">BEM-SIM-0112534</t>
  </si>
  <si>
    <t xml:space="preserve">2015-03-18</t>
  </si>
  <si>
    <t xml:space="preserve">AFC-SIM-0000683</t>
  </si>
  <si>
    <t xml:space="preserve">BEM-SIM-0091665</t>
  </si>
  <si>
    <t xml:space="preserve">2025-11-27</t>
  </si>
  <si>
    <t xml:space="preserve">AFC-SIM-0000684</t>
  </si>
  <si>
    <t xml:space="preserve">BEM-SIM-0297879</t>
  </si>
  <si>
    <t xml:space="preserve">2000-01-28</t>
  </si>
  <si>
    <t xml:space="preserve">AFC-SIM-0000685</t>
  </si>
  <si>
    <t xml:space="preserve">BEM-SIM-0485096</t>
  </si>
  <si>
    <t xml:space="preserve">2024-04-03</t>
  </si>
  <si>
    <t xml:space="preserve">AFC-SIM-0000686</t>
  </si>
  <si>
    <t xml:space="preserve">BEM-SIM-0378076</t>
  </si>
  <si>
    <t xml:space="preserve">2008-06-19</t>
  </si>
  <si>
    <t xml:space="preserve">AFC-SIM-0000687</t>
  </si>
  <si>
    <t xml:space="preserve">BEM-SIM-0093848</t>
  </si>
  <si>
    <t xml:space="preserve">2018-02-21</t>
  </si>
  <si>
    <t xml:space="preserve">AFC-SIM-0000688</t>
  </si>
  <si>
    <t xml:space="preserve">BEM-SIM-0467135</t>
  </si>
  <si>
    <t xml:space="preserve">2015-06-05</t>
  </si>
  <si>
    <t xml:space="preserve">AFC-SIM-0000689</t>
  </si>
  <si>
    <t xml:space="preserve">BEM-SIM-0381252</t>
  </si>
  <si>
    <t xml:space="preserve">2019-12-13</t>
  </si>
  <si>
    <t xml:space="preserve">AFC-SIM-0000690</t>
  </si>
  <si>
    <t xml:space="preserve">BEM-SIM-0497977</t>
  </si>
  <si>
    <t xml:space="preserve">2019-11-14</t>
  </si>
  <si>
    <t xml:space="preserve">AFC-SIM-0000691</t>
  </si>
  <si>
    <t xml:space="preserve">BEM-SIM-0192786</t>
  </si>
  <si>
    <t xml:space="preserve">2012-02-09</t>
  </si>
  <si>
    <t xml:space="preserve">AFC-SIM-0000692</t>
  </si>
  <si>
    <t xml:space="preserve">BEM-SIM-0422574</t>
  </si>
  <si>
    <t xml:space="preserve">2018-04-20</t>
  </si>
  <si>
    <t xml:space="preserve">AFC-SIM-0000693</t>
  </si>
  <si>
    <t xml:space="preserve">BEM-SIM-0249909</t>
  </si>
  <si>
    <t xml:space="preserve">2018-02-09</t>
  </si>
  <si>
    <t xml:space="preserve">AFC-SIM-0000694</t>
  </si>
  <si>
    <t xml:space="preserve">BEM-SIM-0171274</t>
  </si>
  <si>
    <t xml:space="preserve">1994-06-06</t>
  </si>
  <si>
    <t xml:space="preserve">AFC-SIM-0000695</t>
  </si>
  <si>
    <t xml:space="preserve">BEM-SIM-0204618</t>
  </si>
  <si>
    <t xml:space="preserve">2002-03-21</t>
  </si>
  <si>
    <t xml:space="preserve">AFC-SIM-0000696</t>
  </si>
  <si>
    <t xml:space="preserve">BEM-SIM-0445844</t>
  </si>
  <si>
    <t xml:space="preserve">2017-12-23</t>
  </si>
  <si>
    <t xml:space="preserve">AFC-SIM-0000697</t>
  </si>
  <si>
    <t xml:space="preserve">BEM-SIM-0283820</t>
  </si>
  <si>
    <t xml:space="preserve">2016-06-17</t>
  </si>
  <si>
    <t xml:space="preserve">AFC-SIM-0000698</t>
  </si>
  <si>
    <t xml:space="preserve">BEM-SIM-0349537</t>
  </si>
  <si>
    <t xml:space="preserve">2009-10-20</t>
  </si>
  <si>
    <t xml:space="preserve">AFC-SIM-0000699</t>
  </si>
  <si>
    <t xml:space="preserve">BEM-SIM-0079125</t>
  </si>
  <si>
    <t xml:space="preserve">2015-11-19</t>
  </si>
  <si>
    <t xml:space="preserve">AFC-SIM-0000700</t>
  </si>
  <si>
    <t xml:space="preserve">BEM-SIM-0191209</t>
  </si>
  <si>
    <t xml:space="preserve">1996-12-16</t>
  </si>
  <si>
    <t xml:space="preserve">AFC-SIM-0000701</t>
  </si>
  <si>
    <t xml:space="preserve">BEM-SIM-0144428</t>
  </si>
  <si>
    <t xml:space="preserve">2020-08-26</t>
  </si>
  <si>
    <t xml:space="preserve">AFC-SIM-0000702</t>
  </si>
  <si>
    <t xml:space="preserve">BEM-SIM-0346910</t>
  </si>
  <si>
    <t xml:space="preserve">2019-01-07</t>
  </si>
  <si>
    <t xml:space="preserve">AFC-SIM-0000703</t>
  </si>
  <si>
    <t xml:space="preserve">BEM-SIM-0376041</t>
  </si>
  <si>
    <t xml:space="preserve">1998-01-14</t>
  </si>
  <si>
    <t xml:space="preserve">AFC-SIM-0000704</t>
  </si>
  <si>
    <t xml:space="preserve">BEM-SIM-0278611</t>
  </si>
  <si>
    <t xml:space="preserve">AFC-SIM-0000705</t>
  </si>
  <si>
    <t xml:space="preserve">BEM-SIM-0150437</t>
  </si>
  <si>
    <t xml:space="preserve">2024-02-26</t>
  </si>
  <si>
    <t xml:space="preserve">AFC-SIM-0000706</t>
  </si>
  <si>
    <t xml:space="preserve">BEM-SIM-0484625</t>
  </si>
  <si>
    <t xml:space="preserve">2024-07-27</t>
  </si>
  <si>
    <t xml:space="preserve">AFC-SIM-0000707</t>
  </si>
  <si>
    <t xml:space="preserve">BEM-SIM-0285736</t>
  </si>
  <si>
    <t xml:space="preserve">2014-07-07</t>
  </si>
  <si>
    <t xml:space="preserve">AFC-SIM-0000708</t>
  </si>
  <si>
    <t xml:space="preserve">BEM-SIM-0025788</t>
  </si>
  <si>
    <t xml:space="preserve">2021-07-20</t>
  </si>
  <si>
    <t xml:space="preserve">AFC-SIM-0000709</t>
  </si>
  <si>
    <t xml:space="preserve">BEM-SIM-0337318</t>
  </si>
  <si>
    <t xml:space="preserve">2012-11-17</t>
  </si>
  <si>
    <t xml:space="preserve">AFC-SIM-0000710</t>
  </si>
  <si>
    <t xml:space="preserve">BEM-SIM-0090542</t>
  </si>
  <si>
    <t xml:space="preserve">2015-09-25</t>
  </si>
  <si>
    <t xml:space="preserve">AFC-SIM-0000711</t>
  </si>
  <si>
    <t xml:space="preserve">BEM-SIM-0186984</t>
  </si>
  <si>
    <t xml:space="preserve">2016-08-20</t>
  </si>
  <si>
    <t xml:space="preserve">AFC-SIM-0000712</t>
  </si>
  <si>
    <t xml:space="preserve">BEM-SIM-0235575</t>
  </si>
  <si>
    <t xml:space="preserve">2009-01-17</t>
  </si>
  <si>
    <t xml:space="preserve">AFC-SIM-0000713</t>
  </si>
  <si>
    <t xml:space="preserve">BEM-SIM-0012884</t>
  </si>
  <si>
    <t xml:space="preserve">2003-01-10</t>
  </si>
  <si>
    <t xml:space="preserve">AFC-SIM-0000714</t>
  </si>
  <si>
    <t xml:space="preserve">BEM-SIM-0258649</t>
  </si>
  <si>
    <t xml:space="preserve">2001-01-21</t>
  </si>
  <si>
    <t xml:space="preserve">AFC-SIM-0000715</t>
  </si>
  <si>
    <t xml:space="preserve">BEM-SIM-0178712</t>
  </si>
  <si>
    <t xml:space="preserve">2006-01-03</t>
  </si>
  <si>
    <t xml:space="preserve">AFC-SIM-0000716</t>
  </si>
  <si>
    <t xml:space="preserve">BEM-SIM-0305582</t>
  </si>
  <si>
    <t xml:space="preserve">1999-11-12</t>
  </si>
  <si>
    <t xml:space="preserve">AFC-SIM-0000717</t>
  </si>
  <si>
    <t xml:space="preserve">BEM-SIM-0043397</t>
  </si>
  <si>
    <t xml:space="preserve">2016-10-16</t>
  </si>
  <si>
    <t xml:space="preserve">AFC-SIM-0000718</t>
  </si>
  <si>
    <t xml:space="preserve">BEM-SIM-0283591</t>
  </si>
  <si>
    <t xml:space="preserve">1999-12-08</t>
  </si>
  <si>
    <t xml:space="preserve">AFC-SIM-0000719</t>
  </si>
  <si>
    <t xml:space="preserve">BEM-SIM-0330891</t>
  </si>
  <si>
    <t xml:space="preserve">2023-04-25</t>
  </si>
  <si>
    <t xml:space="preserve">AFC-SIM-0000720</t>
  </si>
  <si>
    <t xml:space="preserve">BEM-SIM-0281214</t>
  </si>
  <si>
    <t xml:space="preserve">2023-12-28</t>
  </si>
  <si>
    <t xml:space="preserve">AFC-SIM-0000721</t>
  </si>
  <si>
    <t xml:space="preserve">BEM-SIM-0137546</t>
  </si>
  <si>
    <t xml:space="preserve">AFC-SIM-0000722</t>
  </si>
  <si>
    <t xml:space="preserve">BEM-SIM-0254603</t>
  </si>
  <si>
    <t xml:space="preserve">2020-01-15</t>
  </si>
  <si>
    <t xml:space="preserve">AFC-SIM-0000723</t>
  </si>
  <si>
    <t xml:space="preserve">BEM-SIM-0372027</t>
  </si>
  <si>
    <t xml:space="preserve">AFC-SIM-0000724</t>
  </si>
  <si>
    <t xml:space="preserve">BEM-SIM-0285099</t>
  </si>
  <si>
    <t xml:space="preserve">2000-01-05</t>
  </si>
  <si>
    <t xml:space="preserve">AFC-SIM-0000725</t>
  </si>
  <si>
    <t xml:space="preserve">BEM-SIM-0087650</t>
  </si>
  <si>
    <t xml:space="preserve">2005-01-24</t>
  </si>
  <si>
    <t xml:space="preserve">AFC-SIM-0000726</t>
  </si>
  <si>
    <t xml:space="preserve">BEM-SIM-0446922</t>
  </si>
  <si>
    <t xml:space="preserve">2021-12-16</t>
  </si>
  <si>
    <t xml:space="preserve">AFC-SIM-0000727</t>
  </si>
  <si>
    <t xml:space="preserve">BEM-SIM-0011996</t>
  </si>
  <si>
    <t xml:space="preserve">2013-09-18</t>
  </si>
  <si>
    <t xml:space="preserve">AFC-SIM-0000728</t>
  </si>
  <si>
    <t xml:space="preserve">BEM-SIM-0141722</t>
  </si>
  <si>
    <t xml:space="preserve">2025-03-03</t>
  </si>
  <si>
    <t xml:space="preserve">AFC-SIM-0000729</t>
  </si>
  <si>
    <t xml:space="preserve">BEM-SIM-0059786</t>
  </si>
  <si>
    <t xml:space="preserve">2006-05-28</t>
  </si>
  <si>
    <t xml:space="preserve">AFC-SIM-0000730</t>
  </si>
  <si>
    <t xml:space="preserve">BEM-SIM-0164643</t>
  </si>
  <si>
    <t xml:space="preserve">2015-12-02</t>
  </si>
  <si>
    <t xml:space="preserve">AFC-SIM-0000731</t>
  </si>
  <si>
    <t xml:space="preserve">BEM-SIM-0105084</t>
  </si>
  <si>
    <t xml:space="preserve">2004-04-23</t>
  </si>
  <si>
    <t xml:space="preserve">AFC-SIM-0000732</t>
  </si>
  <si>
    <t xml:space="preserve">BEM-SIM-0268391</t>
  </si>
  <si>
    <t xml:space="preserve">2016-06-20</t>
  </si>
  <si>
    <t xml:space="preserve">AFC-SIM-0000733</t>
  </si>
  <si>
    <t xml:space="preserve">BEM-SIM-0003512</t>
  </si>
  <si>
    <t xml:space="preserve">2024-07-20</t>
  </si>
  <si>
    <t xml:space="preserve">AFC-SIM-0000734</t>
  </si>
  <si>
    <t xml:space="preserve">BEM-SIM-0190361</t>
  </si>
  <si>
    <t xml:space="preserve">2023-02-23</t>
  </si>
  <si>
    <t xml:space="preserve">AFC-SIM-0000735</t>
  </si>
  <si>
    <t xml:space="preserve">BEM-SIM-0127818</t>
  </si>
  <si>
    <t xml:space="preserve">2009-11-20</t>
  </si>
  <si>
    <t xml:space="preserve">AFC-SIM-0000736</t>
  </si>
  <si>
    <t xml:space="preserve">BEM-SIM-0395751</t>
  </si>
  <si>
    <t xml:space="preserve">2007-08-23</t>
  </si>
  <si>
    <t xml:space="preserve">AFC-SIM-0000737</t>
  </si>
  <si>
    <t xml:space="preserve">BEM-SIM-0317130</t>
  </si>
  <si>
    <t xml:space="preserve">2013-06-18</t>
  </si>
  <si>
    <t xml:space="preserve">AFC-SIM-0000738</t>
  </si>
  <si>
    <t xml:space="preserve">BEM-SIM-0437296</t>
  </si>
  <si>
    <t xml:space="preserve">AFC-SIM-0000739</t>
  </si>
  <si>
    <t xml:space="preserve">BEM-SIM-0070603</t>
  </si>
  <si>
    <t xml:space="preserve">2019-05-25</t>
  </si>
  <si>
    <t xml:space="preserve">AFC-SIM-0000740</t>
  </si>
  <si>
    <t xml:space="preserve">BEM-SIM-0238771</t>
  </si>
  <si>
    <t xml:space="preserve">2019-11-13</t>
  </si>
  <si>
    <t xml:space="preserve">AFC-SIM-0000741</t>
  </si>
  <si>
    <t xml:space="preserve">BEM-SIM-0421400</t>
  </si>
  <si>
    <t xml:space="preserve">2015-09-27</t>
  </si>
  <si>
    <t xml:space="preserve">AFC-SIM-0000742</t>
  </si>
  <si>
    <t xml:space="preserve">BEM-SIM-0061564</t>
  </si>
  <si>
    <t xml:space="preserve">2013-02-02</t>
  </si>
  <si>
    <t xml:space="preserve">AFC-SIM-0000743</t>
  </si>
  <si>
    <t xml:space="preserve">BEM-SIM-0488535</t>
  </si>
  <si>
    <t xml:space="preserve">AFC-SIM-0000744</t>
  </si>
  <si>
    <t xml:space="preserve">BEM-SIM-0014848</t>
  </si>
  <si>
    <t xml:space="preserve">2011-02-10</t>
  </si>
  <si>
    <t xml:space="preserve">AFC-SIM-0000745</t>
  </si>
  <si>
    <t xml:space="preserve">BEM-SIM-0211914</t>
  </si>
  <si>
    <t xml:space="preserve">2025-05-24</t>
  </si>
  <si>
    <t xml:space="preserve">AFC-SIM-0000746</t>
  </si>
  <si>
    <t xml:space="preserve">BEM-SIM-0281441</t>
  </si>
  <si>
    <t xml:space="preserve">1997-10-07</t>
  </si>
  <si>
    <t xml:space="preserve">AFC-SIM-0000747</t>
  </si>
  <si>
    <t xml:space="preserve">BEM-SIM-0441389</t>
  </si>
  <si>
    <t xml:space="preserve">2017-08-24</t>
  </si>
  <si>
    <t xml:space="preserve">AFC-SIM-0000748</t>
  </si>
  <si>
    <t xml:space="preserve">BEM-SIM-0313343</t>
  </si>
  <si>
    <t xml:space="preserve">2003-12-05</t>
  </si>
  <si>
    <t xml:space="preserve">AFC-SIM-0000749</t>
  </si>
  <si>
    <t xml:space="preserve">BEM-SIM-0484774</t>
  </si>
  <si>
    <t xml:space="preserve">2012-03-21</t>
  </si>
  <si>
    <t xml:space="preserve">AFC-SIM-0000750</t>
  </si>
  <si>
    <t xml:space="preserve">BEM-SIM-0429320</t>
  </si>
  <si>
    <t xml:space="preserve">1999-12-26</t>
  </si>
  <si>
    <t xml:space="preserve">AFC-SIM-0000751</t>
  </si>
  <si>
    <t xml:space="preserve">BEM-SIM-0046445</t>
  </si>
  <si>
    <t xml:space="preserve">2019-04-01</t>
  </si>
  <si>
    <t xml:space="preserve">AFC-SIM-0000752</t>
  </si>
  <si>
    <t xml:space="preserve">BEM-SIM-0025786</t>
  </si>
  <si>
    <t xml:space="preserve">2021-10-28</t>
  </si>
  <si>
    <t xml:space="preserve">AFC-SIM-0000753</t>
  </si>
  <si>
    <t xml:space="preserve">BEM-SIM-0423049</t>
  </si>
  <si>
    <t xml:space="preserve">1996-08-13</t>
  </si>
  <si>
    <t xml:space="preserve">AFC-SIM-0000754</t>
  </si>
  <si>
    <t xml:space="preserve">BEM-SIM-0237070</t>
  </si>
  <si>
    <t xml:space="preserve">2018-11-16</t>
  </si>
  <si>
    <t xml:space="preserve">AFC-SIM-0000755</t>
  </si>
  <si>
    <t xml:space="preserve">BEM-SIM-0251295</t>
  </si>
  <si>
    <t xml:space="preserve">2002-07-15</t>
  </si>
  <si>
    <t xml:space="preserve">AFC-SIM-0000756</t>
  </si>
  <si>
    <t xml:space="preserve">BEM-SIM-0481914</t>
  </si>
  <si>
    <t xml:space="preserve">2004-03-05</t>
  </si>
  <si>
    <t xml:space="preserve">AFC-SIM-0000757</t>
  </si>
  <si>
    <t xml:space="preserve">BEM-SIM-0025594</t>
  </si>
  <si>
    <t xml:space="preserve">2024-02-27</t>
  </si>
  <si>
    <t xml:space="preserve">AFC-SIM-0000758</t>
  </si>
  <si>
    <t xml:space="preserve">BEM-SIM-0015136</t>
  </si>
  <si>
    <t xml:space="preserve">2005-09-26</t>
  </si>
  <si>
    <t xml:space="preserve">AFC-SIM-0000759</t>
  </si>
  <si>
    <t xml:space="preserve">BEM-SIM-0393724</t>
  </si>
  <si>
    <t xml:space="preserve">AFC-SIM-0000760</t>
  </si>
  <si>
    <t xml:space="preserve">BEM-SIM-0183867</t>
  </si>
  <si>
    <t xml:space="preserve">2023-06-17</t>
  </si>
  <si>
    <t xml:space="preserve">AFC-SIM-0000761</t>
  </si>
  <si>
    <t xml:space="preserve">BEM-SIM-0078885</t>
  </si>
  <si>
    <t xml:space="preserve">AFC-SIM-0000762</t>
  </si>
  <si>
    <t xml:space="preserve">BEM-SIM-0138766</t>
  </si>
  <si>
    <t xml:space="preserve">2016-01-07</t>
  </si>
  <si>
    <t xml:space="preserve">AFC-SIM-0000763</t>
  </si>
  <si>
    <t xml:space="preserve">BEM-SIM-0070597</t>
  </si>
  <si>
    <t xml:space="preserve">2006-09-04</t>
  </si>
  <si>
    <t xml:space="preserve">AFC-SIM-0000764</t>
  </si>
  <si>
    <t xml:space="preserve">BEM-SIM-0166197</t>
  </si>
  <si>
    <t xml:space="preserve">2018-07-08</t>
  </si>
  <si>
    <t xml:space="preserve">AFC-SIM-0000765</t>
  </si>
  <si>
    <t xml:space="preserve">BEM-SIM-0224581</t>
  </si>
  <si>
    <t xml:space="preserve">2024-05-18</t>
  </si>
  <si>
    <t xml:space="preserve">AFC-SIM-0000766</t>
  </si>
  <si>
    <t xml:space="preserve">BEM-SIM-0412516</t>
  </si>
  <si>
    <t xml:space="preserve">2013-08-07</t>
  </si>
  <si>
    <t xml:space="preserve">AFC-SIM-0000767</t>
  </si>
  <si>
    <t xml:space="preserve">BEM-SIM-0460350</t>
  </si>
  <si>
    <t xml:space="preserve">2020-04-23</t>
  </si>
  <si>
    <t xml:space="preserve">AFC-SIM-0000768</t>
  </si>
  <si>
    <t xml:space="preserve">BEM-SIM-0128096</t>
  </si>
  <si>
    <t xml:space="preserve">2016-05-17</t>
  </si>
  <si>
    <t xml:space="preserve">AFC-SIM-0000769</t>
  </si>
  <si>
    <t xml:space="preserve">BEM-SIM-0025355</t>
  </si>
  <si>
    <t xml:space="preserve">2017-09-08</t>
  </si>
  <si>
    <t xml:space="preserve">AFC-SIM-0000770</t>
  </si>
  <si>
    <t xml:space="preserve">BEM-SIM-0184785</t>
  </si>
  <si>
    <t xml:space="preserve">2022-02-05</t>
  </si>
  <si>
    <t xml:space="preserve">AFC-SIM-0000771</t>
  </si>
  <si>
    <t xml:space="preserve">BEM-SIM-0112104</t>
  </si>
  <si>
    <t xml:space="preserve">2002-02-18</t>
  </si>
  <si>
    <t xml:space="preserve">AFC-SIM-0000772</t>
  </si>
  <si>
    <t xml:space="preserve">BEM-SIM-0102560</t>
  </si>
  <si>
    <t xml:space="preserve">2016-03-10</t>
  </si>
  <si>
    <t xml:space="preserve">AFC-SIM-0000773</t>
  </si>
  <si>
    <t xml:space="preserve">BEM-SIM-0446186</t>
  </si>
  <si>
    <t xml:space="preserve">2021-12-22</t>
  </si>
  <si>
    <t xml:space="preserve">AFC-SIM-0000774</t>
  </si>
  <si>
    <t xml:space="preserve">BEM-SIM-0019437</t>
  </si>
  <si>
    <t xml:space="preserve">1992-03-18</t>
  </si>
  <si>
    <t xml:space="preserve">AFC-SIM-0000775</t>
  </si>
  <si>
    <t xml:space="preserve">BEM-SIM-0155416</t>
  </si>
  <si>
    <t xml:space="preserve">2021-12-04</t>
  </si>
  <si>
    <t xml:space="preserve">AFC-SIM-0000776</t>
  </si>
  <si>
    <t xml:space="preserve">BEM-SIM-0445076</t>
  </si>
  <si>
    <t xml:space="preserve">2011-05-07</t>
  </si>
  <si>
    <t xml:space="preserve">AFC-SIM-0000777</t>
  </si>
  <si>
    <t xml:space="preserve">BEM-SIM-0393456</t>
  </si>
  <si>
    <t xml:space="preserve">2016-02-16</t>
  </si>
  <si>
    <t xml:space="preserve">AFC-SIM-0000778</t>
  </si>
  <si>
    <t xml:space="preserve">BEM-SIM-0146107</t>
  </si>
  <si>
    <t xml:space="preserve">AFC-SIM-0000779</t>
  </si>
  <si>
    <t xml:space="preserve">BEM-SIM-0184589</t>
  </si>
  <si>
    <t xml:space="preserve">2014-12-13</t>
  </si>
  <si>
    <t xml:space="preserve">AFC-SIM-0000780</t>
  </si>
  <si>
    <t xml:space="preserve">BEM-SIM-0368705</t>
  </si>
  <si>
    <t xml:space="preserve">2005-04-05</t>
  </si>
  <si>
    <t xml:space="preserve">AFC-SIM-0000781</t>
  </si>
  <si>
    <t xml:space="preserve">BEM-SIM-0263647</t>
  </si>
  <si>
    <t xml:space="preserve">2007-10-14</t>
  </si>
  <si>
    <t xml:space="preserve">AFC-SIM-0000782</t>
  </si>
  <si>
    <t xml:space="preserve">BEM-SIM-0325232</t>
  </si>
  <si>
    <t xml:space="preserve">AFC-SIM-0000783</t>
  </si>
  <si>
    <t xml:space="preserve">BEM-SIM-0312329</t>
  </si>
  <si>
    <t xml:space="preserve">2002-03-22</t>
  </si>
  <si>
    <t xml:space="preserve">AFC-SIM-0000784</t>
  </si>
  <si>
    <t xml:space="preserve">BEM-SIM-0458696</t>
  </si>
  <si>
    <t xml:space="preserve">AFC-SIM-0000785</t>
  </si>
  <si>
    <t xml:space="preserve">BEM-SIM-0104871</t>
  </si>
  <si>
    <t xml:space="preserve">AFC-SIM-0000786</t>
  </si>
  <si>
    <t xml:space="preserve">BEM-SIM-0100860</t>
  </si>
  <si>
    <t xml:space="preserve">2021-09-17</t>
  </si>
  <si>
    <t xml:space="preserve">AFC-SIM-0000787</t>
  </si>
  <si>
    <t xml:space="preserve">BEM-SIM-0369788</t>
  </si>
  <si>
    <t xml:space="preserve">1995-08-10</t>
  </si>
  <si>
    <t xml:space="preserve">AFC-SIM-0000788</t>
  </si>
  <si>
    <t xml:space="preserve">BEM-SIM-0243260</t>
  </si>
  <si>
    <t xml:space="preserve">2012-01-07</t>
  </si>
  <si>
    <t xml:space="preserve">AFC-SIM-0000789</t>
  </si>
  <si>
    <t xml:space="preserve">BEM-SIM-0300837</t>
  </si>
  <si>
    <t xml:space="preserve">2020-10-21</t>
  </si>
  <si>
    <t xml:space="preserve">AFC-SIM-0000790</t>
  </si>
  <si>
    <t xml:space="preserve">BEM-SIM-0177713</t>
  </si>
  <si>
    <t xml:space="preserve">2016-12-14</t>
  </si>
  <si>
    <t xml:space="preserve">AFC-SIM-0000791</t>
  </si>
  <si>
    <t xml:space="preserve">BEM-SIM-0249593</t>
  </si>
  <si>
    <t xml:space="preserve">2020-09-16</t>
  </si>
  <si>
    <t xml:space="preserve">AFC-SIM-0000792</t>
  </si>
  <si>
    <t xml:space="preserve">BEM-SIM-0192074</t>
  </si>
  <si>
    <t xml:space="preserve">2022-10-12</t>
  </si>
  <si>
    <t xml:space="preserve">AFC-SIM-0000793</t>
  </si>
  <si>
    <t xml:space="preserve">BEM-SIM-0292377</t>
  </si>
  <si>
    <t xml:space="preserve">2015-08-23</t>
  </si>
  <si>
    <t xml:space="preserve">AFC-SIM-0000794</t>
  </si>
  <si>
    <t xml:space="preserve">BEM-SIM-0205193</t>
  </si>
  <si>
    <t xml:space="preserve">1990-07-27</t>
  </si>
  <si>
    <t xml:space="preserve">AFC-SIM-0000795</t>
  </si>
  <si>
    <t xml:space="preserve">BEM-SIM-0212204</t>
  </si>
  <si>
    <t xml:space="preserve">2017-05-02</t>
  </si>
  <si>
    <t xml:space="preserve">AFC-SIM-0000796</t>
  </si>
  <si>
    <t xml:space="preserve">BEM-SIM-0254038</t>
  </si>
  <si>
    <t xml:space="preserve">2007-03-15</t>
  </si>
  <si>
    <t xml:space="preserve">AFC-SIM-0000797</t>
  </si>
  <si>
    <t xml:space="preserve">BEM-SIM-0263767</t>
  </si>
  <si>
    <t xml:space="preserve">2002-07-09</t>
  </si>
  <si>
    <t xml:space="preserve">AFC-SIM-0000798</t>
  </si>
  <si>
    <t xml:space="preserve">BEM-SIM-0249103</t>
  </si>
  <si>
    <t xml:space="preserve">2022-05-22</t>
  </si>
  <si>
    <t xml:space="preserve">AFC-SIM-0000799</t>
  </si>
  <si>
    <t xml:space="preserve">BEM-SIM-0218949</t>
  </si>
  <si>
    <t xml:space="preserve">2002-11-11</t>
  </si>
  <si>
    <t xml:space="preserve">AFC-SIM-0000800</t>
  </si>
  <si>
    <t xml:space="preserve">BEM-SIM-0463736</t>
  </si>
  <si>
    <t xml:space="preserve">2018-06-19</t>
  </si>
  <si>
    <t xml:space="preserve">AFC-SIM-0000801</t>
  </si>
  <si>
    <t xml:space="preserve">BEM-SIM-0221305</t>
  </si>
  <si>
    <t xml:space="preserve">2019-01-15</t>
  </si>
  <si>
    <t xml:space="preserve">AFC-SIM-0000802</t>
  </si>
  <si>
    <t xml:space="preserve">BEM-SIM-0063225</t>
  </si>
  <si>
    <t xml:space="preserve">2006-07-28</t>
  </si>
  <si>
    <t xml:space="preserve">AFC-SIM-0000803</t>
  </si>
  <si>
    <t xml:space="preserve">BEM-SIM-0122184</t>
  </si>
  <si>
    <t xml:space="preserve">2024-09-12</t>
  </si>
  <si>
    <t xml:space="preserve">AFC-SIM-0000804</t>
  </si>
  <si>
    <t xml:space="preserve">BEM-SIM-0405834</t>
  </si>
  <si>
    <t xml:space="preserve">2009-10-13</t>
  </si>
  <si>
    <t xml:space="preserve">AFC-SIM-0000805</t>
  </si>
  <si>
    <t xml:space="preserve">BEM-SIM-0309135</t>
  </si>
  <si>
    <t xml:space="preserve">2009-12-13</t>
  </si>
  <si>
    <t xml:space="preserve">AFC-SIM-0000806</t>
  </si>
  <si>
    <t xml:space="preserve">BEM-SIM-0402697</t>
  </si>
  <si>
    <t xml:space="preserve">2000-06-01</t>
  </si>
  <si>
    <t xml:space="preserve">AFC-SIM-0000807</t>
  </si>
  <si>
    <t xml:space="preserve">BEM-SIM-0167133</t>
  </si>
  <si>
    <t xml:space="preserve">2003-09-20</t>
  </si>
  <si>
    <t xml:space="preserve">AFC-SIM-0000808</t>
  </si>
  <si>
    <t xml:space="preserve">BEM-SIM-0121358</t>
  </si>
  <si>
    <t xml:space="preserve">2016-11-05</t>
  </si>
  <si>
    <t xml:space="preserve">AFC-SIM-0000809</t>
  </si>
  <si>
    <t xml:space="preserve">BEM-SIM-0151056</t>
  </si>
  <si>
    <t xml:space="preserve">2014-11-22</t>
  </si>
  <si>
    <t xml:space="preserve">AFC-SIM-0000810</t>
  </si>
  <si>
    <t xml:space="preserve">BEM-SIM-0272277</t>
  </si>
  <si>
    <t xml:space="preserve">2005-11-09</t>
  </si>
  <si>
    <t xml:space="preserve">AFC-SIM-0000811</t>
  </si>
  <si>
    <t xml:space="preserve">BEM-SIM-0477697</t>
  </si>
  <si>
    <t xml:space="preserve">AFC-SIM-0000812</t>
  </si>
  <si>
    <t xml:space="preserve">BEM-SIM-0183502</t>
  </si>
  <si>
    <t xml:space="preserve">2016-02-26</t>
  </si>
  <si>
    <t xml:space="preserve">AFC-SIM-0000813</t>
  </si>
  <si>
    <t xml:space="preserve">BEM-SIM-0082427</t>
  </si>
  <si>
    <t xml:space="preserve">2004-07-16</t>
  </si>
  <si>
    <t xml:space="preserve">AFC-SIM-0000814</t>
  </si>
  <si>
    <t xml:space="preserve">BEM-SIM-0266197</t>
  </si>
  <si>
    <t xml:space="preserve">2000-10-08</t>
  </si>
  <si>
    <t xml:space="preserve">AFC-SIM-0000815</t>
  </si>
  <si>
    <t xml:space="preserve">BEM-SIM-0421143</t>
  </si>
  <si>
    <t xml:space="preserve">2000-05-04</t>
  </si>
  <si>
    <t xml:space="preserve">AFC-SIM-0000816</t>
  </si>
  <si>
    <t xml:space="preserve">BEM-SIM-0202663</t>
  </si>
  <si>
    <t xml:space="preserve">2012-09-01</t>
  </si>
  <si>
    <t xml:space="preserve">AFC-SIM-0000817</t>
  </si>
  <si>
    <t xml:space="preserve">BEM-SIM-0007926</t>
  </si>
  <si>
    <t xml:space="preserve">2024-10-22</t>
  </si>
  <si>
    <t xml:space="preserve">AFC-SIM-0000818</t>
  </si>
  <si>
    <t xml:space="preserve">BEM-SIM-0446399</t>
  </si>
  <si>
    <t xml:space="preserve">2022-04-17</t>
  </si>
  <si>
    <t xml:space="preserve">AFC-SIM-0000819</t>
  </si>
  <si>
    <t xml:space="preserve">BEM-SIM-0410382</t>
  </si>
  <si>
    <t xml:space="preserve">2025-12-20</t>
  </si>
  <si>
    <t xml:space="preserve">AFC-SIM-0000820</t>
  </si>
  <si>
    <t xml:space="preserve">BEM-SIM-0079112</t>
  </si>
  <si>
    <t xml:space="preserve">2024-05-28</t>
  </si>
  <si>
    <t xml:space="preserve">AFC-SIM-0000821</t>
  </si>
  <si>
    <t xml:space="preserve">BEM-SIM-0236772</t>
  </si>
  <si>
    <t xml:space="preserve">1998-03-23</t>
  </si>
  <si>
    <t xml:space="preserve">AFC-SIM-0000822</t>
  </si>
  <si>
    <t xml:space="preserve">BEM-SIM-0473747</t>
  </si>
  <si>
    <t xml:space="preserve">2020-03-11</t>
  </si>
  <si>
    <t xml:space="preserve">AFC-SIM-0000823</t>
  </si>
  <si>
    <t xml:space="preserve">BEM-SIM-0211497</t>
  </si>
  <si>
    <t xml:space="preserve">2021-02-03</t>
  </si>
  <si>
    <t xml:space="preserve">AFC-SIM-0000824</t>
  </si>
  <si>
    <t xml:space="preserve">BEM-SIM-0036911</t>
  </si>
  <si>
    <t xml:space="preserve">2020-09-28</t>
  </si>
  <si>
    <t xml:space="preserve">AFC-SIM-0000825</t>
  </si>
  <si>
    <t xml:space="preserve">BEM-SIM-0060148</t>
  </si>
  <si>
    <t xml:space="preserve">2015-10-26</t>
  </si>
  <si>
    <t xml:space="preserve">AFC-SIM-0000826</t>
  </si>
  <si>
    <t xml:space="preserve">BEM-SIM-0396282</t>
  </si>
  <si>
    <t xml:space="preserve">1994-08-12</t>
  </si>
  <si>
    <t xml:space="preserve">AFC-SIM-0000827</t>
  </si>
  <si>
    <t xml:space="preserve">BEM-SIM-0343166</t>
  </si>
  <si>
    <t xml:space="preserve">2011-05-19</t>
  </si>
  <si>
    <t xml:space="preserve">AFC-SIM-0000828</t>
  </si>
  <si>
    <t xml:space="preserve">BEM-SIM-0206403</t>
  </si>
  <si>
    <t xml:space="preserve">2012-04-07</t>
  </si>
  <si>
    <t xml:space="preserve">AFC-SIM-0000829</t>
  </si>
  <si>
    <t xml:space="preserve">BEM-SIM-0115205</t>
  </si>
  <si>
    <t xml:space="preserve">2010-12-18</t>
  </si>
  <si>
    <t xml:space="preserve">AFC-SIM-0000830</t>
  </si>
  <si>
    <t xml:space="preserve">BEM-SIM-0105888</t>
  </si>
  <si>
    <t xml:space="preserve">AFC-SIM-0000831</t>
  </si>
  <si>
    <t xml:space="preserve">BEM-SIM-0131582</t>
  </si>
  <si>
    <t xml:space="preserve">2014-05-15</t>
  </si>
  <si>
    <t xml:space="preserve">AFC-SIM-0000832</t>
  </si>
  <si>
    <t xml:space="preserve">BEM-SIM-0486269</t>
  </si>
  <si>
    <t xml:space="preserve">2025-04-26</t>
  </si>
  <si>
    <t xml:space="preserve">AFC-SIM-0000833</t>
  </si>
  <si>
    <t xml:space="preserve">BEM-SIM-0142071</t>
  </si>
  <si>
    <t xml:space="preserve">2007-05-23</t>
  </si>
  <si>
    <t xml:space="preserve">AFC-SIM-0000834</t>
  </si>
  <si>
    <t xml:space="preserve">BEM-SIM-0268528</t>
  </si>
  <si>
    <t xml:space="preserve">2021-04-12</t>
  </si>
  <si>
    <t xml:space="preserve">AFC-SIM-0000835</t>
  </si>
  <si>
    <t xml:space="preserve">BEM-SIM-0061664</t>
  </si>
  <si>
    <t xml:space="preserve">2006-09-01</t>
  </si>
  <si>
    <t xml:space="preserve">AFC-SIM-0000836</t>
  </si>
  <si>
    <t xml:space="preserve">BEM-SIM-0430079</t>
  </si>
  <si>
    <t xml:space="preserve">2010-01-08</t>
  </si>
  <si>
    <t xml:space="preserve">AFC-SIM-0000837</t>
  </si>
  <si>
    <t xml:space="preserve">BEM-SIM-0440866</t>
  </si>
  <si>
    <t xml:space="preserve">1999-05-25</t>
  </si>
  <si>
    <t xml:space="preserve">AFC-SIM-0000838</t>
  </si>
  <si>
    <t xml:space="preserve">BEM-SIM-0014818</t>
  </si>
  <si>
    <t xml:space="preserve">2009-05-28</t>
  </si>
  <si>
    <t xml:space="preserve">AFC-SIM-0000839</t>
  </si>
  <si>
    <t xml:space="preserve">BEM-SIM-0351645</t>
  </si>
  <si>
    <t xml:space="preserve">2018-12-09</t>
  </si>
  <si>
    <t xml:space="preserve">AFC-SIM-0000840</t>
  </si>
  <si>
    <t xml:space="preserve">BEM-SIM-0276022</t>
  </si>
  <si>
    <t xml:space="preserve">2003-09-15</t>
  </si>
  <si>
    <t xml:space="preserve">AFC-SIM-0000841</t>
  </si>
  <si>
    <t xml:space="preserve">BEM-SIM-0320310</t>
  </si>
  <si>
    <t xml:space="preserve">AFC-SIM-0000842</t>
  </si>
  <si>
    <t xml:space="preserve">BEM-SIM-0373065</t>
  </si>
  <si>
    <t xml:space="preserve">2025-04-07</t>
  </si>
  <si>
    <t xml:space="preserve">AFC-SIM-0000843</t>
  </si>
  <si>
    <t xml:space="preserve">BEM-SIM-0190575</t>
  </si>
  <si>
    <t xml:space="preserve">2018-08-28</t>
  </si>
  <si>
    <t xml:space="preserve">AFC-SIM-0000844</t>
  </si>
  <si>
    <t xml:space="preserve">BEM-SIM-0353155</t>
  </si>
  <si>
    <t xml:space="preserve">2003-05-22</t>
  </si>
  <si>
    <t xml:space="preserve">AFC-SIM-0000845</t>
  </si>
  <si>
    <t xml:space="preserve">BEM-SIM-0102610</t>
  </si>
  <si>
    <t xml:space="preserve">2008-10-07</t>
  </si>
  <si>
    <t xml:space="preserve">AFC-SIM-0000846</t>
  </si>
  <si>
    <t xml:space="preserve">BEM-SIM-0345634</t>
  </si>
  <si>
    <t xml:space="preserve">2001-08-20</t>
  </si>
  <si>
    <t xml:space="preserve">AFC-SIM-0000847</t>
  </si>
  <si>
    <t xml:space="preserve">BEM-SIM-0451761</t>
  </si>
  <si>
    <t xml:space="preserve">AFC-SIM-0000848</t>
  </si>
  <si>
    <t xml:space="preserve">BEM-SIM-0329051</t>
  </si>
  <si>
    <t xml:space="preserve">2020-10-09</t>
  </si>
  <si>
    <t xml:space="preserve">AFC-SIM-0000849</t>
  </si>
  <si>
    <t xml:space="preserve">BEM-SIM-0196173</t>
  </si>
  <si>
    <t xml:space="preserve">2011-10-21</t>
  </si>
  <si>
    <t xml:space="preserve">AFC-SIM-0000850</t>
  </si>
  <si>
    <t xml:space="preserve">BEM-SIM-0152640</t>
  </si>
  <si>
    <t xml:space="preserve">2021-06-23</t>
  </si>
  <si>
    <t xml:space="preserve">AFC-SIM-0000851</t>
  </si>
  <si>
    <t xml:space="preserve">BEM-SIM-0454019</t>
  </si>
  <si>
    <t xml:space="preserve">2016-07-16</t>
  </si>
  <si>
    <t xml:space="preserve">AFC-SIM-0000852</t>
  </si>
  <si>
    <t xml:space="preserve">BEM-SIM-0096619</t>
  </si>
  <si>
    <t xml:space="preserve">2021-04-26</t>
  </si>
  <si>
    <t xml:space="preserve">AFC-SIM-0000853</t>
  </si>
  <si>
    <t xml:space="preserve">BEM-SIM-0293289</t>
  </si>
  <si>
    <t xml:space="preserve">1999-01-19</t>
  </si>
  <si>
    <t xml:space="preserve">AFC-SIM-0000854</t>
  </si>
  <si>
    <t xml:space="preserve">BEM-SIM-0327946</t>
  </si>
  <si>
    <t xml:space="preserve">2019-11-22</t>
  </si>
  <si>
    <t xml:space="preserve">AFC-SIM-0000855</t>
  </si>
  <si>
    <t xml:space="preserve">BEM-SIM-0492374</t>
  </si>
  <si>
    <t xml:space="preserve">2017-10-26</t>
  </si>
  <si>
    <t xml:space="preserve">AFC-SIM-0000856</t>
  </si>
  <si>
    <t xml:space="preserve">BEM-SIM-0141514</t>
  </si>
  <si>
    <t xml:space="preserve">2013-07-10</t>
  </si>
  <si>
    <t xml:space="preserve">AFC-SIM-0000857</t>
  </si>
  <si>
    <t xml:space="preserve">BEM-SIM-0068180</t>
  </si>
  <si>
    <t xml:space="preserve">2020-09-22</t>
  </si>
  <si>
    <t xml:space="preserve">AFC-SIM-0000858</t>
  </si>
  <si>
    <t xml:space="preserve">BEM-SIM-0209673</t>
  </si>
  <si>
    <t xml:space="preserve">1996-08-28</t>
  </si>
  <si>
    <t xml:space="preserve">AFC-SIM-0000859</t>
  </si>
  <si>
    <t xml:space="preserve">BEM-SIM-0369582</t>
  </si>
  <si>
    <t xml:space="preserve">2022-06-23</t>
  </si>
  <si>
    <t xml:space="preserve">AFC-SIM-0000860</t>
  </si>
  <si>
    <t xml:space="preserve">BEM-SIM-0361286</t>
  </si>
  <si>
    <t xml:space="preserve">2004-02-28</t>
  </si>
  <si>
    <t xml:space="preserve">AFC-SIM-0000861</t>
  </si>
  <si>
    <t xml:space="preserve">BEM-SIM-0315062</t>
  </si>
  <si>
    <t xml:space="preserve">2004-09-02</t>
  </si>
  <si>
    <t xml:space="preserve">AFC-SIM-0000862</t>
  </si>
  <si>
    <t xml:space="preserve">BEM-SIM-0412049</t>
  </si>
  <si>
    <t xml:space="preserve">2022-06-06</t>
  </si>
  <si>
    <t xml:space="preserve">AFC-SIM-0000863</t>
  </si>
  <si>
    <t xml:space="preserve">BEM-SIM-0128628</t>
  </si>
  <si>
    <t xml:space="preserve">2022-03-01</t>
  </si>
  <si>
    <t xml:space="preserve">AFC-SIM-0000864</t>
  </si>
  <si>
    <t xml:space="preserve">BEM-SIM-0281408</t>
  </si>
  <si>
    <t xml:space="preserve">2019-02-01</t>
  </si>
  <si>
    <t xml:space="preserve">AFC-SIM-0000865</t>
  </si>
  <si>
    <t xml:space="preserve">BEM-SIM-0411089</t>
  </si>
  <si>
    <t xml:space="preserve">2025-09-13</t>
  </si>
  <si>
    <t xml:space="preserve">AFC-SIM-0000866</t>
  </si>
  <si>
    <t xml:space="preserve">BEM-SIM-0093943</t>
  </si>
  <si>
    <t xml:space="preserve">1997-07-21</t>
  </si>
  <si>
    <t xml:space="preserve">AFC-SIM-0000867</t>
  </si>
  <si>
    <t xml:space="preserve">BEM-SIM-0299362</t>
  </si>
  <si>
    <t xml:space="preserve">2021-04-18</t>
  </si>
  <si>
    <t xml:space="preserve">AFC-SIM-0000868</t>
  </si>
  <si>
    <t xml:space="preserve">BEM-SIM-0499886</t>
  </si>
  <si>
    <t xml:space="preserve">AFC-SIM-0000869</t>
  </si>
  <si>
    <t xml:space="preserve">BEM-SIM-0488070</t>
  </si>
  <si>
    <t xml:space="preserve">2008-02-02</t>
  </si>
  <si>
    <t xml:space="preserve">AFC-SIM-0000870</t>
  </si>
  <si>
    <t xml:space="preserve">BEM-SIM-0292868</t>
  </si>
  <si>
    <t xml:space="preserve">2009-11-26</t>
  </si>
  <si>
    <t xml:space="preserve">AFC-SIM-0000871</t>
  </si>
  <si>
    <t xml:space="preserve">BEM-SIM-0250167</t>
  </si>
  <si>
    <t xml:space="preserve">2014-10-26</t>
  </si>
  <si>
    <t xml:space="preserve">AFC-SIM-0000872</t>
  </si>
  <si>
    <t xml:space="preserve">BEM-SIM-0043638</t>
  </si>
  <si>
    <t xml:space="preserve">2024-04-01</t>
  </si>
  <si>
    <t xml:space="preserve">AFC-SIM-0000873</t>
  </si>
  <si>
    <t xml:space="preserve">BEM-SIM-0430183</t>
  </si>
  <si>
    <t xml:space="preserve">2009-04-27</t>
  </si>
  <si>
    <t xml:space="preserve">AFC-SIM-0000874</t>
  </si>
  <si>
    <t xml:space="preserve">BEM-SIM-0445489</t>
  </si>
  <si>
    <t xml:space="preserve">2025-04-17</t>
  </si>
  <si>
    <t xml:space="preserve">AFC-SIM-0000875</t>
  </si>
  <si>
    <t xml:space="preserve">BEM-SIM-0283781</t>
  </si>
  <si>
    <t xml:space="preserve">2017-12-15</t>
  </si>
  <si>
    <t xml:space="preserve">AFC-SIM-0000876</t>
  </si>
  <si>
    <t xml:space="preserve">BEM-SIM-0360275</t>
  </si>
  <si>
    <t xml:space="preserve">1999-01-21</t>
  </si>
  <si>
    <t xml:space="preserve">AFC-SIM-0000877</t>
  </si>
  <si>
    <t xml:space="preserve">BEM-SIM-0235132</t>
  </si>
  <si>
    <t xml:space="preserve">2018-01-21</t>
  </si>
  <si>
    <t xml:space="preserve">AFC-SIM-0000878</t>
  </si>
  <si>
    <t xml:space="preserve">BEM-SIM-0417169</t>
  </si>
  <si>
    <t xml:space="preserve">2000-06-24</t>
  </si>
  <si>
    <t xml:space="preserve">AFC-SIM-0000879</t>
  </si>
  <si>
    <t xml:space="preserve">BEM-SIM-0406752</t>
  </si>
  <si>
    <t xml:space="preserve">2019-01-25</t>
  </si>
  <si>
    <t xml:space="preserve">AFC-SIM-0000880</t>
  </si>
  <si>
    <t xml:space="preserve">BEM-SIM-0352499</t>
  </si>
  <si>
    <t xml:space="preserve">2023-09-20</t>
  </si>
  <si>
    <t xml:space="preserve">AFC-SIM-0000881</t>
  </si>
  <si>
    <t xml:space="preserve">BEM-SIM-0464704</t>
  </si>
  <si>
    <t xml:space="preserve">2019-07-14</t>
  </si>
  <si>
    <t xml:space="preserve">AFC-SIM-0000882</t>
  </si>
  <si>
    <t xml:space="preserve">BEM-SIM-0403619</t>
  </si>
  <si>
    <t xml:space="preserve">2004-05-25</t>
  </si>
  <si>
    <t xml:space="preserve">AFC-SIM-0000883</t>
  </si>
  <si>
    <t xml:space="preserve">BEM-SIM-0139846</t>
  </si>
  <si>
    <t xml:space="preserve">2015-08-18</t>
  </si>
  <si>
    <t xml:space="preserve">AFC-SIM-0000884</t>
  </si>
  <si>
    <t xml:space="preserve">BEM-SIM-0355575</t>
  </si>
  <si>
    <t xml:space="preserve">2012-04-27</t>
  </si>
  <si>
    <t xml:space="preserve">AFC-SIM-0000885</t>
  </si>
  <si>
    <t xml:space="preserve">BEM-SIM-0083561</t>
  </si>
  <si>
    <t xml:space="preserve">AFC-SIM-0000886</t>
  </si>
  <si>
    <t xml:space="preserve">BEM-SIM-0014730</t>
  </si>
  <si>
    <t xml:space="preserve">2003-11-10</t>
  </si>
  <si>
    <t xml:space="preserve">AFC-SIM-0000887</t>
  </si>
  <si>
    <t xml:space="preserve">BEM-SIM-0477074</t>
  </si>
  <si>
    <t xml:space="preserve">2011-12-17</t>
  </si>
  <si>
    <t xml:space="preserve">AFC-SIM-0000888</t>
  </si>
  <si>
    <t xml:space="preserve">BEM-SIM-0012747</t>
  </si>
  <si>
    <t xml:space="preserve">1996-07-07</t>
  </si>
  <si>
    <t xml:space="preserve">AFC-SIM-0000889</t>
  </si>
  <si>
    <t xml:space="preserve">BEM-SIM-0372925</t>
  </si>
  <si>
    <t xml:space="preserve">1990-07-16</t>
  </si>
  <si>
    <t xml:space="preserve">AFC-SIM-0000890</t>
  </si>
  <si>
    <t xml:space="preserve">BEM-SIM-0371442</t>
  </si>
  <si>
    <t xml:space="preserve">2024-12-14</t>
  </si>
  <si>
    <t xml:space="preserve">AFC-SIM-0000891</t>
  </si>
  <si>
    <t xml:space="preserve">BEM-SIM-0299397</t>
  </si>
  <si>
    <t xml:space="preserve">1991-10-12</t>
  </si>
  <si>
    <t xml:space="preserve">AFC-SIM-0000892</t>
  </si>
  <si>
    <t xml:space="preserve">BEM-SIM-0230460</t>
  </si>
  <si>
    <t xml:space="preserve">2002-03-25</t>
  </si>
  <si>
    <t xml:space="preserve">AFC-SIM-0000893</t>
  </si>
  <si>
    <t xml:space="preserve">BEM-SIM-0439438</t>
  </si>
  <si>
    <t xml:space="preserve">2013-11-02</t>
  </si>
  <si>
    <t xml:space="preserve">AFC-SIM-0000894</t>
  </si>
  <si>
    <t xml:space="preserve">BEM-SIM-0239932</t>
  </si>
  <si>
    <t xml:space="preserve">2003-05-08</t>
  </si>
  <si>
    <t xml:space="preserve">AFC-SIM-0000895</t>
  </si>
  <si>
    <t xml:space="preserve">BEM-SIM-0267065</t>
  </si>
  <si>
    <t xml:space="preserve">2016-04-23</t>
  </si>
  <si>
    <t xml:space="preserve">AFC-SIM-0000896</t>
  </si>
  <si>
    <t xml:space="preserve">BEM-SIM-0296693</t>
  </si>
  <si>
    <t xml:space="preserve">2009-06-25</t>
  </si>
  <si>
    <t xml:space="preserve">AFC-SIM-0000897</t>
  </si>
  <si>
    <t xml:space="preserve">BEM-SIM-0277420</t>
  </si>
  <si>
    <t xml:space="preserve">2002-01-01</t>
  </si>
  <si>
    <t xml:space="preserve">AFC-SIM-0000898</t>
  </si>
  <si>
    <t xml:space="preserve">BEM-SIM-0049308</t>
  </si>
  <si>
    <t xml:space="preserve">2025-10-02</t>
  </si>
  <si>
    <t xml:space="preserve">AFC-SIM-0000899</t>
  </si>
  <si>
    <t xml:space="preserve">BEM-SIM-0167387</t>
  </si>
  <si>
    <t xml:space="preserve">AFC-SIM-0000900</t>
  </si>
  <si>
    <t xml:space="preserve">BEM-SIM-0471806</t>
  </si>
  <si>
    <t xml:space="preserve">2015-01-10</t>
  </si>
  <si>
    <t xml:space="preserve">AFC-SIM-0000901</t>
  </si>
  <si>
    <t xml:space="preserve">BEM-SIM-0283425</t>
  </si>
  <si>
    <t xml:space="preserve">2010-12-15</t>
  </si>
  <si>
    <t xml:space="preserve">AFC-SIM-0000902</t>
  </si>
  <si>
    <t xml:space="preserve">BEM-SIM-0086287</t>
  </si>
  <si>
    <t xml:space="preserve">2000-04-27</t>
  </si>
  <si>
    <t xml:space="preserve">AFC-SIM-0000903</t>
  </si>
  <si>
    <t xml:space="preserve">BEM-SIM-0061397</t>
  </si>
  <si>
    <t xml:space="preserve">2018-05-16</t>
  </si>
  <si>
    <t xml:space="preserve">AFC-SIM-0000904</t>
  </si>
  <si>
    <t xml:space="preserve">BEM-SIM-0235340</t>
  </si>
  <si>
    <t xml:space="preserve">2005-11-27</t>
  </si>
  <si>
    <t xml:space="preserve">AFC-SIM-0000905</t>
  </si>
  <si>
    <t xml:space="preserve">BEM-SIM-0326673</t>
  </si>
  <si>
    <t xml:space="preserve">2011-07-04</t>
  </si>
  <si>
    <t xml:space="preserve">AFC-SIM-0000906</t>
  </si>
  <si>
    <t xml:space="preserve">BEM-SIM-0392578</t>
  </si>
  <si>
    <t xml:space="preserve">2004-12-21</t>
  </si>
  <si>
    <t xml:space="preserve">AFC-SIM-0000907</t>
  </si>
  <si>
    <t xml:space="preserve">BEM-SIM-0370025</t>
  </si>
  <si>
    <t xml:space="preserve">2020-01-17</t>
  </si>
  <si>
    <t xml:space="preserve">AFC-SIM-0000908</t>
  </si>
  <si>
    <t xml:space="preserve">BEM-SIM-0453348</t>
  </si>
  <si>
    <t xml:space="preserve">2015-12-09</t>
  </si>
  <si>
    <t xml:space="preserve">AFC-SIM-0000909</t>
  </si>
  <si>
    <t xml:space="preserve">BEM-SIM-0044553</t>
  </si>
  <si>
    <t xml:space="preserve">2025-09-19</t>
  </si>
  <si>
    <t xml:space="preserve">AFC-SIM-0000910</t>
  </si>
  <si>
    <t xml:space="preserve">BEM-SIM-0118377</t>
  </si>
  <si>
    <t xml:space="preserve">2024-08-22</t>
  </si>
  <si>
    <t xml:space="preserve">AFC-SIM-0000911</t>
  </si>
  <si>
    <t xml:space="preserve">BEM-SIM-0429737</t>
  </si>
  <si>
    <t xml:space="preserve">2010-12-07</t>
  </si>
  <si>
    <t xml:space="preserve">AFC-SIM-0000912</t>
  </si>
  <si>
    <t xml:space="preserve">BEM-SIM-0061819</t>
  </si>
  <si>
    <t xml:space="preserve">1997-04-12</t>
  </si>
  <si>
    <t xml:space="preserve">AFC-SIM-0000913</t>
  </si>
  <si>
    <t xml:space="preserve">BEM-SIM-0195007</t>
  </si>
  <si>
    <t xml:space="preserve">2014-05-17</t>
  </si>
  <si>
    <t xml:space="preserve">AFC-SIM-0000914</t>
  </si>
  <si>
    <t xml:space="preserve">BEM-SIM-0461224</t>
  </si>
  <si>
    <t xml:space="preserve">1993-10-19</t>
  </si>
  <si>
    <t xml:space="preserve">AFC-SIM-0000915</t>
  </si>
  <si>
    <t xml:space="preserve">BEM-SIM-0427733</t>
  </si>
  <si>
    <t xml:space="preserve">1990-09-28</t>
  </si>
  <si>
    <t xml:space="preserve">AFC-SIM-0000916</t>
  </si>
  <si>
    <t xml:space="preserve">BEM-SIM-0023352</t>
  </si>
  <si>
    <t xml:space="preserve">2007-09-19</t>
  </si>
  <si>
    <t xml:space="preserve">AFC-SIM-0000917</t>
  </si>
  <si>
    <t xml:space="preserve">BEM-SIM-0160443</t>
  </si>
  <si>
    <t xml:space="preserve">1990-05-08</t>
  </si>
  <si>
    <t xml:space="preserve">AFC-SIM-0000918</t>
  </si>
  <si>
    <t xml:space="preserve">BEM-SIM-0149823</t>
  </si>
  <si>
    <t xml:space="preserve">2022-02-26</t>
  </si>
  <si>
    <t xml:space="preserve">AFC-SIM-0000919</t>
  </si>
  <si>
    <t xml:space="preserve">BEM-SIM-0445360</t>
  </si>
  <si>
    <t xml:space="preserve">2007-08-10</t>
  </si>
  <si>
    <t xml:space="preserve">AFC-SIM-0000920</t>
  </si>
  <si>
    <t xml:space="preserve">BEM-SIM-0330551</t>
  </si>
  <si>
    <t xml:space="preserve">2010-09-10</t>
  </si>
  <si>
    <t xml:space="preserve">AFC-SIM-0000921</t>
  </si>
  <si>
    <t xml:space="preserve">BEM-SIM-0184717</t>
  </si>
  <si>
    <t xml:space="preserve">AFC-SIM-0000922</t>
  </si>
  <si>
    <t xml:space="preserve">BEM-SIM-0090585</t>
  </si>
  <si>
    <t xml:space="preserve">2021-11-09</t>
  </si>
  <si>
    <t xml:space="preserve">AFC-SIM-0000923</t>
  </si>
  <si>
    <t xml:space="preserve">BEM-SIM-0470915</t>
  </si>
  <si>
    <t xml:space="preserve">2016-01-23</t>
  </si>
  <si>
    <t xml:space="preserve">AFC-SIM-0000924</t>
  </si>
  <si>
    <t xml:space="preserve">BEM-SIM-0256771</t>
  </si>
  <si>
    <t xml:space="preserve">2007-04-03</t>
  </si>
  <si>
    <t xml:space="preserve">AFC-SIM-0000925</t>
  </si>
  <si>
    <t xml:space="preserve">BEM-SIM-0192709</t>
  </si>
  <si>
    <t xml:space="preserve">2003-06-20</t>
  </si>
  <si>
    <t xml:space="preserve">AFC-SIM-0000926</t>
  </si>
  <si>
    <t xml:space="preserve">BEM-SIM-0077672</t>
  </si>
  <si>
    <t xml:space="preserve">2011-10-04</t>
  </si>
  <si>
    <t xml:space="preserve">AFC-SIM-0000927</t>
  </si>
  <si>
    <t xml:space="preserve">BEM-SIM-0192625</t>
  </si>
  <si>
    <t xml:space="preserve">1991-03-19</t>
  </si>
  <si>
    <t xml:space="preserve">AFC-SIM-0000928</t>
  </si>
  <si>
    <t xml:space="preserve">BEM-SIM-0097749</t>
  </si>
  <si>
    <t xml:space="preserve">1996-08-07</t>
  </si>
  <si>
    <t xml:space="preserve">AFC-SIM-0000929</t>
  </si>
  <si>
    <t xml:space="preserve">BEM-SIM-0011920</t>
  </si>
  <si>
    <t xml:space="preserve">2015-01-23</t>
  </si>
  <si>
    <t xml:space="preserve">AFC-SIM-0000930</t>
  </si>
  <si>
    <t xml:space="preserve">BEM-SIM-0081819</t>
  </si>
  <si>
    <t xml:space="preserve">2008-06-20</t>
  </si>
  <si>
    <t xml:space="preserve">AFC-SIM-0000931</t>
  </si>
  <si>
    <t xml:space="preserve">BEM-SIM-0006857</t>
  </si>
  <si>
    <t xml:space="preserve">2020-06-24</t>
  </si>
  <si>
    <t xml:space="preserve">AFC-SIM-0000932</t>
  </si>
  <si>
    <t xml:space="preserve">BEM-SIM-0034426</t>
  </si>
  <si>
    <t xml:space="preserve">2009-10-17</t>
  </si>
  <si>
    <t xml:space="preserve">AFC-SIM-0000933</t>
  </si>
  <si>
    <t xml:space="preserve">BEM-SIM-0316841</t>
  </si>
  <si>
    <t xml:space="preserve">2006-12-18</t>
  </si>
  <si>
    <t xml:space="preserve">AFC-SIM-0000934</t>
  </si>
  <si>
    <t xml:space="preserve">BEM-SIM-0349140</t>
  </si>
  <si>
    <t xml:space="preserve">2012-05-24</t>
  </si>
  <si>
    <t xml:space="preserve">AFC-SIM-0000935</t>
  </si>
  <si>
    <t xml:space="preserve">BEM-SIM-0070141</t>
  </si>
  <si>
    <t xml:space="preserve">2016-05-08</t>
  </si>
  <si>
    <t xml:space="preserve">AFC-SIM-0000936</t>
  </si>
  <si>
    <t xml:space="preserve">BEM-SIM-0370647</t>
  </si>
  <si>
    <t xml:space="preserve">1992-05-06</t>
  </si>
  <si>
    <t xml:space="preserve">AFC-SIM-0000937</t>
  </si>
  <si>
    <t xml:space="preserve">BEM-SIM-0318203</t>
  </si>
  <si>
    <t xml:space="preserve">2013-07-15</t>
  </si>
  <si>
    <t xml:space="preserve">AFC-SIM-0000938</t>
  </si>
  <si>
    <t xml:space="preserve">BEM-SIM-0021488</t>
  </si>
  <si>
    <t xml:space="preserve">2009-04-11</t>
  </si>
  <si>
    <t xml:space="preserve">AFC-SIM-0000939</t>
  </si>
  <si>
    <t xml:space="preserve">BEM-SIM-0398356</t>
  </si>
  <si>
    <t xml:space="preserve">2004-07-10</t>
  </si>
  <si>
    <t xml:space="preserve">AFC-SIM-0000940</t>
  </si>
  <si>
    <t xml:space="preserve">BEM-SIM-0174069</t>
  </si>
  <si>
    <t xml:space="preserve">2019-04-28</t>
  </si>
  <si>
    <t xml:space="preserve">AFC-SIM-0000941</t>
  </si>
  <si>
    <t xml:space="preserve">BEM-SIM-0144674</t>
  </si>
  <si>
    <t xml:space="preserve">1998-03-19</t>
  </si>
  <si>
    <t xml:space="preserve">AFC-SIM-0000942</t>
  </si>
  <si>
    <t xml:space="preserve">BEM-SIM-0136204</t>
  </si>
  <si>
    <t xml:space="preserve">2021-10-03</t>
  </si>
  <si>
    <t xml:space="preserve">AFC-SIM-0000943</t>
  </si>
  <si>
    <t xml:space="preserve">BEM-SIM-0162266</t>
  </si>
  <si>
    <t xml:space="preserve">2012-10-04</t>
  </si>
  <si>
    <t xml:space="preserve">AFC-SIM-0000944</t>
  </si>
  <si>
    <t xml:space="preserve">BEM-SIM-0357066</t>
  </si>
  <si>
    <t xml:space="preserve">2017-12-03</t>
  </si>
  <si>
    <t xml:space="preserve">AFC-SIM-0000945</t>
  </si>
  <si>
    <t xml:space="preserve">BEM-SIM-0214328</t>
  </si>
  <si>
    <t xml:space="preserve">2007-12-18</t>
  </si>
  <si>
    <t xml:space="preserve">AFC-SIM-0000946</t>
  </si>
  <si>
    <t xml:space="preserve">BEM-SIM-0113023</t>
  </si>
  <si>
    <t xml:space="preserve">2022-05-05</t>
  </si>
  <si>
    <t xml:space="preserve">AFC-SIM-0000947</t>
  </si>
  <si>
    <t xml:space="preserve">BEM-SIM-0463654</t>
  </si>
  <si>
    <t xml:space="preserve">2013-03-21</t>
  </si>
  <si>
    <t xml:space="preserve">AFC-SIM-0000948</t>
  </si>
  <si>
    <t xml:space="preserve">BEM-SIM-0039197</t>
  </si>
  <si>
    <t xml:space="preserve">1999-06-20</t>
  </si>
  <si>
    <t xml:space="preserve">AFC-SIM-0000949</t>
  </si>
  <si>
    <t xml:space="preserve">BEM-SIM-0326790</t>
  </si>
  <si>
    <t xml:space="preserve">AFC-SIM-0000950</t>
  </si>
  <si>
    <t xml:space="preserve">BEM-SIM-0051549</t>
  </si>
  <si>
    <t xml:space="preserve">2012-09-15</t>
  </si>
  <si>
    <t xml:space="preserve">AFC-SIM-0000951</t>
  </si>
  <si>
    <t xml:space="preserve">BEM-SIM-0170726</t>
  </si>
  <si>
    <t xml:space="preserve">2007-10-21</t>
  </si>
  <si>
    <t xml:space="preserve">AFC-SIM-0000952</t>
  </si>
  <si>
    <t xml:space="preserve">BEM-SIM-0417122</t>
  </si>
  <si>
    <t xml:space="preserve">2022-12-23</t>
  </si>
  <si>
    <t xml:space="preserve">AFC-SIM-0000953</t>
  </si>
  <si>
    <t xml:space="preserve">BEM-SIM-0239053</t>
  </si>
  <si>
    <t xml:space="preserve">1998-09-21</t>
  </si>
  <si>
    <t xml:space="preserve">AFC-SIM-0000954</t>
  </si>
  <si>
    <t xml:space="preserve">BEM-SIM-0087121</t>
  </si>
  <si>
    <t xml:space="preserve">AFC-SIM-0000955</t>
  </si>
  <si>
    <t xml:space="preserve">BEM-SIM-0488783</t>
  </si>
  <si>
    <t xml:space="preserve">2007-12-01</t>
  </si>
  <si>
    <t xml:space="preserve">AFC-SIM-0000956</t>
  </si>
  <si>
    <t xml:space="preserve">BEM-SIM-0335856</t>
  </si>
  <si>
    <t xml:space="preserve">2011-12-20</t>
  </si>
  <si>
    <t xml:space="preserve">AFC-SIM-0000957</t>
  </si>
  <si>
    <t xml:space="preserve">BEM-SIM-0365921</t>
  </si>
  <si>
    <t xml:space="preserve">2009-02-01</t>
  </si>
  <si>
    <t xml:space="preserve">AFC-SIM-0000958</t>
  </si>
  <si>
    <t xml:space="preserve">BEM-SIM-0258637</t>
  </si>
  <si>
    <t xml:space="preserve">2022-02-08</t>
  </si>
  <si>
    <t xml:space="preserve">AFC-SIM-0000959</t>
  </si>
  <si>
    <t xml:space="preserve">BEM-SIM-0456489</t>
  </si>
  <si>
    <t xml:space="preserve">1997-02-11</t>
  </si>
  <si>
    <t xml:space="preserve">AFC-SIM-0000960</t>
  </si>
  <si>
    <t xml:space="preserve">BEM-SIM-0274257</t>
  </si>
  <si>
    <t xml:space="preserve">2010-07-25</t>
  </si>
  <si>
    <t xml:space="preserve">AFC-SIM-0000961</t>
  </si>
  <si>
    <t xml:space="preserve">BEM-SIM-0208092</t>
  </si>
  <si>
    <t xml:space="preserve">2000-01-09</t>
  </si>
  <si>
    <t xml:space="preserve">AFC-SIM-0000962</t>
  </si>
  <si>
    <t xml:space="preserve">BEM-SIM-0310405</t>
  </si>
  <si>
    <t xml:space="preserve">AFC-SIM-0000963</t>
  </si>
  <si>
    <t xml:space="preserve">BEM-SIM-0371122</t>
  </si>
  <si>
    <t xml:space="preserve">2025-07-03</t>
  </si>
  <si>
    <t xml:space="preserve">AFC-SIM-0000964</t>
  </si>
  <si>
    <t xml:space="preserve">BEM-SIM-0438037</t>
  </si>
  <si>
    <t xml:space="preserve">2017-03-01</t>
  </si>
  <si>
    <t xml:space="preserve">AFC-SIM-0000965</t>
  </si>
  <si>
    <t xml:space="preserve">BEM-SIM-0218926</t>
  </si>
  <si>
    <t xml:space="preserve">2022-12-15</t>
  </si>
  <si>
    <t xml:space="preserve">AFC-SIM-0000966</t>
  </si>
  <si>
    <t xml:space="preserve">BEM-SIM-0253792</t>
  </si>
  <si>
    <t xml:space="preserve">2024-08-03</t>
  </si>
  <si>
    <t xml:space="preserve">AFC-SIM-0000967</t>
  </si>
  <si>
    <t xml:space="preserve">BEM-SIM-0193561</t>
  </si>
  <si>
    <t xml:space="preserve">2023-04-13</t>
  </si>
  <si>
    <t xml:space="preserve">AFC-SIM-0000968</t>
  </si>
  <si>
    <t xml:space="preserve">BEM-SIM-0289365</t>
  </si>
  <si>
    <t xml:space="preserve">2013-11-06</t>
  </si>
  <si>
    <t xml:space="preserve">AFC-SIM-0000969</t>
  </si>
  <si>
    <t xml:space="preserve">BEM-SIM-0247102</t>
  </si>
  <si>
    <t xml:space="preserve">2016-03-08</t>
  </si>
  <si>
    <t xml:space="preserve">AFC-SIM-0000970</t>
  </si>
  <si>
    <t xml:space="preserve">BEM-SIM-0139735</t>
  </si>
  <si>
    <t xml:space="preserve">2014-10-14</t>
  </si>
  <si>
    <t xml:space="preserve">AFC-SIM-0000971</t>
  </si>
  <si>
    <t xml:space="preserve">BEM-SIM-0012943</t>
  </si>
  <si>
    <t xml:space="preserve">2009-12-04</t>
  </si>
  <si>
    <t xml:space="preserve">AFC-SIM-0000972</t>
  </si>
  <si>
    <t xml:space="preserve">BEM-SIM-0162158</t>
  </si>
  <si>
    <t xml:space="preserve">2000-01-27</t>
  </si>
  <si>
    <t xml:space="preserve">AFC-SIM-0000973</t>
  </si>
  <si>
    <t xml:space="preserve">BEM-SIM-0290981</t>
  </si>
  <si>
    <t xml:space="preserve">2013-04-23</t>
  </si>
  <si>
    <t xml:space="preserve">AFC-SIM-0000974</t>
  </si>
  <si>
    <t xml:space="preserve">BEM-SIM-0114010</t>
  </si>
  <si>
    <t xml:space="preserve">2009-01-23</t>
  </si>
  <si>
    <t xml:space="preserve">AFC-SIM-0000975</t>
  </si>
  <si>
    <t xml:space="preserve">BEM-SIM-0188945</t>
  </si>
  <si>
    <t xml:space="preserve">AFC-SIM-0000976</t>
  </si>
  <si>
    <t xml:space="preserve">BEM-SIM-0238895</t>
  </si>
  <si>
    <t xml:space="preserve">AFC-SIM-0000977</t>
  </si>
  <si>
    <t xml:space="preserve">BEM-SIM-0066696</t>
  </si>
  <si>
    <t xml:space="preserve">2024-02-15</t>
  </si>
  <si>
    <t xml:space="preserve">AFC-SIM-0000978</t>
  </si>
  <si>
    <t xml:space="preserve">BEM-SIM-0165503</t>
  </si>
  <si>
    <t xml:space="preserve">2014-04-25</t>
  </si>
  <si>
    <t xml:space="preserve">AFC-SIM-0000979</t>
  </si>
  <si>
    <t xml:space="preserve">BEM-SIM-0190398</t>
  </si>
  <si>
    <t xml:space="preserve">2022-04-08</t>
  </si>
  <si>
    <t xml:space="preserve">AFC-SIM-0000980</t>
  </si>
  <si>
    <t xml:space="preserve">BEM-SIM-0161127</t>
  </si>
  <si>
    <t xml:space="preserve">2002-03-07</t>
  </si>
  <si>
    <t xml:space="preserve">AFC-SIM-0000981</t>
  </si>
  <si>
    <t xml:space="preserve">BEM-SIM-0191688</t>
  </si>
  <si>
    <t xml:space="preserve">2017-06-11</t>
  </si>
  <si>
    <t xml:space="preserve">AFC-SIM-0000982</t>
  </si>
  <si>
    <t xml:space="preserve">BEM-SIM-0378589</t>
  </si>
  <si>
    <t xml:space="preserve">2016-09-03</t>
  </si>
  <si>
    <t xml:space="preserve">AFC-SIM-0000983</t>
  </si>
  <si>
    <t xml:space="preserve">BEM-SIM-0380418</t>
  </si>
  <si>
    <t xml:space="preserve">2007-02-18</t>
  </si>
  <si>
    <t xml:space="preserve">AFC-SIM-0000984</t>
  </si>
  <si>
    <t xml:space="preserve">BEM-SIM-0075634</t>
  </si>
  <si>
    <t xml:space="preserve">2020-11-20</t>
  </si>
  <si>
    <t xml:space="preserve">AFC-SIM-0000985</t>
  </si>
  <si>
    <t xml:space="preserve">BEM-SIM-0240744</t>
  </si>
  <si>
    <t xml:space="preserve">1996-03-03</t>
  </si>
  <si>
    <t xml:space="preserve">AFC-SIM-0000986</t>
  </si>
  <si>
    <t xml:space="preserve">BEM-SIM-0014704</t>
  </si>
  <si>
    <t xml:space="preserve">AFC-SIM-0000987</t>
  </si>
  <si>
    <t xml:space="preserve">BEM-SIM-0489887</t>
  </si>
  <si>
    <t xml:space="preserve">2003-09-23</t>
  </si>
  <si>
    <t xml:space="preserve">AFC-SIM-0000988</t>
  </si>
  <si>
    <t xml:space="preserve">BEM-SIM-0475751</t>
  </si>
  <si>
    <t xml:space="preserve">2015-05-23</t>
  </si>
  <si>
    <t xml:space="preserve">AFC-SIM-0000989</t>
  </si>
  <si>
    <t xml:space="preserve">BEM-SIM-0178328</t>
  </si>
  <si>
    <t xml:space="preserve">2008-07-01</t>
  </si>
  <si>
    <t xml:space="preserve">AFC-SIM-0000990</t>
  </si>
  <si>
    <t xml:space="preserve">BEM-SIM-0343271</t>
  </si>
  <si>
    <t xml:space="preserve">2025-11-28</t>
  </si>
  <si>
    <t xml:space="preserve">AFC-SIM-0000991</t>
  </si>
  <si>
    <t xml:space="preserve">BEM-SIM-0335345</t>
  </si>
  <si>
    <t xml:space="preserve">2000-03-23</t>
  </si>
  <si>
    <t xml:space="preserve">AFC-SIM-0000992</t>
  </si>
  <si>
    <t xml:space="preserve">BEM-SIM-0082524</t>
  </si>
  <si>
    <t xml:space="preserve">2016-11-16</t>
  </si>
  <si>
    <t xml:space="preserve">AFC-SIM-0000993</t>
  </si>
  <si>
    <t xml:space="preserve">BEM-SIM-0382275</t>
  </si>
  <si>
    <t xml:space="preserve">AFC-SIM-0000994</t>
  </si>
  <si>
    <t xml:space="preserve">BEM-SIM-0098433</t>
  </si>
  <si>
    <t xml:space="preserve">2020-07-19</t>
  </si>
  <si>
    <t xml:space="preserve">AFC-SIM-0000995</t>
  </si>
  <si>
    <t xml:space="preserve">BEM-SIM-0288314</t>
  </si>
  <si>
    <t xml:space="preserve">1999-01-11</t>
  </si>
  <si>
    <t xml:space="preserve">AFC-SIM-0000996</t>
  </si>
  <si>
    <t xml:space="preserve">BEM-SIM-0245651</t>
  </si>
  <si>
    <t xml:space="preserve">AFC-SIM-0000997</t>
  </si>
  <si>
    <t xml:space="preserve">BEM-SIM-0325929</t>
  </si>
  <si>
    <t xml:space="preserve">2010-01-04</t>
  </si>
  <si>
    <t xml:space="preserve">AFC-SIM-0000998</t>
  </si>
  <si>
    <t xml:space="preserve">BEM-SIM-0202846</t>
  </si>
  <si>
    <t xml:space="preserve">2003-08-03</t>
  </si>
  <si>
    <t xml:space="preserve">AFC-SIM-0000999</t>
  </si>
  <si>
    <t xml:space="preserve">BEM-SIM-0117212</t>
  </si>
  <si>
    <t xml:space="preserve">2013-03-09</t>
  </si>
  <si>
    <t xml:space="preserve">AFC-SIM-0001000</t>
  </si>
  <si>
    <t xml:space="preserve">BEM-SIM-0063815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</si>
</sst>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0;\(#,##0.00\);\-"/>
    <numFmt numFmtId="167" formatCode="0.0%"/>
    <numFmt numFmtId="168" formatCode="0%"/>
    <numFmt numFmtId="169" formatCode="#,##0.######"/>
    <numFmt numFmtId="170" formatCode="#,##0"/>
    <numFmt numFmtId="171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3" t="s">
        <v>3</v>
      </c>
    </row>
    <row r="6" customFormat="false" ht="26.85" hidden="false" customHeight="false" outlineLevel="0" collapsed="false">
      <c r="A6" s="3" t="s">
        <v>4</v>
      </c>
    </row>
    <row r="7" customFormat="false" ht="26.8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</row>
    <row r="5" customFormat="false" ht="26.85" hidden="false" customHeight="false" outlineLevel="0" collapsed="false">
      <c r="A5" s="5" t="s">
        <v>15</v>
      </c>
      <c r="B5" s="6" t="n">
        <v>12617237</v>
      </c>
      <c r="C5" s="7" t="n">
        <f aca="false">B5*1000</f>
        <v>12617237000</v>
      </c>
      <c r="D5" s="8" t="n">
        <v>12617237000</v>
      </c>
      <c r="E5" s="7" t="n">
        <f aca="false">D5-C5</f>
        <v>0</v>
      </c>
      <c r="F5" s="6" t="n">
        <v>213372</v>
      </c>
      <c r="G5" s="5" t="s">
        <v>16</v>
      </c>
    </row>
    <row r="6" customFormat="false" ht="26.85" hidden="false" customHeight="false" outlineLevel="0" collapsed="false">
      <c r="A6" s="5" t="s">
        <v>17</v>
      </c>
      <c r="B6" s="6" t="n">
        <v>12734234</v>
      </c>
      <c r="C6" s="7" t="n">
        <f aca="false">B6*1000</f>
        <v>12734234000</v>
      </c>
      <c r="D6" s="8" t="n">
        <v>12734234000</v>
      </c>
      <c r="E6" s="7" t="n">
        <f aca="false">D6-C6</f>
        <v>0</v>
      </c>
      <c r="F6" s="6" t="n">
        <v>215362</v>
      </c>
      <c r="G6" s="5" t="s">
        <v>18</v>
      </c>
    </row>
    <row r="7" customFormat="false" ht="26.85" hidden="false" customHeight="false" outlineLevel="0" collapsed="false">
      <c r="A7" s="5" t="s">
        <v>19</v>
      </c>
      <c r="B7" s="6" t="n">
        <v>3836600</v>
      </c>
      <c r="C7" s="7" t="n">
        <f aca="false">B7*1000</f>
        <v>3836600000</v>
      </c>
      <c r="D7" s="8" t="n">
        <v>3836600000</v>
      </c>
      <c r="E7" s="7" t="n">
        <f aca="false">D7-C7</f>
        <v>0</v>
      </c>
      <c r="F7" s="6" t="n">
        <v>64897</v>
      </c>
      <c r="G7" s="5" t="s">
        <v>20</v>
      </c>
    </row>
    <row r="8" customFormat="false" ht="39.55" hidden="false" customHeight="false" outlineLevel="0" collapsed="false">
      <c r="A8" s="5" t="s">
        <v>21</v>
      </c>
      <c r="B8" s="6" t="n">
        <v>435548</v>
      </c>
      <c r="C8" s="7" t="n">
        <f aca="false">B8*1000</f>
        <v>435548000</v>
      </c>
      <c r="D8" s="8" t="n">
        <v>435548000</v>
      </c>
      <c r="E8" s="7" t="n">
        <f aca="false">D8-C8</f>
        <v>0</v>
      </c>
      <c r="F8" s="6" t="n">
        <v>7369</v>
      </c>
      <c r="G8" s="5" t="s">
        <v>22</v>
      </c>
    </row>
    <row r="9" customFormat="false" ht="26.85" hidden="false" customHeight="false" outlineLevel="0" collapsed="false">
      <c r="A9" s="9" t="s">
        <v>23</v>
      </c>
      <c r="B9" s="10" t="n">
        <f aca="false">SUM(B5:B8)</f>
        <v>29623619</v>
      </c>
      <c r="C9" s="11" t="n">
        <f aca="false">SUM(C5:C8)</f>
        <v>29623619000</v>
      </c>
      <c r="D9" s="11" t="n">
        <f aca="false">SUM(D5:D8)</f>
        <v>29623619000</v>
      </c>
      <c r="E9" s="11" t="n">
        <f aca="false">SUM(E5:E8)</f>
        <v>0</v>
      </c>
      <c r="F9" s="10" t="n">
        <f aca="false">SUM(F5:F8)</f>
        <v>501000</v>
      </c>
      <c r="G9" s="9"/>
    </row>
    <row r="10" customFormat="false" ht="26.85" hidden="false" customHeight="false" outlineLevel="0" collapsed="false">
      <c r="A10" s="5" t="s">
        <v>24</v>
      </c>
      <c r="B10" s="6" t="n">
        <v>29623619</v>
      </c>
      <c r="C10" s="7" t="n">
        <f aca="false">B10*1000</f>
        <v>29623619000</v>
      </c>
      <c r="D10" s="5"/>
      <c r="E10" s="5"/>
      <c r="F10" s="5"/>
      <c r="G10" s="5" t="s">
        <v>25</v>
      </c>
    </row>
    <row r="11" customFormat="false" ht="39.55" hidden="false" customHeight="false" outlineLevel="0" collapsed="false">
      <c r="A11" s="5" t="s">
        <v>26</v>
      </c>
      <c r="B11" s="12" t="n">
        <f aca="false">B9-B10</f>
        <v>0</v>
      </c>
      <c r="C11" s="7" t="n">
        <f aca="false">C9-C10</f>
        <v>0</v>
      </c>
      <c r="D11" s="5"/>
      <c r="E11" s="5"/>
      <c r="F11" s="5"/>
      <c r="G11" s="5" t="s">
        <v>27</v>
      </c>
    </row>
    <row r="12" customFormat="false" ht="26.85" hidden="false" customHeight="false" outlineLevel="0" collapsed="false">
      <c r="A12" s="5" t="s">
        <v>28</v>
      </c>
      <c r="B12" s="5"/>
      <c r="C12" s="5"/>
      <c r="D12" s="11" t="n">
        <f aca="false">D9-C10</f>
        <v>0</v>
      </c>
      <c r="E12" s="5"/>
      <c r="F12" s="5"/>
      <c r="G12" s="5" t="s">
        <v>29</v>
      </c>
    </row>
    <row r="13" customFormat="false" ht="39.55" hidden="false" customHeight="false" outlineLevel="0" collapsed="false">
      <c r="A13" s="5" t="s">
        <v>30</v>
      </c>
      <c r="B13" s="5"/>
      <c r="C13" s="5"/>
      <c r="D13" s="5"/>
      <c r="E13" s="5"/>
      <c r="F13" s="5"/>
      <c r="G13" s="5" t="s">
        <v>31</v>
      </c>
    </row>
    <row r="15" customFormat="false" ht="26.85" hidden="false" customHeight="false" outlineLevel="0" collapsed="false">
      <c r="A15" s="4" t="s">
        <v>32</v>
      </c>
      <c r="B15" s="4" t="s">
        <v>33</v>
      </c>
      <c r="C15" s="4"/>
      <c r="D15" s="4"/>
      <c r="E15" s="4"/>
      <c r="F15" s="4"/>
      <c r="G15" s="4" t="s">
        <v>34</v>
      </c>
    </row>
    <row r="16" customFormat="false" ht="26.85" hidden="false" customHeight="false" outlineLevel="0" collapsed="false">
      <c r="A16" s="5" t="s">
        <v>35</v>
      </c>
      <c r="B16" s="6" t="n">
        <v>25209768</v>
      </c>
      <c r="C16" s="5"/>
      <c r="D16" s="5"/>
      <c r="E16" s="5"/>
      <c r="F16" s="5"/>
      <c r="G16" s="5" t="s">
        <v>36</v>
      </c>
    </row>
    <row r="17" customFormat="false" ht="15" hidden="false" customHeight="false" outlineLevel="0" collapsed="false">
      <c r="A17" s="5" t="s">
        <v>37</v>
      </c>
      <c r="B17" s="6" t="n">
        <v>-10688700</v>
      </c>
      <c r="C17" s="5"/>
      <c r="D17" s="5"/>
      <c r="E17" s="5"/>
      <c r="F17" s="5"/>
      <c r="G17" s="5" t="s">
        <v>38</v>
      </c>
    </row>
    <row r="18" customFormat="false" ht="15" hidden="false" customHeight="false" outlineLevel="0" collapsed="false">
      <c r="A18" s="5" t="s">
        <v>39</v>
      </c>
      <c r="B18" s="6" t="n">
        <v>-10927569</v>
      </c>
      <c r="C18" s="5"/>
      <c r="D18" s="5"/>
      <c r="E18" s="5"/>
      <c r="F18" s="5"/>
      <c r="G18" s="5" t="s">
        <v>40</v>
      </c>
    </row>
    <row r="19" customFormat="false" ht="15" hidden="false" customHeight="false" outlineLevel="0" collapsed="false">
      <c r="A19" s="5" t="s">
        <v>41</v>
      </c>
      <c r="B19" s="6" t="n">
        <v>-3343565</v>
      </c>
      <c r="C19" s="5"/>
      <c r="D19" s="5"/>
      <c r="E19" s="5"/>
      <c r="F19" s="5"/>
      <c r="G19" s="5" t="s">
        <v>42</v>
      </c>
    </row>
    <row r="20" customFormat="false" ht="26.85" hidden="false" customHeight="false" outlineLevel="0" collapsed="false">
      <c r="A20" s="9" t="s">
        <v>43</v>
      </c>
      <c r="B20" s="10" t="n">
        <f aca="false">SUM(B16:B19)</f>
        <v>249934</v>
      </c>
      <c r="C20" s="5"/>
      <c r="D20" s="5"/>
      <c r="E20" s="5"/>
      <c r="F20" s="5"/>
      <c r="G20" s="5" t="s">
        <v>44</v>
      </c>
    </row>
    <row r="21" customFormat="false" ht="52.2" hidden="false" customHeight="false" outlineLevel="0" collapsed="false">
      <c r="A21" s="5" t="s">
        <v>45</v>
      </c>
      <c r="B21" s="12" t="n">
        <f aca="false">1285173+(-1275980)</f>
        <v>9193</v>
      </c>
      <c r="C21" s="5"/>
      <c r="D21" s="5"/>
      <c r="E21" s="5"/>
      <c r="F21" s="5"/>
      <c r="G21" s="5" t="s">
        <v>46</v>
      </c>
    </row>
    <row r="22" customFormat="false" ht="64.9" hidden="false" customHeight="false" outlineLevel="0" collapsed="false">
      <c r="A22" s="5" t="s">
        <v>47</v>
      </c>
      <c r="B22" s="12" t="n">
        <f aca="false">3368915+(-3190132)</f>
        <v>178783</v>
      </c>
      <c r="C22" s="5"/>
      <c r="D22" s="5"/>
      <c r="E22" s="5"/>
      <c r="F22" s="5"/>
      <c r="G22" s="5" t="s">
        <v>46</v>
      </c>
    </row>
    <row r="23" customFormat="false" ht="64.9" hidden="false" customHeight="false" outlineLevel="0" collapsed="false">
      <c r="A23" s="5" t="s">
        <v>48</v>
      </c>
      <c r="B23" s="12" t="n">
        <f aca="false">-12576+(11587)</f>
        <v>-989</v>
      </c>
      <c r="C23" s="5"/>
      <c r="D23" s="5"/>
      <c r="E23" s="5"/>
      <c r="F23" s="5"/>
      <c r="G23" s="5" t="s">
        <v>46</v>
      </c>
    </row>
    <row r="24" customFormat="false" ht="52.2" hidden="false" customHeight="false" outlineLevel="0" collapsed="false">
      <c r="A24" s="5" t="s">
        <v>49</v>
      </c>
      <c r="B24" s="12" t="n">
        <f aca="false">-227661+(226287)</f>
        <v>-1374</v>
      </c>
      <c r="C24" s="5"/>
      <c r="D24" s="5"/>
      <c r="E24" s="5"/>
      <c r="F24" s="5"/>
      <c r="G24" s="5" t="s">
        <v>46</v>
      </c>
    </row>
    <row r="25" customFormat="false" ht="39.55" hidden="false" customHeight="false" outlineLevel="0" collapsed="false">
      <c r="A25" s="9" t="s">
        <v>50</v>
      </c>
      <c r="B25" s="10" t="n">
        <f aca="false">B20+SUM(B21:B24)</f>
        <v>435547</v>
      </c>
      <c r="C25" s="5"/>
      <c r="D25" s="5"/>
      <c r="E25" s="5"/>
      <c r="F25" s="5"/>
      <c r="G25" s="5" t="s">
        <v>44</v>
      </c>
    </row>
    <row r="26" customFormat="false" ht="26.85" hidden="false" customHeight="false" outlineLevel="0" collapsed="false">
      <c r="A26" s="5" t="s">
        <v>51</v>
      </c>
      <c r="B26" s="12" t="n">
        <f aca="false">B25-B8</f>
        <v>-1</v>
      </c>
      <c r="C26" s="5"/>
      <c r="D26" s="5"/>
      <c r="E26" s="5"/>
      <c r="F26" s="5"/>
      <c r="G26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8</v>
      </c>
      <c r="B4" s="4" t="s">
        <v>54</v>
      </c>
      <c r="C4" s="4" t="s">
        <v>55</v>
      </c>
      <c r="D4" s="4" t="s">
        <v>56</v>
      </c>
      <c r="E4" s="4" t="s">
        <v>57</v>
      </c>
    </row>
    <row r="5" customFormat="false" ht="15" hidden="false" customHeight="false" outlineLevel="0" collapsed="false">
      <c r="A5" s="5" t="s">
        <v>15</v>
      </c>
      <c r="B5" s="5" t="s">
        <v>58</v>
      </c>
      <c r="C5" s="13" t="n">
        <v>56913</v>
      </c>
      <c r="D5" s="14" t="n">
        <v>2356157992.07</v>
      </c>
      <c r="E5" s="15" t="n">
        <f aca="false">D5/$D$26</f>
        <v>0.0795364669006174</v>
      </c>
    </row>
    <row r="6" customFormat="false" ht="15" hidden="false" customHeight="false" outlineLevel="0" collapsed="false">
      <c r="A6" s="5" t="s">
        <v>15</v>
      </c>
      <c r="B6" s="5" t="s">
        <v>59</v>
      </c>
      <c r="C6" s="13" t="n">
        <v>29950</v>
      </c>
      <c r="D6" s="14" t="n">
        <v>2349394126.27</v>
      </c>
      <c r="E6" s="15" t="n">
        <f aca="false">D6/$D$26</f>
        <v>0.0793081401117804</v>
      </c>
    </row>
    <row r="7" customFormat="false" ht="15" hidden="false" customHeight="false" outlineLevel="0" collapsed="false">
      <c r="A7" s="5" t="s">
        <v>15</v>
      </c>
      <c r="B7" s="5" t="s">
        <v>60</v>
      </c>
      <c r="C7" s="13" t="n">
        <v>68498</v>
      </c>
      <c r="D7" s="14" t="n">
        <v>1045264848.03</v>
      </c>
      <c r="E7" s="15" t="n">
        <f aca="false">D7/$D$26</f>
        <v>0.0352848464608595</v>
      </c>
    </row>
    <row r="8" customFormat="false" ht="15" hidden="false" customHeight="false" outlineLevel="0" collapsed="false">
      <c r="A8" s="5" t="s">
        <v>15</v>
      </c>
      <c r="B8" s="5" t="s">
        <v>61</v>
      </c>
      <c r="C8" s="13" t="n">
        <v>51500</v>
      </c>
      <c r="D8" s="14" t="n">
        <v>247464324.49</v>
      </c>
      <c r="E8" s="15" t="n">
        <f aca="false">D8/$D$26</f>
        <v>0.00835361555554708</v>
      </c>
    </row>
    <row r="9" customFormat="false" ht="15" hidden="false" customHeight="false" outlineLevel="0" collapsed="false">
      <c r="A9" s="5" t="s">
        <v>15</v>
      </c>
      <c r="B9" s="5" t="s">
        <v>62</v>
      </c>
      <c r="C9" s="13" t="n">
        <v>6511</v>
      </c>
      <c r="D9" s="14" t="n">
        <v>6618955709.14</v>
      </c>
      <c r="E9" s="15" t="n">
        <f aca="false">D9/$D$26</f>
        <v>0.223435080944702</v>
      </c>
    </row>
    <row r="10" customFormat="false" ht="15" hidden="false" customHeight="false" outlineLevel="0" collapsed="false">
      <c r="A10" s="5" t="s">
        <v>17</v>
      </c>
      <c r="B10" s="5" t="s">
        <v>58</v>
      </c>
      <c r="C10" s="13" t="n">
        <v>57852</v>
      </c>
      <c r="D10" s="14" t="n">
        <v>2411124095.63</v>
      </c>
      <c r="E10" s="15" t="n">
        <f aca="false">D10/$D$26</f>
        <v>0.0813919492966069</v>
      </c>
    </row>
    <row r="11" customFormat="false" ht="15" hidden="false" customHeight="false" outlineLevel="0" collapsed="false">
      <c r="A11" s="5" t="s">
        <v>17</v>
      </c>
      <c r="B11" s="5" t="s">
        <v>59</v>
      </c>
      <c r="C11" s="13" t="n">
        <v>30501</v>
      </c>
      <c r="D11" s="14" t="n">
        <v>2396200905</v>
      </c>
      <c r="E11" s="15" t="n">
        <f aca="false">D11/$D$26</f>
        <v>0.0808881894207457</v>
      </c>
    </row>
    <row r="12" customFormat="false" ht="15" hidden="false" customHeight="false" outlineLevel="0" collapsed="false">
      <c r="A12" s="5" t="s">
        <v>17</v>
      </c>
      <c r="B12" s="5" t="s">
        <v>60</v>
      </c>
      <c r="C12" s="13" t="n">
        <v>68821</v>
      </c>
      <c r="D12" s="14" t="n">
        <v>1050975813.53</v>
      </c>
      <c r="E12" s="15" t="n">
        <f aca="false">D12/$D$26</f>
        <v>0.035477630654445</v>
      </c>
    </row>
    <row r="13" customFormat="false" ht="15" hidden="false" customHeight="false" outlineLevel="0" collapsed="false">
      <c r="A13" s="5" t="s">
        <v>17</v>
      </c>
      <c r="B13" s="5" t="s">
        <v>61</v>
      </c>
      <c r="C13" s="13" t="n">
        <v>51539</v>
      </c>
      <c r="D13" s="14" t="n">
        <v>248864502.75</v>
      </c>
      <c r="E13" s="15" t="n">
        <f aca="false">D13/$D$26</f>
        <v>0.00840088116006353</v>
      </c>
    </row>
    <row r="14" customFormat="false" ht="15" hidden="false" customHeight="false" outlineLevel="0" collapsed="false">
      <c r="A14" s="5" t="s">
        <v>17</v>
      </c>
      <c r="B14" s="5" t="s">
        <v>62</v>
      </c>
      <c r="C14" s="13" t="n">
        <v>6649</v>
      </c>
      <c r="D14" s="14" t="n">
        <v>6627068683.09</v>
      </c>
      <c r="E14" s="15" t="n">
        <f aca="false">D14/$D$26</f>
        <v>0.223708949372121</v>
      </c>
    </row>
    <row r="15" customFormat="false" ht="15" hidden="false" customHeight="false" outlineLevel="0" collapsed="false">
      <c r="A15" s="5" t="s">
        <v>19</v>
      </c>
      <c r="B15" s="5" t="s">
        <v>58</v>
      </c>
      <c r="C15" s="13" t="n">
        <v>17379</v>
      </c>
      <c r="D15" s="14" t="n">
        <v>725626872.35</v>
      </c>
      <c r="E15" s="15" t="n">
        <f aca="false">D15/$D$26</f>
        <v>0.0244948759417274</v>
      </c>
    </row>
    <row r="16" customFormat="false" ht="15" hidden="false" customHeight="false" outlineLevel="0" collapsed="false">
      <c r="A16" s="5" t="s">
        <v>19</v>
      </c>
      <c r="B16" s="5" t="s">
        <v>59</v>
      </c>
      <c r="C16" s="13" t="n">
        <v>9052</v>
      </c>
      <c r="D16" s="14" t="n">
        <v>726516900.37</v>
      </c>
      <c r="E16" s="15" t="n">
        <f aca="false">D16/$D$26</f>
        <v>0.0245249204822004</v>
      </c>
    </row>
    <row r="17" customFormat="false" ht="15" hidden="false" customHeight="false" outlineLevel="0" collapsed="false">
      <c r="A17" s="5" t="s">
        <v>19</v>
      </c>
      <c r="B17" s="5" t="s">
        <v>60</v>
      </c>
      <c r="C17" s="13" t="n">
        <v>20854</v>
      </c>
      <c r="D17" s="14" t="n">
        <v>319746640.54</v>
      </c>
      <c r="E17" s="15" t="n">
        <f aca="false">D17/$D$26</f>
        <v>0.0107936387022801</v>
      </c>
    </row>
    <row r="18" customFormat="false" ht="15" hidden="false" customHeight="false" outlineLevel="0" collapsed="false">
      <c r="A18" s="5" t="s">
        <v>19</v>
      </c>
      <c r="B18" s="5" t="s">
        <v>61</v>
      </c>
      <c r="C18" s="13" t="n">
        <v>15645</v>
      </c>
      <c r="D18" s="14" t="n">
        <v>74476578.95</v>
      </c>
      <c r="E18" s="15" t="n">
        <f aca="false">D18/$D$26</f>
        <v>0.00251409454563941</v>
      </c>
    </row>
    <row r="19" customFormat="false" ht="15" hidden="false" customHeight="false" outlineLevel="0" collapsed="false">
      <c r="A19" s="5" t="s">
        <v>19</v>
      </c>
      <c r="B19" s="5" t="s">
        <v>62</v>
      </c>
      <c r="C19" s="13" t="n">
        <v>1967</v>
      </c>
      <c r="D19" s="14" t="n">
        <v>1990233007.79</v>
      </c>
      <c r="E19" s="15" t="n">
        <f aca="false">D19/$D$26</f>
        <v>0.0671839928737269</v>
      </c>
    </row>
    <row r="20" customFormat="false" ht="15" hidden="false" customHeight="false" outlineLevel="0" collapsed="false">
      <c r="A20" s="5" t="s">
        <v>21</v>
      </c>
      <c r="B20" s="5" t="s">
        <v>58</v>
      </c>
      <c r="C20" s="13" t="n">
        <v>1993</v>
      </c>
      <c r="D20" s="14" t="n">
        <v>77752317.1</v>
      </c>
      <c r="E20" s="15" t="n">
        <f aca="false">D20/$D$26</f>
        <v>0.00262467314003735</v>
      </c>
    </row>
    <row r="21" customFormat="false" ht="15" hidden="false" customHeight="false" outlineLevel="0" collapsed="false">
      <c r="A21" s="5" t="s">
        <v>21</v>
      </c>
      <c r="B21" s="5" t="s">
        <v>59</v>
      </c>
      <c r="C21" s="13" t="n">
        <v>1013</v>
      </c>
      <c r="D21" s="14" t="n">
        <v>74211451.11</v>
      </c>
      <c r="E21" s="15" t="n">
        <f aca="false">D21/$D$26</f>
        <v>0.00250514466547791</v>
      </c>
    </row>
    <row r="22" customFormat="false" ht="15" hidden="false" customHeight="false" outlineLevel="0" collapsed="false">
      <c r="A22" s="5" t="s">
        <v>21</v>
      </c>
      <c r="B22" s="5" t="s">
        <v>60</v>
      </c>
      <c r="C22" s="13" t="n">
        <v>2396</v>
      </c>
      <c r="D22" s="14" t="n">
        <v>34634283.89</v>
      </c>
      <c r="E22" s="15" t="n">
        <f aca="false">D22/$D$26</f>
        <v>0.00116914425242912</v>
      </c>
    </row>
    <row r="23" customFormat="false" ht="15" hidden="false" customHeight="false" outlineLevel="0" collapsed="false">
      <c r="A23" s="5" t="s">
        <v>21</v>
      </c>
      <c r="B23" s="5" t="s">
        <v>61</v>
      </c>
      <c r="C23" s="13" t="n">
        <v>1750</v>
      </c>
      <c r="D23" s="14" t="n">
        <v>8129564.26</v>
      </c>
      <c r="E23" s="15" t="n">
        <f aca="false">D23/$D$26</f>
        <v>0.00027442846399017</v>
      </c>
    </row>
    <row r="24" customFormat="false" ht="15" hidden="false" customHeight="false" outlineLevel="0" collapsed="false">
      <c r="A24" s="5" t="s">
        <v>21</v>
      </c>
      <c r="B24" s="5" t="s">
        <v>62</v>
      </c>
      <c r="C24" s="13" t="n">
        <v>217</v>
      </c>
      <c r="D24" s="14" t="n">
        <v>240820383.64</v>
      </c>
      <c r="E24" s="15" t="n">
        <f aca="false">D24/$D$26</f>
        <v>0.00812933705500331</v>
      </c>
    </row>
    <row r="25" customFormat="false" ht="15" hidden="false" customHeight="false" outlineLevel="0" collapsed="false">
      <c r="A25" s="5"/>
      <c r="B25" s="5"/>
      <c r="C25" s="5"/>
      <c r="D25" s="5"/>
      <c r="E25" s="5"/>
    </row>
    <row r="26" customFormat="false" ht="15" hidden="false" customHeight="false" outlineLevel="0" collapsed="false">
      <c r="A26" s="9" t="s">
        <v>63</v>
      </c>
      <c r="B26" s="9"/>
      <c r="C26" s="10" t="n">
        <f aca="false">SUM(C5:C24)</f>
        <v>501000</v>
      </c>
      <c r="D26" s="11" t="n">
        <f aca="false">SUM(D5:D24)</f>
        <v>29623619000</v>
      </c>
      <c r="E26" s="16" t="n">
        <f aca="false">SUM(E5:E24)</f>
        <v>1</v>
      </c>
    </row>
    <row r="27" customFormat="false" ht="39.55" hidden="false" customHeight="false" outlineLevel="0" collapsed="false">
      <c r="A27" s="5" t="s">
        <v>64</v>
      </c>
      <c r="B27" s="5"/>
      <c r="C27" s="17" t="n">
        <f aca="false">C26-Conciliacao!F9</f>
        <v>0</v>
      </c>
      <c r="D27" s="18" t="n">
        <f aca="false">D26-Conciliacao!D9</f>
        <v>0</v>
      </c>
      <c r="E27" s="5"/>
    </row>
    <row r="29" customFormat="false" ht="26.85" hidden="false" customHeight="false" outlineLevel="0" collapsed="false">
      <c r="A29" s="4" t="s">
        <v>65</v>
      </c>
      <c r="B29" s="4"/>
      <c r="C29" s="4" t="s">
        <v>55</v>
      </c>
      <c r="D29" s="4" t="s">
        <v>56</v>
      </c>
      <c r="E29" s="4" t="s">
        <v>57</v>
      </c>
    </row>
    <row r="30" customFormat="false" ht="15" hidden="false" customHeight="false" outlineLevel="0" collapsed="false">
      <c r="A30" s="5" t="s">
        <v>58</v>
      </c>
      <c r="B30" s="5"/>
      <c r="C30" s="12" t="n">
        <f aca="false">SUMIF($B$5:$B$24,A30,$C$5:$C$24)</f>
        <v>134137</v>
      </c>
      <c r="D30" s="7" t="n">
        <f aca="false">SUMIF($B$5:$B$24,A30,$D$5:$D$24)</f>
        <v>5570661277.15</v>
      </c>
      <c r="E30" s="15" t="n">
        <f aca="false">D30/$D$26</f>
        <v>0.188047965278989</v>
      </c>
    </row>
    <row r="31" customFormat="false" ht="15" hidden="false" customHeight="false" outlineLevel="0" collapsed="false">
      <c r="A31" s="5" t="s">
        <v>59</v>
      </c>
      <c r="B31" s="5"/>
      <c r="C31" s="12" t="n">
        <f aca="false">SUMIF($B$5:$B$24,A31,$C$5:$C$24)</f>
        <v>70516</v>
      </c>
      <c r="D31" s="7" t="n">
        <f aca="false">SUMIF($B$5:$B$24,A31,$D$5:$D$24)</f>
        <v>5546323382.75</v>
      </c>
      <c r="E31" s="15" t="n">
        <f aca="false">D31/$D$26</f>
        <v>0.187226394680204</v>
      </c>
    </row>
    <row r="32" customFormat="false" ht="15" hidden="false" customHeight="false" outlineLevel="0" collapsed="false">
      <c r="A32" s="5" t="s">
        <v>60</v>
      </c>
      <c r="B32" s="5"/>
      <c r="C32" s="12" t="n">
        <f aca="false">SUMIF($B$5:$B$24,A32,$C$5:$C$24)</f>
        <v>160569</v>
      </c>
      <c r="D32" s="7" t="n">
        <f aca="false">SUMIF($B$5:$B$24,A32,$D$5:$D$24)</f>
        <v>2450621585.99</v>
      </c>
      <c r="E32" s="15" t="n">
        <f aca="false">D32/$D$26</f>
        <v>0.0827252600700137</v>
      </c>
    </row>
    <row r="33" customFormat="false" ht="15" hidden="false" customHeight="false" outlineLevel="0" collapsed="false">
      <c r="A33" s="5" t="s">
        <v>61</v>
      </c>
      <c r="B33" s="5"/>
      <c r="C33" s="12" t="n">
        <f aca="false">SUMIF($B$5:$B$24,A33,$C$5:$C$24)</f>
        <v>120434</v>
      </c>
      <c r="D33" s="7" t="n">
        <f aca="false">SUMIF($B$5:$B$24,A33,$D$5:$D$24)</f>
        <v>578934970.45</v>
      </c>
      <c r="E33" s="15" t="n">
        <f aca="false">D33/$D$26</f>
        <v>0.0195430197252402</v>
      </c>
    </row>
    <row r="34" customFormat="false" ht="15" hidden="false" customHeight="false" outlineLevel="0" collapsed="false">
      <c r="A34" s="5" t="s">
        <v>62</v>
      </c>
      <c r="B34" s="5"/>
      <c r="C34" s="12" t="n">
        <f aca="false">SUMIF($B$5:$B$24,A34,$C$5:$C$24)</f>
        <v>15344</v>
      </c>
      <c r="D34" s="7" t="n">
        <f aca="false">SUMIF($B$5:$B$24,A34,$D$5:$D$24)</f>
        <v>15477077783.66</v>
      </c>
      <c r="E34" s="15" t="n">
        <f aca="false">D34/$D$26</f>
        <v>0.522457360245553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67</v>
      </c>
      <c r="B4" s="4" t="s">
        <v>68</v>
      </c>
      <c r="C4" s="4" t="s">
        <v>69</v>
      </c>
      <c r="D4" s="4" t="s">
        <v>70</v>
      </c>
    </row>
    <row r="5" customFormat="false" ht="26.85" hidden="false" customHeight="false" outlineLevel="0" collapsed="false">
      <c r="A5" s="5" t="s">
        <v>71</v>
      </c>
      <c r="B5" s="5" t="s">
        <v>72</v>
      </c>
      <c r="C5" s="5" t="s">
        <v>73</v>
      </c>
      <c r="D5" s="5" t="s">
        <v>74</v>
      </c>
    </row>
    <row r="6" customFormat="false" ht="26.85" hidden="false" customHeight="false" outlineLevel="0" collapsed="false">
      <c r="A6" s="5" t="s">
        <v>75</v>
      </c>
      <c r="B6" s="5" t="s">
        <v>72</v>
      </c>
      <c r="C6" s="5" t="s">
        <v>76</v>
      </c>
      <c r="D6" s="5" t="s">
        <v>74</v>
      </c>
    </row>
    <row r="7" customFormat="false" ht="26.85" hidden="false" customHeight="false" outlineLevel="0" collapsed="false">
      <c r="A7" s="5" t="s">
        <v>77</v>
      </c>
      <c r="B7" s="5" t="s">
        <v>72</v>
      </c>
      <c r="C7" s="5" t="s">
        <v>78</v>
      </c>
      <c r="D7" s="5" t="s">
        <v>79</v>
      </c>
    </row>
    <row r="8" customFormat="false" ht="26.85" hidden="false" customHeight="false" outlineLevel="0" collapsed="false">
      <c r="A8" s="5" t="s">
        <v>80</v>
      </c>
      <c r="B8" s="5" t="s">
        <v>72</v>
      </c>
      <c r="C8" s="5" t="s">
        <v>81</v>
      </c>
      <c r="D8" s="5" t="s">
        <v>74</v>
      </c>
    </row>
    <row r="9" customFormat="false" ht="26.85" hidden="false" customHeight="false" outlineLevel="0" collapsed="false">
      <c r="A9" s="5" t="s">
        <v>82</v>
      </c>
      <c r="B9" s="5" t="s">
        <v>83</v>
      </c>
      <c r="C9" s="5" t="s">
        <v>84</v>
      </c>
      <c r="D9" s="5" t="s">
        <v>74</v>
      </c>
    </row>
    <row r="10" customFormat="false" ht="26.85" hidden="false" customHeight="false" outlineLevel="0" collapsed="false">
      <c r="A10" s="5" t="s">
        <v>85</v>
      </c>
      <c r="B10" s="5" t="s">
        <v>86</v>
      </c>
      <c r="C10" s="5" t="s">
        <v>87</v>
      </c>
      <c r="D10" s="5" t="s">
        <v>74</v>
      </c>
    </row>
    <row r="11" customFormat="false" ht="26.85" hidden="false" customHeight="false" outlineLevel="0" collapsed="false">
      <c r="A11" s="5" t="s">
        <v>88</v>
      </c>
      <c r="B11" s="5" t="s">
        <v>89</v>
      </c>
      <c r="C11" s="5" t="s">
        <v>90</v>
      </c>
      <c r="D11" s="5" t="s">
        <v>74</v>
      </c>
    </row>
    <row r="12" customFormat="false" ht="26.85" hidden="false" customHeight="false" outlineLevel="0" collapsed="false">
      <c r="A12" s="5" t="s">
        <v>91</v>
      </c>
      <c r="B12" s="5" t="s">
        <v>89</v>
      </c>
      <c r="C12" s="5" t="s">
        <v>92</v>
      </c>
      <c r="D12" s="5" t="s">
        <v>93</v>
      </c>
    </row>
    <row r="13" customFormat="false" ht="15" hidden="false" customHeight="false" outlineLevel="0" collapsed="false">
      <c r="A13" s="5" t="s">
        <v>94</v>
      </c>
      <c r="B13" s="5" t="s">
        <v>72</v>
      </c>
      <c r="C13" s="5" t="s">
        <v>95</v>
      </c>
      <c r="D13" s="5" t="s">
        <v>74</v>
      </c>
    </row>
    <row r="14" customFormat="false" ht="26.85" hidden="false" customHeight="false" outlineLevel="0" collapsed="false">
      <c r="A14" s="5" t="s">
        <v>96</v>
      </c>
      <c r="B14" s="5" t="s">
        <v>97</v>
      </c>
      <c r="C14" s="5" t="s">
        <v>98</v>
      </c>
      <c r="D14" s="5" t="s">
        <v>74</v>
      </c>
    </row>
    <row r="15" customFormat="false" ht="39.55" hidden="false" customHeight="false" outlineLevel="0" collapsed="false">
      <c r="A15" s="5" t="s">
        <v>99</v>
      </c>
      <c r="B15" s="5" t="s">
        <v>86</v>
      </c>
      <c r="C15" s="5" t="s">
        <v>100</v>
      </c>
      <c r="D15" s="5" t="s">
        <v>101</v>
      </c>
    </row>
    <row r="16" customFormat="false" ht="15" hidden="false" customHeight="false" outlineLevel="0" collapsed="false">
      <c r="A16" s="5" t="s">
        <v>102</v>
      </c>
      <c r="B16" s="5" t="s">
        <v>103</v>
      </c>
      <c r="C16" s="5" t="s">
        <v>104</v>
      </c>
      <c r="D16" s="5" t="s">
        <v>105</v>
      </c>
    </row>
    <row r="17" customFormat="false" ht="15" hidden="false" customHeight="false" outlineLevel="0" collapsed="false">
      <c r="A17" s="5" t="s">
        <v>106</v>
      </c>
      <c r="B17" s="5" t="s">
        <v>72</v>
      </c>
      <c r="C17" s="5" t="s">
        <v>107</v>
      </c>
      <c r="D17" s="5" t="s">
        <v>108</v>
      </c>
    </row>
    <row r="19" customFormat="false" ht="15" hidden="false" customHeight="false" outlineLevel="0" collapsed="false">
      <c r="A19" s="4" t="s">
        <v>109</v>
      </c>
      <c r="B19" s="4" t="s">
        <v>110</v>
      </c>
      <c r="C19" s="4" t="s">
        <v>111</v>
      </c>
      <c r="D19" s="4" t="s">
        <v>112</v>
      </c>
    </row>
    <row r="20" customFormat="false" ht="26.85" hidden="false" customHeight="false" outlineLevel="0" collapsed="false">
      <c r="A20" s="5" t="s">
        <v>58</v>
      </c>
      <c r="B20" s="19" t="n">
        <v>0.27</v>
      </c>
      <c r="C20" s="5" t="s">
        <v>113</v>
      </c>
      <c r="D20" s="5" t="s">
        <v>114</v>
      </c>
    </row>
    <row r="21" customFormat="false" ht="26.85" hidden="false" customHeight="false" outlineLevel="0" collapsed="false">
      <c r="A21" s="5" t="s">
        <v>59</v>
      </c>
      <c r="B21" s="19" t="n">
        <v>0.14</v>
      </c>
      <c r="C21" s="5" t="s">
        <v>115</v>
      </c>
      <c r="D21" s="5" t="s">
        <v>114</v>
      </c>
    </row>
    <row r="22" customFormat="false" ht="26.85" hidden="false" customHeight="false" outlineLevel="0" collapsed="false">
      <c r="A22" s="5" t="s">
        <v>60</v>
      </c>
      <c r="B22" s="19" t="n">
        <v>0.32</v>
      </c>
      <c r="C22" s="5" t="s">
        <v>116</v>
      </c>
      <c r="D22" s="5" t="s">
        <v>114</v>
      </c>
    </row>
    <row r="23" customFormat="false" ht="26.85" hidden="false" customHeight="false" outlineLevel="0" collapsed="false">
      <c r="A23" s="5" t="s">
        <v>61</v>
      </c>
      <c r="B23" s="19" t="n">
        <v>0.24</v>
      </c>
      <c r="C23" s="5" t="s">
        <v>117</v>
      </c>
      <c r="D23" s="5" t="s">
        <v>114</v>
      </c>
    </row>
    <row r="24" customFormat="false" ht="26.85" hidden="false" customHeight="false" outlineLevel="0" collapsed="false">
      <c r="A24" s="5" t="s">
        <v>62</v>
      </c>
      <c r="B24" s="19" t="n">
        <v>0.03</v>
      </c>
      <c r="C24" s="5" t="s">
        <v>118</v>
      </c>
      <c r="D24" s="5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120</v>
      </c>
      <c r="B4" s="4" t="s">
        <v>121</v>
      </c>
      <c r="C4" s="4" t="s">
        <v>122</v>
      </c>
      <c r="D4" s="4" t="s">
        <v>123</v>
      </c>
      <c r="E4" s="4" t="s">
        <v>124</v>
      </c>
    </row>
    <row r="5" customFormat="false" ht="15" hidden="false" customHeight="false" outlineLevel="0" collapsed="false">
      <c r="A5" s="5" t="s">
        <v>125</v>
      </c>
      <c r="B5" s="5" t="s">
        <v>126</v>
      </c>
      <c r="C5" s="20" t="s">
        <v>127</v>
      </c>
      <c r="D5" s="21" t="s">
        <v>127</v>
      </c>
      <c r="E5" s="5" t="s">
        <v>128</v>
      </c>
    </row>
    <row r="6" customFormat="false" ht="15" hidden="false" customHeight="false" outlineLevel="0" collapsed="false">
      <c r="A6" s="5" t="s">
        <v>129</v>
      </c>
      <c r="B6" s="5" t="s">
        <v>130</v>
      </c>
      <c r="C6" s="20" t="n">
        <v>501000</v>
      </c>
      <c r="D6" s="21" t="n">
        <v>501000</v>
      </c>
      <c r="E6" s="5" t="s">
        <v>128</v>
      </c>
    </row>
    <row r="7" customFormat="false" ht="15" hidden="false" customHeight="false" outlineLevel="0" collapsed="false">
      <c r="A7" s="5" t="s">
        <v>131</v>
      </c>
      <c r="B7" s="5" t="s">
        <v>132</v>
      </c>
      <c r="C7" s="20" t="n">
        <v>501000</v>
      </c>
      <c r="D7" s="21" t="n">
        <v>501000</v>
      </c>
      <c r="E7" s="5" t="s">
        <v>128</v>
      </c>
    </row>
    <row r="8" customFormat="false" ht="26.85" hidden="false" customHeight="false" outlineLevel="0" collapsed="false">
      <c r="A8" s="5" t="s">
        <v>133</v>
      </c>
      <c r="B8" s="5" t="s">
        <v>134</v>
      </c>
      <c r="C8" s="20" t="n">
        <v>0</v>
      </c>
      <c r="D8" s="21" t="n">
        <v>0</v>
      </c>
      <c r="E8" s="5" t="s">
        <v>128</v>
      </c>
    </row>
    <row r="9" customFormat="false" ht="15" hidden="false" customHeight="false" outlineLevel="0" collapsed="false">
      <c r="A9" s="5" t="s">
        <v>135</v>
      </c>
      <c r="B9" s="5" t="s">
        <v>136</v>
      </c>
      <c r="C9" s="20" t="n">
        <v>0</v>
      </c>
      <c r="D9" s="21" t="n">
        <v>0</v>
      </c>
      <c r="E9" s="5" t="s">
        <v>128</v>
      </c>
    </row>
    <row r="10" customFormat="false" ht="15" hidden="false" customHeight="false" outlineLevel="0" collapsed="false">
      <c r="A10" s="5" t="s">
        <v>137</v>
      </c>
      <c r="B10" s="5" t="s">
        <v>138</v>
      </c>
      <c r="C10" s="20" t="n">
        <v>500000</v>
      </c>
      <c r="D10" s="21" t="n">
        <v>500000</v>
      </c>
      <c r="E10" s="5" t="s">
        <v>139</v>
      </c>
    </row>
    <row r="11" customFormat="false" ht="15" hidden="false" customHeight="false" outlineLevel="0" collapsed="false">
      <c r="A11" s="5" t="s">
        <v>140</v>
      </c>
      <c r="B11" s="5" t="s">
        <v>141</v>
      </c>
      <c r="C11" s="20" t="n">
        <v>0</v>
      </c>
      <c r="D11" s="21" t="n">
        <v>0</v>
      </c>
      <c r="E11" s="5" t="s">
        <v>142</v>
      </c>
    </row>
    <row r="12" customFormat="false" ht="15" hidden="false" customHeight="false" outlineLevel="0" collapsed="false">
      <c r="A12" s="5" t="s">
        <v>143</v>
      </c>
      <c r="B12" s="5" t="s">
        <v>144</v>
      </c>
      <c r="C12" s="20" t="n">
        <v>0</v>
      </c>
      <c r="D12" s="21" t="n">
        <v>0</v>
      </c>
      <c r="E12" s="5" t="s">
        <v>142</v>
      </c>
    </row>
    <row r="13" customFormat="false" ht="26.85" hidden="false" customHeight="false" outlineLevel="0" collapsed="false">
      <c r="A13" s="5" t="s">
        <v>145</v>
      </c>
      <c r="B13" s="5" t="s">
        <v>146</v>
      </c>
      <c r="C13" s="20" t="n">
        <v>3.50000000093331E-007</v>
      </c>
      <c r="D13" s="21" t="s">
        <v>147</v>
      </c>
      <c r="E13" s="5" t="s">
        <v>148</v>
      </c>
    </row>
    <row r="14" customFormat="false" ht="26.85" hidden="false" customHeight="false" outlineLevel="0" collapsed="false">
      <c r="A14" s="5" t="s">
        <v>149</v>
      </c>
      <c r="B14" s="5" t="s">
        <v>150</v>
      </c>
      <c r="C14" s="20" t="n">
        <v>1000</v>
      </c>
      <c r="D14" s="21" t="s">
        <v>151</v>
      </c>
      <c r="E14" s="5" t="s">
        <v>152</v>
      </c>
    </row>
    <row r="15" customFormat="false" ht="26.85" hidden="false" customHeight="false" outlineLevel="0" collapsed="false">
      <c r="A15" s="5" t="s">
        <v>153</v>
      </c>
      <c r="B15" s="5" t="s">
        <v>154</v>
      </c>
      <c r="C15" s="20" t="n">
        <v>1000</v>
      </c>
      <c r="D15" s="21" t="s">
        <v>151</v>
      </c>
      <c r="E15" s="5" t="s">
        <v>155</v>
      </c>
    </row>
    <row r="16" customFormat="false" ht="26.85" hidden="false" customHeight="false" outlineLevel="0" collapsed="false">
      <c r="A16" s="5" t="s">
        <v>156</v>
      </c>
      <c r="B16" s="5" t="s">
        <v>157</v>
      </c>
      <c r="C16" s="20" t="s">
        <v>158</v>
      </c>
      <c r="D16" s="21" t="s">
        <v>158</v>
      </c>
      <c r="E16" s="5" t="s">
        <v>159</v>
      </c>
    </row>
    <row r="18" customFormat="false" ht="15" hidden="false" customHeight="false" outlineLevel="0" collapsed="false">
      <c r="A18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162</v>
      </c>
      <c r="B4" s="4" t="s">
        <v>163</v>
      </c>
    </row>
    <row r="5" customFormat="false" ht="26.85" hidden="false" customHeight="false" outlineLevel="0" collapsed="false">
      <c r="A5" s="5" t="s">
        <v>164</v>
      </c>
      <c r="B5" s="5" t="s">
        <v>165</v>
      </c>
    </row>
    <row r="6" customFormat="false" ht="15" hidden="false" customHeight="false" outlineLevel="0" collapsed="false">
      <c r="A6" s="5" t="s">
        <v>166</v>
      </c>
      <c r="B6" s="5" t="s">
        <v>167</v>
      </c>
    </row>
    <row r="7" customFormat="false" ht="15" hidden="false" customHeight="false" outlineLevel="0" collapsed="false">
      <c r="A7" s="5" t="s">
        <v>168</v>
      </c>
      <c r="B7" s="5" t="s">
        <v>169</v>
      </c>
    </row>
    <row r="8" customFormat="false" ht="15" hidden="false" customHeight="false" outlineLevel="0" collapsed="false">
      <c r="A8" s="5" t="s">
        <v>170</v>
      </c>
      <c r="B8" s="5" t="s">
        <v>171</v>
      </c>
    </row>
    <row r="9" customFormat="false" ht="15" hidden="false" customHeight="false" outlineLevel="0" collapsed="false">
      <c r="A9" s="5" t="s">
        <v>172</v>
      </c>
      <c r="B9" s="5" t="s">
        <v>173</v>
      </c>
    </row>
    <row r="10" customFormat="false" ht="15" hidden="false" customHeight="false" outlineLevel="0" collapsed="false">
      <c r="A10" s="5" t="s">
        <v>174</v>
      </c>
      <c r="B10" s="5" t="s">
        <v>175</v>
      </c>
    </row>
    <row r="11" customFormat="false" ht="26.85" hidden="false" customHeight="false" outlineLevel="0" collapsed="false">
      <c r="A11" s="5" t="s">
        <v>176</v>
      </c>
      <c r="B11" s="5" t="s">
        <v>177</v>
      </c>
    </row>
    <row r="12" customFormat="false" ht="15" hidden="false" customHeight="false" outlineLevel="0" collapsed="false">
      <c r="A12" s="5" t="s">
        <v>178</v>
      </c>
      <c r="B12" s="5" t="s">
        <v>179</v>
      </c>
    </row>
    <row r="13" customFormat="false" ht="15" hidden="false" customHeight="false" outlineLevel="0" collapsed="false">
      <c r="A13" s="5" t="s">
        <v>180</v>
      </c>
      <c r="B13" s="5" t="s">
        <v>181</v>
      </c>
    </row>
    <row r="14" customFormat="false" ht="15" hidden="false" customHeight="false" outlineLevel="0" collapsed="false">
      <c r="A14" s="5" t="s">
        <v>182</v>
      </c>
      <c r="B14" s="5" t="s">
        <v>183</v>
      </c>
    </row>
    <row r="15" customFormat="false" ht="26.85" hidden="false" customHeight="false" outlineLevel="0" collapsed="false">
      <c r="A15" s="5" t="s">
        <v>184</v>
      </c>
      <c r="B15" s="5" t="s">
        <v>185</v>
      </c>
    </row>
    <row r="16" customFormat="false" ht="26.85" hidden="false" customHeight="false" outlineLevel="0" collapsed="false">
      <c r="A16" s="5" t="s">
        <v>186</v>
      </c>
      <c r="B16" s="5" t="s">
        <v>187</v>
      </c>
    </row>
    <row r="18" customFormat="false" ht="15" hidden="false" customHeight="false" outlineLevel="0" collapsed="false">
      <c r="A18" s="4" t="s">
        <v>188</v>
      </c>
      <c r="B18" s="4" t="s">
        <v>189</v>
      </c>
    </row>
    <row r="19" customFormat="false" ht="39.55" hidden="false" customHeight="false" outlineLevel="0" collapsed="false">
      <c r="A19" s="5" t="s">
        <v>190</v>
      </c>
      <c r="B19" s="5" t="s">
        <v>191</v>
      </c>
    </row>
    <row r="20" customFormat="false" ht="52.2" hidden="false" customHeight="false" outlineLevel="0" collapsed="false">
      <c r="A20" s="5" t="s">
        <v>192</v>
      </c>
      <c r="B20" s="5" t="s">
        <v>193</v>
      </c>
    </row>
    <row r="21" customFormat="false" ht="52.2" hidden="false" customHeight="false" outlineLevel="0" collapsed="false">
      <c r="A21" s="5" t="s">
        <v>194</v>
      </c>
      <c r="B21" s="5" t="s">
        <v>195</v>
      </c>
    </row>
    <row r="22" customFormat="false" ht="39.55" hidden="false" customHeight="false" outlineLevel="0" collapsed="false">
      <c r="A22" s="5" t="s">
        <v>196</v>
      </c>
      <c r="B22" s="5" t="s">
        <v>197</v>
      </c>
    </row>
    <row r="24" customFormat="false" ht="15" hidden="false" customHeight="false" outlineLevel="0" collapsed="false">
      <c r="A24" s="2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7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4" t="s">
        <v>71</v>
      </c>
      <c r="B4" s="4" t="s">
        <v>75</v>
      </c>
      <c r="C4" s="4" t="s">
        <v>77</v>
      </c>
      <c r="D4" s="4" t="s">
        <v>80</v>
      </c>
      <c r="E4" s="4" t="s">
        <v>82</v>
      </c>
      <c r="F4" s="4" t="s">
        <v>85</v>
      </c>
      <c r="G4" s="4" t="s">
        <v>88</v>
      </c>
      <c r="H4" s="4" t="s">
        <v>91</v>
      </c>
      <c r="I4" s="4" t="s">
        <v>94</v>
      </c>
      <c r="J4" s="4" t="s">
        <v>96</v>
      </c>
      <c r="K4" s="4" t="s">
        <v>99</v>
      </c>
      <c r="L4" s="4" t="s">
        <v>102</v>
      </c>
      <c r="M4" s="4" t="s">
        <v>106</v>
      </c>
    </row>
    <row r="5" customFormat="false" ht="15" hidden="false" customHeight="false" outlineLevel="0" collapsed="false">
      <c r="A5" s="22" t="s">
        <v>200</v>
      </c>
      <c r="B5" s="22" t="s">
        <v>201</v>
      </c>
      <c r="C5" s="22" t="s">
        <v>17</v>
      </c>
      <c r="D5" s="22" t="s">
        <v>59</v>
      </c>
      <c r="E5" s="22" t="s">
        <v>202</v>
      </c>
      <c r="F5" s="23" t="n">
        <v>79457.53</v>
      </c>
      <c r="G5" s="24" t="n">
        <v>1.2001</v>
      </c>
      <c r="H5" s="24" t="n">
        <v>0.7247</v>
      </c>
      <c r="I5" s="22" t="s">
        <v>203</v>
      </c>
      <c r="J5" s="22"/>
      <c r="K5" s="23" t="n">
        <v>91597.89</v>
      </c>
      <c r="L5" s="22" t="s">
        <v>204</v>
      </c>
      <c r="M5" s="22" t="s">
        <v>205</v>
      </c>
    </row>
    <row r="6" customFormat="false" ht="15" hidden="false" customHeight="false" outlineLevel="0" collapsed="false">
      <c r="A6" s="22" t="s">
        <v>206</v>
      </c>
      <c r="B6" s="22" t="s">
        <v>207</v>
      </c>
      <c r="C6" s="22" t="s">
        <v>15</v>
      </c>
      <c r="D6" s="22" t="s">
        <v>59</v>
      </c>
      <c r="E6" s="22" t="s">
        <v>208</v>
      </c>
      <c r="F6" s="23" t="n">
        <v>165501.51</v>
      </c>
      <c r="G6" s="24" t="n">
        <v>1.2596</v>
      </c>
      <c r="H6" s="24" t="n">
        <v>0.2965</v>
      </c>
      <c r="I6" s="22" t="s">
        <v>203</v>
      </c>
      <c r="J6" s="22"/>
      <c r="K6" s="23" t="n">
        <v>81792.71</v>
      </c>
      <c r="L6" s="22" t="s">
        <v>204</v>
      </c>
      <c r="M6" s="22" t="s">
        <v>205</v>
      </c>
    </row>
    <row r="7" customFormat="false" ht="15" hidden="false" customHeight="false" outlineLevel="0" collapsed="false">
      <c r="A7" s="22" t="s">
        <v>209</v>
      </c>
      <c r="B7" s="22" t="s">
        <v>210</v>
      </c>
      <c r="C7" s="22" t="s">
        <v>19</v>
      </c>
      <c r="D7" s="22" t="s">
        <v>58</v>
      </c>
      <c r="E7" s="22" t="s">
        <v>211</v>
      </c>
      <c r="F7" s="23" t="n">
        <v>75839.41</v>
      </c>
      <c r="G7" s="24" t="n">
        <v>1.2582</v>
      </c>
      <c r="H7" s="24" t="n">
        <v>0.918</v>
      </c>
      <c r="I7" s="22" t="s">
        <v>203</v>
      </c>
      <c r="J7" s="22"/>
      <c r="K7" s="23" t="n">
        <v>116999.46</v>
      </c>
      <c r="L7" s="22" t="s">
        <v>204</v>
      </c>
      <c r="M7" s="22" t="s">
        <v>205</v>
      </c>
    </row>
    <row r="8" customFormat="false" ht="15" hidden="false" customHeight="false" outlineLevel="0" collapsed="false">
      <c r="A8" s="22" t="s">
        <v>212</v>
      </c>
      <c r="B8" s="22" t="s">
        <v>213</v>
      </c>
      <c r="C8" s="22" t="s">
        <v>17</v>
      </c>
      <c r="D8" s="22" t="s">
        <v>59</v>
      </c>
      <c r="E8" s="22" t="s">
        <v>214</v>
      </c>
      <c r="F8" s="23" t="n">
        <v>76081.98</v>
      </c>
      <c r="G8" s="24" t="n">
        <v>1.0776</v>
      </c>
      <c r="H8" s="24" t="n">
        <v>0.1055</v>
      </c>
      <c r="I8" s="22" t="s">
        <v>203</v>
      </c>
      <c r="J8" s="22"/>
      <c r="K8" s="23" t="n">
        <v>11464.8</v>
      </c>
      <c r="L8" s="22" t="s">
        <v>204</v>
      </c>
      <c r="M8" s="22" t="s">
        <v>205</v>
      </c>
    </row>
    <row r="9" customFormat="false" ht="15" hidden="false" customHeight="false" outlineLevel="0" collapsed="false">
      <c r="A9" s="22" t="s">
        <v>215</v>
      </c>
      <c r="B9" s="22" t="s">
        <v>216</v>
      </c>
      <c r="C9" s="22" t="s">
        <v>17</v>
      </c>
      <c r="D9" s="22" t="s">
        <v>58</v>
      </c>
      <c r="E9" s="22" t="s">
        <v>217</v>
      </c>
      <c r="F9" s="23" t="n">
        <v>61070.66</v>
      </c>
      <c r="G9" s="24" t="n">
        <v>1.2472</v>
      </c>
      <c r="H9" s="24" t="n">
        <v>0.8827</v>
      </c>
      <c r="I9" s="22" t="s">
        <v>203</v>
      </c>
      <c r="J9" s="22"/>
      <c r="K9" s="23" t="n">
        <v>89116.18</v>
      </c>
      <c r="L9" s="22" t="s">
        <v>204</v>
      </c>
      <c r="M9" s="22" t="s">
        <v>205</v>
      </c>
    </row>
    <row r="10" customFormat="false" ht="15" hidden="false" customHeight="false" outlineLevel="0" collapsed="false">
      <c r="A10" s="22" t="s">
        <v>218</v>
      </c>
      <c r="B10" s="22" t="s">
        <v>219</v>
      </c>
      <c r="C10" s="22" t="s">
        <v>15</v>
      </c>
      <c r="D10" s="22" t="s">
        <v>60</v>
      </c>
      <c r="E10" s="22" t="s">
        <v>220</v>
      </c>
      <c r="F10" s="23" t="n">
        <v>12102.43</v>
      </c>
      <c r="G10" s="24" t="n">
        <v>1.2058</v>
      </c>
      <c r="H10" s="24" t="n">
        <v>0.1329</v>
      </c>
      <c r="I10" s="22" t="s">
        <v>203</v>
      </c>
      <c r="J10" s="22"/>
      <c r="K10" s="23" t="n">
        <v>2566.42</v>
      </c>
      <c r="L10" s="22" t="s">
        <v>204</v>
      </c>
      <c r="M10" s="22" t="s">
        <v>205</v>
      </c>
    </row>
    <row r="11" customFormat="false" ht="15" hidden="false" customHeight="false" outlineLevel="0" collapsed="false">
      <c r="A11" s="22" t="s">
        <v>221</v>
      </c>
      <c r="B11" s="22" t="s">
        <v>222</v>
      </c>
      <c r="C11" s="22" t="s">
        <v>15</v>
      </c>
      <c r="D11" s="22" t="s">
        <v>58</v>
      </c>
      <c r="E11" s="22" t="s">
        <v>223</v>
      </c>
      <c r="F11" s="23" t="n">
        <v>78479.14</v>
      </c>
      <c r="G11" s="24" t="n">
        <v>1.1549</v>
      </c>
      <c r="H11" s="24" t="n">
        <v>0.4097</v>
      </c>
      <c r="I11" s="22" t="s">
        <v>203</v>
      </c>
      <c r="J11" s="22"/>
      <c r="K11" s="23" t="n">
        <v>49138.27</v>
      </c>
      <c r="L11" s="22" t="s">
        <v>204</v>
      </c>
      <c r="M11" s="22" t="s">
        <v>205</v>
      </c>
    </row>
    <row r="12" customFormat="false" ht="15" hidden="false" customHeight="false" outlineLevel="0" collapsed="false">
      <c r="A12" s="22" t="s">
        <v>224</v>
      </c>
      <c r="B12" s="22" t="s">
        <v>225</v>
      </c>
      <c r="C12" s="22" t="s">
        <v>17</v>
      </c>
      <c r="D12" s="22" t="s">
        <v>61</v>
      </c>
      <c r="E12" s="22" t="s">
        <v>226</v>
      </c>
      <c r="F12" s="23" t="n">
        <v>6029.02</v>
      </c>
      <c r="G12" s="24" t="n">
        <v>1.1027</v>
      </c>
      <c r="H12" s="24" t="n">
        <v>0.5503</v>
      </c>
      <c r="I12" s="22" t="s">
        <v>203</v>
      </c>
      <c r="J12" s="22"/>
      <c r="K12" s="23" t="n">
        <v>4849.29</v>
      </c>
      <c r="L12" s="22" t="s">
        <v>204</v>
      </c>
      <c r="M12" s="22" t="s">
        <v>205</v>
      </c>
    </row>
    <row r="13" customFormat="false" ht="15" hidden="false" customHeight="false" outlineLevel="0" collapsed="false">
      <c r="A13" s="22" t="s">
        <v>227</v>
      </c>
      <c r="B13" s="22" t="s">
        <v>228</v>
      </c>
      <c r="C13" s="22" t="s">
        <v>15</v>
      </c>
      <c r="D13" s="22" t="s">
        <v>58</v>
      </c>
      <c r="E13" s="22" t="s">
        <v>229</v>
      </c>
      <c r="F13" s="23" t="n">
        <v>21756.85</v>
      </c>
      <c r="G13" s="24" t="n">
        <v>1.1323</v>
      </c>
      <c r="H13" s="24" t="n">
        <v>0.2143</v>
      </c>
      <c r="I13" s="22" t="s">
        <v>203</v>
      </c>
      <c r="J13" s="22"/>
      <c r="K13" s="23" t="n">
        <v>6986.1</v>
      </c>
      <c r="L13" s="22" t="s">
        <v>204</v>
      </c>
      <c r="M13" s="22" t="s">
        <v>205</v>
      </c>
    </row>
    <row r="14" customFormat="false" ht="15" hidden="false" customHeight="false" outlineLevel="0" collapsed="false">
      <c r="A14" s="22" t="s">
        <v>230</v>
      </c>
      <c r="B14" s="22" t="s">
        <v>231</v>
      </c>
      <c r="C14" s="22" t="s">
        <v>17</v>
      </c>
      <c r="D14" s="22" t="s">
        <v>58</v>
      </c>
      <c r="E14" s="22" t="s">
        <v>232</v>
      </c>
      <c r="F14" s="23" t="n">
        <v>46072.11</v>
      </c>
      <c r="G14" s="24" t="n">
        <v>1.2781</v>
      </c>
      <c r="H14" s="24" t="n">
        <v>0.8034</v>
      </c>
      <c r="I14" s="22" t="s">
        <v>203</v>
      </c>
      <c r="J14" s="22"/>
      <c r="K14" s="23" t="n">
        <v>62706.05</v>
      </c>
      <c r="L14" s="22" t="s">
        <v>204</v>
      </c>
      <c r="M14" s="22" t="s">
        <v>205</v>
      </c>
    </row>
    <row r="15" customFormat="false" ht="15" hidden="false" customHeight="false" outlineLevel="0" collapsed="false">
      <c r="A15" s="22" t="s">
        <v>233</v>
      </c>
      <c r="B15" s="22" t="s">
        <v>234</v>
      </c>
      <c r="C15" s="22" t="s">
        <v>19</v>
      </c>
      <c r="D15" s="22" t="s">
        <v>58</v>
      </c>
      <c r="E15" s="22" t="s">
        <v>235</v>
      </c>
      <c r="F15" s="23" t="n">
        <v>47755.06</v>
      </c>
      <c r="G15" s="24" t="n">
        <v>1.0987</v>
      </c>
      <c r="H15" s="24" t="n">
        <v>0.7935</v>
      </c>
      <c r="I15" s="22" t="s">
        <v>203</v>
      </c>
      <c r="J15" s="22"/>
      <c r="K15" s="23" t="n">
        <v>55608.61</v>
      </c>
      <c r="L15" s="22" t="s">
        <v>204</v>
      </c>
      <c r="M15" s="22" t="s">
        <v>205</v>
      </c>
    </row>
    <row r="16" customFormat="false" ht="15" hidden="false" customHeight="false" outlineLevel="0" collapsed="false">
      <c r="A16" s="22" t="s">
        <v>236</v>
      </c>
      <c r="B16" s="22" t="s">
        <v>237</v>
      </c>
      <c r="C16" s="22" t="s">
        <v>15</v>
      </c>
      <c r="D16" s="22" t="s">
        <v>61</v>
      </c>
      <c r="E16" s="22" t="s">
        <v>238</v>
      </c>
      <c r="F16" s="23" t="n">
        <v>4447.74</v>
      </c>
      <c r="G16" s="24" t="n">
        <v>1.0431</v>
      </c>
      <c r="H16" s="24" t="n">
        <v>0.2298</v>
      </c>
      <c r="I16" s="22" t="s">
        <v>203</v>
      </c>
      <c r="J16" s="22"/>
      <c r="K16" s="23" t="n">
        <v>1410.82</v>
      </c>
      <c r="L16" s="22" t="s">
        <v>204</v>
      </c>
      <c r="M16" s="22" t="s">
        <v>205</v>
      </c>
    </row>
    <row r="17" customFormat="false" ht="15" hidden="false" customHeight="false" outlineLevel="0" collapsed="false">
      <c r="A17" s="22" t="s">
        <v>239</v>
      </c>
      <c r="B17" s="22" t="s">
        <v>240</v>
      </c>
      <c r="C17" s="22" t="s">
        <v>15</v>
      </c>
      <c r="D17" s="22" t="s">
        <v>60</v>
      </c>
      <c r="E17" s="22" t="s">
        <v>241</v>
      </c>
      <c r="F17" s="23" t="n">
        <v>22317.15</v>
      </c>
      <c r="G17" s="24" t="n">
        <v>1.167</v>
      </c>
      <c r="H17" s="24" t="n">
        <v>0.0992</v>
      </c>
      <c r="I17" s="22" t="s">
        <v>203</v>
      </c>
      <c r="J17" s="22"/>
      <c r="K17" s="23" t="n">
        <v>3418.82</v>
      </c>
      <c r="L17" s="22" t="s">
        <v>204</v>
      </c>
      <c r="M17" s="22" t="s">
        <v>205</v>
      </c>
    </row>
    <row r="18" customFormat="false" ht="15" hidden="false" customHeight="false" outlineLevel="0" collapsed="false">
      <c r="A18" s="22" t="s">
        <v>242</v>
      </c>
      <c r="B18" s="22" t="s">
        <v>243</v>
      </c>
      <c r="C18" s="22" t="s">
        <v>17</v>
      </c>
      <c r="D18" s="22" t="s">
        <v>58</v>
      </c>
      <c r="E18" s="22" t="s">
        <v>244</v>
      </c>
      <c r="F18" s="23" t="n">
        <v>77326.13</v>
      </c>
      <c r="G18" s="24" t="n">
        <v>1.0597</v>
      </c>
      <c r="H18" s="24" t="n">
        <v>0.2198</v>
      </c>
      <c r="I18" s="22" t="s">
        <v>203</v>
      </c>
      <c r="J18" s="22"/>
      <c r="K18" s="23" t="n">
        <v>23873.25</v>
      </c>
      <c r="L18" s="22" t="s">
        <v>204</v>
      </c>
      <c r="M18" s="22" t="s">
        <v>205</v>
      </c>
    </row>
    <row r="19" customFormat="false" ht="15" hidden="false" customHeight="false" outlineLevel="0" collapsed="false">
      <c r="A19" s="22" t="s">
        <v>245</v>
      </c>
      <c r="B19" s="22" t="s">
        <v>246</v>
      </c>
      <c r="C19" s="22" t="s">
        <v>17</v>
      </c>
      <c r="D19" s="22" t="s">
        <v>58</v>
      </c>
      <c r="E19" s="22" t="s">
        <v>247</v>
      </c>
      <c r="F19" s="23" t="n">
        <v>30107.97</v>
      </c>
      <c r="G19" s="24" t="n">
        <v>1.1669</v>
      </c>
      <c r="H19" s="24" t="n">
        <v>0.1402</v>
      </c>
      <c r="I19" s="22" t="s">
        <v>203</v>
      </c>
      <c r="J19" s="22"/>
      <c r="K19" s="23" t="n">
        <v>6528.87</v>
      </c>
      <c r="L19" s="22" t="s">
        <v>204</v>
      </c>
      <c r="M19" s="22" t="s">
        <v>205</v>
      </c>
    </row>
    <row r="20" customFormat="false" ht="15" hidden="false" customHeight="false" outlineLevel="0" collapsed="false">
      <c r="A20" s="22" t="s">
        <v>248</v>
      </c>
      <c r="B20" s="22" t="s">
        <v>249</v>
      </c>
      <c r="C20" s="22" t="s">
        <v>19</v>
      </c>
      <c r="D20" s="22" t="s">
        <v>61</v>
      </c>
      <c r="E20" s="22" t="s">
        <v>250</v>
      </c>
      <c r="F20" s="23" t="n">
        <v>3706.76</v>
      </c>
      <c r="G20" s="24" t="n">
        <v>1.0676</v>
      </c>
      <c r="H20" s="24" t="n">
        <v>0.8759</v>
      </c>
      <c r="I20" s="22" t="s">
        <v>203</v>
      </c>
      <c r="J20" s="22"/>
      <c r="K20" s="23" t="n">
        <v>4629.71</v>
      </c>
      <c r="L20" s="22" t="s">
        <v>204</v>
      </c>
      <c r="M20" s="22" t="s">
        <v>205</v>
      </c>
    </row>
    <row r="21" customFormat="false" ht="15" hidden="false" customHeight="false" outlineLevel="0" collapsed="false">
      <c r="A21" s="22" t="s">
        <v>251</v>
      </c>
      <c r="B21" s="22" t="s">
        <v>252</v>
      </c>
      <c r="C21" s="22" t="s">
        <v>15</v>
      </c>
      <c r="D21" s="22" t="s">
        <v>59</v>
      </c>
      <c r="E21" s="22" t="s">
        <v>253</v>
      </c>
      <c r="F21" s="23" t="n">
        <v>132105.74</v>
      </c>
      <c r="G21" s="24" t="n">
        <v>1.289</v>
      </c>
      <c r="H21" s="24" t="n">
        <v>0.8184</v>
      </c>
      <c r="I21" s="22" t="s">
        <v>203</v>
      </c>
      <c r="J21" s="22"/>
      <c r="K21" s="23" t="n">
        <v>184414.68</v>
      </c>
      <c r="L21" s="22" t="s">
        <v>204</v>
      </c>
      <c r="M21" s="22" t="s">
        <v>205</v>
      </c>
    </row>
    <row r="22" customFormat="false" ht="15" hidden="false" customHeight="false" outlineLevel="0" collapsed="false">
      <c r="A22" s="22" t="s">
        <v>254</v>
      </c>
      <c r="B22" s="22" t="s">
        <v>255</v>
      </c>
      <c r="C22" s="22" t="s">
        <v>17</v>
      </c>
      <c r="D22" s="22" t="s">
        <v>58</v>
      </c>
      <c r="E22" s="22" t="s">
        <v>256</v>
      </c>
      <c r="F22" s="23" t="n">
        <v>21011.46</v>
      </c>
      <c r="G22" s="24" t="n">
        <v>1.2094</v>
      </c>
      <c r="H22" s="24" t="n">
        <v>0.6008</v>
      </c>
      <c r="I22" s="22" t="s">
        <v>203</v>
      </c>
      <c r="J22" s="22"/>
      <c r="K22" s="23" t="n">
        <v>20236.29</v>
      </c>
      <c r="L22" s="22" t="s">
        <v>204</v>
      </c>
      <c r="M22" s="22" t="s">
        <v>205</v>
      </c>
    </row>
    <row r="23" customFormat="false" ht="15" hidden="false" customHeight="false" outlineLevel="0" collapsed="false">
      <c r="A23" s="22" t="s">
        <v>257</v>
      </c>
      <c r="B23" s="22" t="s">
        <v>258</v>
      </c>
      <c r="C23" s="22" t="s">
        <v>19</v>
      </c>
      <c r="D23" s="22" t="s">
        <v>60</v>
      </c>
      <c r="E23" s="22" t="s">
        <v>259</v>
      </c>
      <c r="F23" s="23" t="n">
        <v>17025.38</v>
      </c>
      <c r="G23" s="24" t="n">
        <v>1.086</v>
      </c>
      <c r="H23" s="24" t="n">
        <v>0.823</v>
      </c>
      <c r="I23" s="22" t="s">
        <v>203</v>
      </c>
      <c r="J23" s="22"/>
      <c r="K23" s="23" t="n">
        <v>20324.65</v>
      </c>
      <c r="L23" s="22" t="s">
        <v>204</v>
      </c>
      <c r="M23" s="22" t="s">
        <v>205</v>
      </c>
    </row>
    <row r="24" customFormat="false" ht="15" hidden="false" customHeight="false" outlineLevel="0" collapsed="false">
      <c r="A24" s="22" t="s">
        <v>260</v>
      </c>
      <c r="B24" s="22" t="s">
        <v>261</v>
      </c>
      <c r="C24" s="22" t="s">
        <v>17</v>
      </c>
      <c r="D24" s="22" t="s">
        <v>58</v>
      </c>
      <c r="E24" s="22" t="s">
        <v>262</v>
      </c>
      <c r="F24" s="23" t="n">
        <v>57059.13</v>
      </c>
      <c r="G24" s="24" t="n">
        <v>1.1824</v>
      </c>
      <c r="H24" s="24" t="n">
        <v>0.2363</v>
      </c>
      <c r="I24" s="22" t="s">
        <v>203</v>
      </c>
      <c r="J24" s="22"/>
      <c r="K24" s="23" t="n">
        <v>21131.39</v>
      </c>
      <c r="L24" s="22" t="s">
        <v>204</v>
      </c>
      <c r="M24" s="22" t="s">
        <v>205</v>
      </c>
    </row>
    <row r="25" customFormat="false" ht="15" hidden="false" customHeight="false" outlineLevel="0" collapsed="false">
      <c r="A25" s="22" t="s">
        <v>263</v>
      </c>
      <c r="B25" s="22" t="s">
        <v>264</v>
      </c>
      <c r="C25" s="22" t="s">
        <v>17</v>
      </c>
      <c r="D25" s="22" t="s">
        <v>61</v>
      </c>
      <c r="E25" s="22" t="s">
        <v>265</v>
      </c>
      <c r="F25" s="23" t="n">
        <v>7154.22</v>
      </c>
      <c r="G25" s="24" t="n">
        <v>1.2741</v>
      </c>
      <c r="H25" s="24" t="n">
        <v>0.1945</v>
      </c>
      <c r="I25" s="22" t="s">
        <v>203</v>
      </c>
      <c r="J25" s="22"/>
      <c r="K25" s="23" t="n">
        <v>2349.96</v>
      </c>
      <c r="L25" s="22" t="s">
        <v>204</v>
      </c>
      <c r="M25" s="22" t="s">
        <v>205</v>
      </c>
    </row>
    <row r="26" customFormat="false" ht="15" hidden="false" customHeight="false" outlineLevel="0" collapsed="false">
      <c r="A26" s="22" t="s">
        <v>266</v>
      </c>
      <c r="B26" s="22" t="s">
        <v>267</v>
      </c>
      <c r="C26" s="22" t="s">
        <v>15</v>
      </c>
      <c r="D26" s="22" t="s">
        <v>58</v>
      </c>
      <c r="E26" s="22" t="s">
        <v>268</v>
      </c>
      <c r="F26" s="23" t="n">
        <v>51842.03</v>
      </c>
      <c r="G26" s="24" t="n">
        <v>1.0724</v>
      </c>
      <c r="H26" s="24" t="n">
        <v>0.9532</v>
      </c>
      <c r="I26" s="22" t="s">
        <v>203</v>
      </c>
      <c r="J26" s="22"/>
      <c r="K26" s="23" t="n">
        <v>70125.85</v>
      </c>
      <c r="L26" s="22" t="s">
        <v>204</v>
      </c>
      <c r="M26" s="22" t="s">
        <v>205</v>
      </c>
    </row>
    <row r="27" customFormat="false" ht="15" hidden="false" customHeight="false" outlineLevel="0" collapsed="false">
      <c r="A27" s="22" t="s">
        <v>269</v>
      </c>
      <c r="B27" s="22" t="s">
        <v>270</v>
      </c>
      <c r="C27" s="22" t="s">
        <v>19</v>
      </c>
      <c r="D27" s="22" t="s">
        <v>60</v>
      </c>
      <c r="E27" s="22" t="s">
        <v>271</v>
      </c>
      <c r="F27" s="23" t="n">
        <v>22032.51</v>
      </c>
      <c r="G27" s="24" t="n">
        <v>1.1229</v>
      </c>
      <c r="H27" s="24" t="n">
        <v>0.5805</v>
      </c>
      <c r="I27" s="22" t="s">
        <v>203</v>
      </c>
      <c r="J27" s="22"/>
      <c r="K27" s="23" t="n">
        <v>19182.44</v>
      </c>
      <c r="L27" s="22" t="s">
        <v>204</v>
      </c>
      <c r="M27" s="22" t="s">
        <v>205</v>
      </c>
    </row>
    <row r="28" customFormat="false" ht="15" hidden="false" customHeight="false" outlineLevel="0" collapsed="false">
      <c r="A28" s="22" t="s">
        <v>272</v>
      </c>
      <c r="B28" s="22" t="s">
        <v>273</v>
      </c>
      <c r="C28" s="22" t="s">
        <v>15</v>
      </c>
      <c r="D28" s="22" t="s">
        <v>58</v>
      </c>
      <c r="E28" s="22" t="s">
        <v>274</v>
      </c>
      <c r="F28" s="23" t="n">
        <v>78552.91</v>
      </c>
      <c r="G28" s="24" t="n">
        <v>1.0186</v>
      </c>
      <c r="H28" s="24" t="n">
        <v>0.6217</v>
      </c>
      <c r="I28" s="22" t="s">
        <v>203</v>
      </c>
      <c r="J28" s="22"/>
      <c r="K28" s="23" t="n">
        <v>65826.7</v>
      </c>
      <c r="L28" s="22" t="s">
        <v>204</v>
      </c>
      <c r="M28" s="22" t="s">
        <v>205</v>
      </c>
    </row>
    <row r="29" customFormat="false" ht="15" hidden="false" customHeight="false" outlineLevel="0" collapsed="false">
      <c r="A29" s="22" t="s">
        <v>275</v>
      </c>
      <c r="B29" s="22" t="s">
        <v>276</v>
      </c>
      <c r="C29" s="22" t="s">
        <v>15</v>
      </c>
      <c r="D29" s="22" t="s">
        <v>60</v>
      </c>
      <c r="E29" s="22" t="s">
        <v>277</v>
      </c>
      <c r="F29" s="23" t="n">
        <v>29597.07</v>
      </c>
      <c r="G29" s="24" t="n">
        <v>1.0952</v>
      </c>
      <c r="H29" s="24" t="n">
        <v>0.4673</v>
      </c>
      <c r="I29" s="22" t="s">
        <v>203</v>
      </c>
      <c r="J29" s="22"/>
      <c r="K29" s="23" t="n">
        <v>20044.41</v>
      </c>
      <c r="L29" s="22" t="s">
        <v>204</v>
      </c>
      <c r="M29" s="22" t="s">
        <v>205</v>
      </c>
    </row>
    <row r="30" customFormat="false" ht="15" hidden="false" customHeight="false" outlineLevel="0" collapsed="false">
      <c r="A30" s="22" t="s">
        <v>278</v>
      </c>
      <c r="B30" s="22" t="s">
        <v>279</v>
      </c>
      <c r="C30" s="22" t="s">
        <v>17</v>
      </c>
      <c r="D30" s="22" t="s">
        <v>60</v>
      </c>
      <c r="E30" s="22" t="s">
        <v>280</v>
      </c>
      <c r="F30" s="23" t="n">
        <v>26137.01</v>
      </c>
      <c r="G30" s="24" t="n">
        <v>1.2247</v>
      </c>
      <c r="H30" s="24" t="n">
        <v>0.9728</v>
      </c>
      <c r="I30" s="22" t="s">
        <v>203</v>
      </c>
      <c r="J30" s="22"/>
      <c r="K30" s="23" t="n">
        <v>41274.7</v>
      </c>
      <c r="L30" s="22" t="s">
        <v>204</v>
      </c>
      <c r="M30" s="22" t="s">
        <v>205</v>
      </c>
    </row>
    <row r="31" customFormat="false" ht="15" hidden="false" customHeight="false" outlineLevel="0" collapsed="false">
      <c r="A31" s="22" t="s">
        <v>281</v>
      </c>
      <c r="B31" s="22" t="s">
        <v>282</v>
      </c>
      <c r="C31" s="22" t="s">
        <v>17</v>
      </c>
      <c r="D31" s="22" t="s">
        <v>58</v>
      </c>
      <c r="E31" s="22" t="s">
        <v>283</v>
      </c>
      <c r="F31" s="23" t="n">
        <v>67154.51</v>
      </c>
      <c r="G31" s="24" t="n">
        <v>1.0201</v>
      </c>
      <c r="H31" s="24" t="n">
        <v>0.1718</v>
      </c>
      <c r="I31" s="22" t="s">
        <v>203</v>
      </c>
      <c r="J31" s="22"/>
      <c r="K31" s="23" t="n">
        <v>15599.68</v>
      </c>
      <c r="L31" s="22" t="s">
        <v>204</v>
      </c>
      <c r="M31" s="22" t="s">
        <v>205</v>
      </c>
    </row>
    <row r="32" customFormat="false" ht="15" hidden="false" customHeight="false" outlineLevel="0" collapsed="false">
      <c r="A32" s="22" t="s">
        <v>284</v>
      </c>
      <c r="B32" s="22" t="s">
        <v>285</v>
      </c>
      <c r="C32" s="22" t="s">
        <v>19</v>
      </c>
      <c r="D32" s="22" t="s">
        <v>59</v>
      </c>
      <c r="E32" s="22" t="s">
        <v>286</v>
      </c>
      <c r="F32" s="23" t="n">
        <v>54379.8</v>
      </c>
      <c r="G32" s="24" t="n">
        <v>1.2024</v>
      </c>
      <c r="H32" s="24" t="n">
        <v>0.0829</v>
      </c>
      <c r="I32" s="22" t="s">
        <v>203</v>
      </c>
      <c r="J32" s="22"/>
      <c r="K32" s="23" t="n">
        <v>7239.98</v>
      </c>
      <c r="L32" s="22" t="s">
        <v>204</v>
      </c>
      <c r="M32" s="22" t="s">
        <v>205</v>
      </c>
    </row>
    <row r="33" customFormat="false" ht="15" hidden="false" customHeight="false" outlineLevel="0" collapsed="false">
      <c r="A33" s="22" t="s">
        <v>287</v>
      </c>
      <c r="B33" s="22" t="s">
        <v>288</v>
      </c>
      <c r="C33" s="22" t="s">
        <v>15</v>
      </c>
      <c r="D33" s="22" t="s">
        <v>60</v>
      </c>
      <c r="E33" s="22" t="s">
        <v>289</v>
      </c>
      <c r="F33" s="23" t="n">
        <v>30840.94</v>
      </c>
      <c r="G33" s="24" t="n">
        <v>1.0635</v>
      </c>
      <c r="H33" s="24" t="n">
        <v>0.294</v>
      </c>
      <c r="I33" s="22" t="s">
        <v>203</v>
      </c>
      <c r="J33" s="22"/>
      <c r="K33" s="23" t="n">
        <v>12760.5</v>
      </c>
      <c r="L33" s="22" t="s">
        <v>204</v>
      </c>
      <c r="M33" s="22" t="s">
        <v>205</v>
      </c>
    </row>
    <row r="34" customFormat="false" ht="15" hidden="false" customHeight="false" outlineLevel="0" collapsed="false">
      <c r="A34" s="22" t="s">
        <v>290</v>
      </c>
      <c r="B34" s="22" t="s">
        <v>291</v>
      </c>
      <c r="C34" s="22" t="s">
        <v>15</v>
      </c>
      <c r="D34" s="22" t="s">
        <v>60</v>
      </c>
      <c r="E34" s="22" t="s">
        <v>292</v>
      </c>
      <c r="F34" s="23" t="n">
        <v>13390.85</v>
      </c>
      <c r="G34" s="24" t="n">
        <v>1.0018</v>
      </c>
      <c r="H34" s="24" t="n">
        <v>0.4798</v>
      </c>
      <c r="I34" s="22" t="s">
        <v>203</v>
      </c>
      <c r="J34" s="22"/>
      <c r="K34" s="23" t="n">
        <v>8517.35</v>
      </c>
      <c r="L34" s="22" t="s">
        <v>204</v>
      </c>
      <c r="M34" s="22" t="s">
        <v>205</v>
      </c>
    </row>
    <row r="35" customFormat="false" ht="15" hidden="false" customHeight="false" outlineLevel="0" collapsed="false">
      <c r="A35" s="22" t="s">
        <v>293</v>
      </c>
      <c r="B35" s="22" t="s">
        <v>294</v>
      </c>
      <c r="C35" s="22" t="s">
        <v>21</v>
      </c>
      <c r="D35" s="22" t="s">
        <v>61</v>
      </c>
      <c r="E35" s="22" t="s">
        <v>295</v>
      </c>
      <c r="F35" s="23" t="n">
        <v>9767.88</v>
      </c>
      <c r="G35" s="24" t="n">
        <v>1.0927</v>
      </c>
      <c r="H35" s="24" t="n">
        <v>0.2068</v>
      </c>
      <c r="I35" s="22" t="s">
        <v>203</v>
      </c>
      <c r="J35" s="22"/>
      <c r="K35" s="23" t="n">
        <v>2806.78</v>
      </c>
      <c r="L35" s="22" t="s">
        <v>204</v>
      </c>
      <c r="M35" s="22" t="s">
        <v>205</v>
      </c>
    </row>
    <row r="36" customFormat="false" ht="15" hidden="false" customHeight="false" outlineLevel="0" collapsed="false">
      <c r="A36" s="22" t="s">
        <v>296</v>
      </c>
      <c r="B36" s="22" t="s">
        <v>297</v>
      </c>
      <c r="C36" s="22" t="s">
        <v>15</v>
      </c>
      <c r="D36" s="22" t="s">
        <v>60</v>
      </c>
      <c r="E36" s="22" t="s">
        <v>298</v>
      </c>
      <c r="F36" s="23" t="n">
        <v>26875.31</v>
      </c>
      <c r="G36" s="24" t="n">
        <v>1.1759</v>
      </c>
      <c r="H36" s="24" t="n">
        <v>0.1906</v>
      </c>
      <c r="I36" s="22" t="s">
        <v>203</v>
      </c>
      <c r="J36" s="22"/>
      <c r="K36" s="23" t="n">
        <v>7970.8</v>
      </c>
      <c r="L36" s="22" t="s">
        <v>204</v>
      </c>
      <c r="M36" s="22" t="s">
        <v>205</v>
      </c>
    </row>
    <row r="37" customFormat="false" ht="15" hidden="false" customHeight="false" outlineLevel="0" collapsed="false">
      <c r="A37" s="22" t="s">
        <v>299</v>
      </c>
      <c r="B37" s="22" t="s">
        <v>300</v>
      </c>
      <c r="C37" s="22" t="s">
        <v>17</v>
      </c>
      <c r="D37" s="22" t="s">
        <v>60</v>
      </c>
      <c r="E37" s="22" t="s">
        <v>301</v>
      </c>
      <c r="F37" s="23" t="n">
        <v>17980.01</v>
      </c>
      <c r="G37" s="24" t="n">
        <v>1.1669</v>
      </c>
      <c r="H37" s="24" t="n">
        <v>0.5219</v>
      </c>
      <c r="I37" s="22" t="s">
        <v>203</v>
      </c>
      <c r="J37" s="22"/>
      <c r="K37" s="23" t="n">
        <v>14513.95</v>
      </c>
      <c r="L37" s="22" t="s">
        <v>204</v>
      </c>
      <c r="M37" s="22" t="s">
        <v>205</v>
      </c>
    </row>
    <row r="38" customFormat="false" ht="15" hidden="false" customHeight="false" outlineLevel="0" collapsed="false">
      <c r="A38" s="22" t="s">
        <v>302</v>
      </c>
      <c r="B38" s="22" t="s">
        <v>303</v>
      </c>
      <c r="C38" s="22" t="s">
        <v>17</v>
      </c>
      <c r="D38" s="22" t="s">
        <v>58</v>
      </c>
      <c r="E38" s="22" t="s">
        <v>304</v>
      </c>
      <c r="F38" s="23" t="n">
        <v>29485.24</v>
      </c>
      <c r="G38" s="24" t="n">
        <v>1.0958</v>
      </c>
      <c r="H38" s="24" t="n">
        <v>0.5322</v>
      </c>
      <c r="I38" s="22" t="s">
        <v>203</v>
      </c>
      <c r="J38" s="22"/>
      <c r="K38" s="23" t="n">
        <v>22792.16</v>
      </c>
      <c r="L38" s="22" t="s">
        <v>204</v>
      </c>
      <c r="M38" s="22" t="s">
        <v>205</v>
      </c>
    </row>
    <row r="39" customFormat="false" ht="15" hidden="false" customHeight="false" outlineLevel="0" collapsed="false">
      <c r="A39" s="22" t="s">
        <v>305</v>
      </c>
      <c r="B39" s="22" t="s">
        <v>306</v>
      </c>
      <c r="C39" s="22" t="s">
        <v>15</v>
      </c>
      <c r="D39" s="22" t="s">
        <v>60</v>
      </c>
      <c r="E39" s="22" t="s">
        <v>307</v>
      </c>
      <c r="F39" s="23" t="n">
        <v>12234.44</v>
      </c>
      <c r="G39" s="24" t="n">
        <v>1.0802</v>
      </c>
      <c r="H39" s="24" t="n">
        <v>0.4994</v>
      </c>
      <c r="I39" s="22" t="s">
        <v>203</v>
      </c>
      <c r="J39" s="22"/>
      <c r="K39" s="23" t="n">
        <v>8733.58</v>
      </c>
      <c r="L39" s="22" t="s">
        <v>204</v>
      </c>
      <c r="M39" s="22" t="s">
        <v>205</v>
      </c>
    </row>
    <row r="40" customFormat="false" ht="15" hidden="false" customHeight="false" outlineLevel="0" collapsed="false">
      <c r="A40" s="22" t="s">
        <v>308</v>
      </c>
      <c r="B40" s="22" t="s">
        <v>309</v>
      </c>
      <c r="C40" s="22" t="s">
        <v>17</v>
      </c>
      <c r="D40" s="22" t="s">
        <v>59</v>
      </c>
      <c r="E40" s="22" t="s">
        <v>310</v>
      </c>
      <c r="F40" s="23" t="n">
        <v>98872.26</v>
      </c>
      <c r="G40" s="24" t="n">
        <v>1.1741</v>
      </c>
      <c r="H40" s="24" t="n">
        <v>0.277</v>
      </c>
      <c r="I40" s="22" t="s">
        <v>203</v>
      </c>
      <c r="J40" s="22"/>
      <c r="K40" s="23" t="n">
        <v>42622.02</v>
      </c>
      <c r="L40" s="22" t="s">
        <v>204</v>
      </c>
      <c r="M40" s="22" t="s">
        <v>205</v>
      </c>
    </row>
    <row r="41" customFormat="false" ht="15" hidden="false" customHeight="false" outlineLevel="0" collapsed="false">
      <c r="A41" s="22" t="s">
        <v>311</v>
      </c>
      <c r="B41" s="22" t="s">
        <v>312</v>
      </c>
      <c r="C41" s="22" t="s">
        <v>17</v>
      </c>
      <c r="D41" s="22" t="s">
        <v>58</v>
      </c>
      <c r="E41" s="22" t="s">
        <v>313</v>
      </c>
      <c r="F41" s="23" t="n">
        <v>51432.99</v>
      </c>
      <c r="G41" s="24" t="n">
        <v>1.1739</v>
      </c>
      <c r="H41" s="24" t="n">
        <v>0.3844</v>
      </c>
      <c r="I41" s="22" t="s">
        <v>203</v>
      </c>
      <c r="J41" s="22"/>
      <c r="K41" s="23" t="n">
        <v>30763.16</v>
      </c>
      <c r="L41" s="22" t="s">
        <v>204</v>
      </c>
      <c r="M41" s="22" t="s">
        <v>205</v>
      </c>
    </row>
    <row r="42" customFormat="false" ht="15" hidden="false" customHeight="false" outlineLevel="0" collapsed="false">
      <c r="A42" s="22" t="s">
        <v>314</v>
      </c>
      <c r="B42" s="22" t="s">
        <v>315</v>
      </c>
      <c r="C42" s="22" t="s">
        <v>19</v>
      </c>
      <c r="D42" s="22" t="s">
        <v>61</v>
      </c>
      <c r="E42" s="22" t="s">
        <v>316</v>
      </c>
      <c r="F42" s="23" t="n">
        <v>6003.86</v>
      </c>
      <c r="G42" s="24" t="n">
        <v>1.0515</v>
      </c>
      <c r="H42" s="24" t="n">
        <v>0.7368</v>
      </c>
      <c r="I42" s="22" t="s">
        <v>203</v>
      </c>
      <c r="J42" s="22"/>
      <c r="K42" s="23" t="n">
        <v>6212.78</v>
      </c>
      <c r="L42" s="22" t="s">
        <v>204</v>
      </c>
      <c r="M42" s="22" t="s">
        <v>205</v>
      </c>
    </row>
    <row r="43" customFormat="false" ht="15" hidden="false" customHeight="false" outlineLevel="0" collapsed="false">
      <c r="A43" s="22" t="s">
        <v>317</v>
      </c>
      <c r="B43" s="22" t="s">
        <v>318</v>
      </c>
      <c r="C43" s="22" t="s">
        <v>19</v>
      </c>
      <c r="D43" s="22" t="s">
        <v>58</v>
      </c>
      <c r="E43" s="22" t="s">
        <v>319</v>
      </c>
      <c r="F43" s="23" t="n">
        <v>31151.89</v>
      </c>
      <c r="G43" s="24" t="n">
        <v>1.1559</v>
      </c>
      <c r="H43" s="24" t="n">
        <v>0.145</v>
      </c>
      <c r="I43" s="22" t="s">
        <v>203</v>
      </c>
      <c r="J43" s="22"/>
      <c r="K43" s="23" t="n">
        <v>6973.8</v>
      </c>
      <c r="L43" s="22" t="s">
        <v>204</v>
      </c>
      <c r="M43" s="22" t="s">
        <v>205</v>
      </c>
    </row>
    <row r="44" customFormat="false" ht="15" hidden="false" customHeight="false" outlineLevel="0" collapsed="false">
      <c r="A44" s="22" t="s">
        <v>320</v>
      </c>
      <c r="B44" s="22" t="s">
        <v>321</v>
      </c>
      <c r="C44" s="22" t="s">
        <v>15</v>
      </c>
      <c r="D44" s="22" t="s">
        <v>61</v>
      </c>
      <c r="E44" s="22" t="s">
        <v>322</v>
      </c>
      <c r="F44" s="23" t="n">
        <v>9495.65</v>
      </c>
      <c r="G44" s="24" t="n">
        <v>1.2318</v>
      </c>
      <c r="H44" s="24" t="n">
        <v>0.302</v>
      </c>
      <c r="I44" s="22" t="s">
        <v>203</v>
      </c>
      <c r="J44" s="22"/>
      <c r="K44" s="23" t="n">
        <v>4674.41</v>
      </c>
      <c r="L44" s="22" t="s">
        <v>204</v>
      </c>
      <c r="M44" s="22" t="s">
        <v>205</v>
      </c>
    </row>
    <row r="45" customFormat="false" ht="15" hidden="false" customHeight="false" outlineLevel="0" collapsed="false">
      <c r="A45" s="22" t="s">
        <v>323</v>
      </c>
      <c r="B45" s="22" t="s">
        <v>324</v>
      </c>
      <c r="C45" s="22" t="s">
        <v>19</v>
      </c>
      <c r="D45" s="22" t="s">
        <v>59</v>
      </c>
      <c r="E45" s="22" t="s">
        <v>325</v>
      </c>
      <c r="F45" s="23" t="n">
        <v>168287.27</v>
      </c>
      <c r="G45" s="24" t="n">
        <v>1.0081</v>
      </c>
      <c r="H45" s="24" t="n">
        <v>0.4956</v>
      </c>
      <c r="I45" s="22" t="s">
        <v>203</v>
      </c>
      <c r="J45" s="22"/>
      <c r="K45" s="23" t="n">
        <v>112300.77</v>
      </c>
      <c r="L45" s="22" t="s">
        <v>204</v>
      </c>
      <c r="M45" s="22" t="s">
        <v>205</v>
      </c>
    </row>
    <row r="46" customFormat="false" ht="15" hidden="false" customHeight="false" outlineLevel="0" collapsed="false">
      <c r="A46" s="22" t="s">
        <v>326</v>
      </c>
      <c r="B46" s="22" t="s">
        <v>327</v>
      </c>
      <c r="C46" s="22" t="s">
        <v>17</v>
      </c>
      <c r="D46" s="22" t="s">
        <v>58</v>
      </c>
      <c r="E46" s="22" t="s">
        <v>328</v>
      </c>
      <c r="F46" s="23" t="n">
        <v>58054.35</v>
      </c>
      <c r="G46" s="24" t="n">
        <v>1.1922</v>
      </c>
      <c r="H46" s="24" t="n">
        <v>0.9485</v>
      </c>
      <c r="I46" s="22" t="s">
        <v>203</v>
      </c>
      <c r="J46" s="22"/>
      <c r="K46" s="23" t="n">
        <v>87015.36</v>
      </c>
      <c r="L46" s="22" t="s">
        <v>204</v>
      </c>
      <c r="M46" s="22" t="s">
        <v>205</v>
      </c>
    </row>
    <row r="47" customFormat="false" ht="15" hidden="false" customHeight="false" outlineLevel="0" collapsed="false">
      <c r="A47" s="22" t="s">
        <v>329</v>
      </c>
      <c r="B47" s="22" t="s">
        <v>330</v>
      </c>
      <c r="C47" s="22" t="s">
        <v>15</v>
      </c>
      <c r="D47" s="22" t="s">
        <v>60</v>
      </c>
      <c r="E47" s="22" t="s">
        <v>331</v>
      </c>
      <c r="F47" s="23" t="n">
        <v>22584.36</v>
      </c>
      <c r="G47" s="24" t="n">
        <v>1.1695</v>
      </c>
      <c r="H47" s="24" t="n">
        <v>0.2263</v>
      </c>
      <c r="I47" s="22" t="s">
        <v>203</v>
      </c>
      <c r="J47" s="22"/>
      <c r="K47" s="23" t="n">
        <v>7909.48</v>
      </c>
      <c r="L47" s="22" t="s">
        <v>204</v>
      </c>
      <c r="M47" s="22" t="s">
        <v>205</v>
      </c>
    </row>
    <row r="48" customFormat="false" ht="15" hidden="false" customHeight="false" outlineLevel="0" collapsed="false">
      <c r="A48" s="22" t="s">
        <v>332</v>
      </c>
      <c r="B48" s="22" t="s">
        <v>333</v>
      </c>
      <c r="C48" s="22" t="s">
        <v>17</v>
      </c>
      <c r="D48" s="22" t="s">
        <v>58</v>
      </c>
      <c r="E48" s="22" t="s">
        <v>334</v>
      </c>
      <c r="F48" s="23" t="n">
        <v>42951.11</v>
      </c>
      <c r="G48" s="24" t="n">
        <v>1.1139</v>
      </c>
      <c r="H48" s="24" t="n">
        <v>0.9063</v>
      </c>
      <c r="I48" s="22" t="s">
        <v>203</v>
      </c>
      <c r="J48" s="22"/>
      <c r="K48" s="23" t="n">
        <v>57473.45</v>
      </c>
      <c r="L48" s="22" t="s">
        <v>204</v>
      </c>
      <c r="M48" s="22" t="s">
        <v>205</v>
      </c>
    </row>
    <row r="49" customFormat="false" ht="15" hidden="false" customHeight="false" outlineLevel="0" collapsed="false">
      <c r="A49" s="22" t="s">
        <v>335</v>
      </c>
      <c r="B49" s="22" t="s">
        <v>336</v>
      </c>
      <c r="C49" s="22" t="s">
        <v>15</v>
      </c>
      <c r="D49" s="22" t="s">
        <v>60</v>
      </c>
      <c r="E49" s="22" t="s">
        <v>337</v>
      </c>
      <c r="F49" s="23" t="n">
        <v>7939.98</v>
      </c>
      <c r="G49" s="24" t="n">
        <v>1.1242</v>
      </c>
      <c r="H49" s="24" t="n">
        <v>0.7656</v>
      </c>
      <c r="I49" s="22" t="s">
        <v>203</v>
      </c>
      <c r="J49" s="22"/>
      <c r="K49" s="23" t="n">
        <v>9043.16</v>
      </c>
      <c r="L49" s="22" t="s">
        <v>204</v>
      </c>
      <c r="M49" s="22" t="s">
        <v>205</v>
      </c>
    </row>
    <row r="50" customFormat="false" ht="15" hidden="false" customHeight="false" outlineLevel="0" collapsed="false">
      <c r="A50" s="22" t="s">
        <v>338</v>
      </c>
      <c r="B50" s="22" t="s">
        <v>339</v>
      </c>
      <c r="C50" s="22" t="s">
        <v>15</v>
      </c>
      <c r="D50" s="22" t="s">
        <v>62</v>
      </c>
      <c r="E50" s="22" t="s">
        <v>340</v>
      </c>
      <c r="F50" s="23" t="n">
        <v>1452970.59</v>
      </c>
      <c r="G50" s="24" t="n">
        <v>1.0586</v>
      </c>
      <c r="H50" s="24" t="n">
        <v>0.6312</v>
      </c>
      <c r="I50" s="22" t="s">
        <v>203</v>
      </c>
      <c r="J50" s="22"/>
      <c r="K50" s="23" t="n">
        <v>1284727.36</v>
      </c>
      <c r="L50" s="22" t="s">
        <v>204</v>
      </c>
      <c r="M50" s="22" t="s">
        <v>205</v>
      </c>
    </row>
    <row r="51" customFormat="false" ht="15" hidden="false" customHeight="false" outlineLevel="0" collapsed="false">
      <c r="A51" s="22" t="s">
        <v>341</v>
      </c>
      <c r="B51" s="22" t="s">
        <v>342</v>
      </c>
      <c r="C51" s="22" t="s">
        <v>15</v>
      </c>
      <c r="D51" s="22" t="s">
        <v>60</v>
      </c>
      <c r="E51" s="22" t="s">
        <v>343</v>
      </c>
      <c r="F51" s="23" t="n">
        <v>10729.33</v>
      </c>
      <c r="G51" s="24" t="n">
        <v>1.2156</v>
      </c>
      <c r="H51" s="24" t="n">
        <v>0.5976</v>
      </c>
      <c r="I51" s="22" t="s">
        <v>203</v>
      </c>
      <c r="J51" s="22"/>
      <c r="K51" s="23" t="n">
        <v>10314.05</v>
      </c>
      <c r="L51" s="22" t="s">
        <v>204</v>
      </c>
      <c r="M51" s="22" t="s">
        <v>205</v>
      </c>
    </row>
    <row r="52" customFormat="false" ht="15" hidden="false" customHeight="false" outlineLevel="0" collapsed="false">
      <c r="A52" s="22" t="s">
        <v>344</v>
      </c>
      <c r="B52" s="22" t="s">
        <v>345</v>
      </c>
      <c r="C52" s="22" t="s">
        <v>19</v>
      </c>
      <c r="D52" s="22" t="s">
        <v>61</v>
      </c>
      <c r="E52" s="22" t="s">
        <v>346</v>
      </c>
      <c r="F52" s="23" t="n">
        <v>4740.47</v>
      </c>
      <c r="G52" s="24" t="n">
        <v>1.1684</v>
      </c>
      <c r="H52" s="24" t="n">
        <v>0.7392</v>
      </c>
      <c r="I52" s="22" t="s">
        <v>203</v>
      </c>
      <c r="J52" s="22"/>
      <c r="K52" s="23" t="n">
        <v>5468.54</v>
      </c>
      <c r="L52" s="22" t="s">
        <v>204</v>
      </c>
      <c r="M52" s="22" t="s">
        <v>205</v>
      </c>
    </row>
    <row r="53" customFormat="false" ht="15" hidden="false" customHeight="false" outlineLevel="0" collapsed="false">
      <c r="A53" s="22" t="s">
        <v>347</v>
      </c>
      <c r="B53" s="22" t="s">
        <v>348</v>
      </c>
      <c r="C53" s="22" t="s">
        <v>19</v>
      </c>
      <c r="D53" s="22" t="s">
        <v>58</v>
      </c>
      <c r="E53" s="22" t="s">
        <v>349</v>
      </c>
      <c r="F53" s="23" t="n">
        <v>19446.94</v>
      </c>
      <c r="G53" s="24" t="n">
        <v>1.2455</v>
      </c>
      <c r="H53" s="24" t="n">
        <v>0.2591</v>
      </c>
      <c r="I53" s="22" t="s">
        <v>203</v>
      </c>
      <c r="J53" s="22"/>
      <c r="K53" s="23" t="n">
        <v>8382.22</v>
      </c>
      <c r="L53" s="22" t="s">
        <v>204</v>
      </c>
      <c r="M53" s="22" t="s">
        <v>205</v>
      </c>
    </row>
    <row r="54" customFormat="false" ht="15" hidden="false" customHeight="false" outlineLevel="0" collapsed="false">
      <c r="A54" s="22" t="s">
        <v>350</v>
      </c>
      <c r="B54" s="22" t="s">
        <v>351</v>
      </c>
      <c r="C54" s="22" t="s">
        <v>17</v>
      </c>
      <c r="D54" s="22" t="s">
        <v>59</v>
      </c>
      <c r="E54" s="22" t="s">
        <v>352</v>
      </c>
      <c r="F54" s="23" t="n">
        <v>42094.62</v>
      </c>
      <c r="G54" s="24" t="n">
        <v>1.0379</v>
      </c>
      <c r="H54" s="24" t="n">
        <v>0.2136</v>
      </c>
      <c r="I54" s="22" t="s">
        <v>203</v>
      </c>
      <c r="J54" s="22"/>
      <c r="K54" s="23" t="n">
        <v>12369.67</v>
      </c>
      <c r="L54" s="22" t="s">
        <v>204</v>
      </c>
      <c r="M54" s="22" t="s">
        <v>205</v>
      </c>
    </row>
    <row r="55" customFormat="false" ht="15" hidden="false" customHeight="false" outlineLevel="0" collapsed="false">
      <c r="A55" s="22" t="s">
        <v>353</v>
      </c>
      <c r="B55" s="22" t="s">
        <v>354</v>
      </c>
      <c r="C55" s="22" t="s">
        <v>17</v>
      </c>
      <c r="D55" s="22" t="s">
        <v>61</v>
      </c>
      <c r="E55" s="22" t="s">
        <v>355</v>
      </c>
      <c r="F55" s="23" t="n">
        <v>6680.51</v>
      </c>
      <c r="G55" s="24" t="n">
        <v>1.2964</v>
      </c>
      <c r="H55" s="24" t="n">
        <v>0.9272</v>
      </c>
      <c r="I55" s="22" t="s">
        <v>203</v>
      </c>
      <c r="J55" s="22"/>
      <c r="K55" s="23" t="n">
        <v>10643.8</v>
      </c>
      <c r="L55" s="22" t="s">
        <v>204</v>
      </c>
      <c r="M55" s="22" t="s">
        <v>205</v>
      </c>
    </row>
    <row r="56" customFormat="false" ht="15" hidden="false" customHeight="false" outlineLevel="0" collapsed="false">
      <c r="A56" s="22" t="s">
        <v>356</v>
      </c>
      <c r="B56" s="22" t="s">
        <v>357</v>
      </c>
      <c r="C56" s="22" t="s">
        <v>17</v>
      </c>
      <c r="D56" s="22" t="s">
        <v>58</v>
      </c>
      <c r="E56" s="22" t="s">
        <v>358</v>
      </c>
      <c r="F56" s="23" t="n">
        <v>32723.25</v>
      </c>
      <c r="G56" s="24" t="n">
        <v>1.0966</v>
      </c>
      <c r="H56" s="24" t="n">
        <v>0.1673</v>
      </c>
      <c r="I56" s="22" t="s">
        <v>203</v>
      </c>
      <c r="J56" s="22"/>
      <c r="K56" s="23" t="n">
        <v>7957.48</v>
      </c>
      <c r="L56" s="22" t="s">
        <v>204</v>
      </c>
      <c r="M56" s="22" t="s">
        <v>205</v>
      </c>
    </row>
    <row r="57" customFormat="false" ht="15" hidden="false" customHeight="false" outlineLevel="0" collapsed="false">
      <c r="A57" s="22" t="s">
        <v>359</v>
      </c>
      <c r="B57" s="22" t="s">
        <v>360</v>
      </c>
      <c r="C57" s="22" t="s">
        <v>19</v>
      </c>
      <c r="D57" s="22" t="s">
        <v>58</v>
      </c>
      <c r="E57" s="22" t="s">
        <v>361</v>
      </c>
      <c r="F57" s="23" t="n">
        <v>33756.79</v>
      </c>
      <c r="G57" s="24" t="n">
        <v>1.1782</v>
      </c>
      <c r="H57" s="24" t="n">
        <v>0.6496</v>
      </c>
      <c r="I57" s="22" t="s">
        <v>203</v>
      </c>
      <c r="J57" s="22"/>
      <c r="K57" s="23" t="n">
        <v>34508.23</v>
      </c>
      <c r="L57" s="22" t="s">
        <v>204</v>
      </c>
      <c r="M57" s="22" t="s">
        <v>205</v>
      </c>
    </row>
    <row r="58" customFormat="false" ht="15" hidden="false" customHeight="false" outlineLevel="0" collapsed="false">
      <c r="A58" s="22" t="s">
        <v>362</v>
      </c>
      <c r="B58" s="22" t="s">
        <v>363</v>
      </c>
      <c r="C58" s="22" t="s">
        <v>17</v>
      </c>
      <c r="D58" s="22" t="s">
        <v>61</v>
      </c>
      <c r="E58" s="22" t="s">
        <v>364</v>
      </c>
      <c r="F58" s="23" t="n">
        <v>4416.94</v>
      </c>
      <c r="G58" s="24" t="n">
        <v>1.1711</v>
      </c>
      <c r="H58" s="24" t="n">
        <v>0.4544</v>
      </c>
      <c r="I58" s="22" t="s">
        <v>203</v>
      </c>
      <c r="J58" s="22"/>
      <c r="K58" s="23" t="n">
        <v>3115.51</v>
      </c>
      <c r="L58" s="22" t="s">
        <v>204</v>
      </c>
      <c r="M58" s="22" t="s">
        <v>205</v>
      </c>
    </row>
    <row r="59" customFormat="false" ht="15" hidden="false" customHeight="false" outlineLevel="0" collapsed="false">
      <c r="A59" s="22" t="s">
        <v>365</v>
      </c>
      <c r="B59" s="22" t="s">
        <v>366</v>
      </c>
      <c r="C59" s="22" t="s">
        <v>17</v>
      </c>
      <c r="D59" s="22" t="s">
        <v>59</v>
      </c>
      <c r="E59" s="22" t="s">
        <v>367</v>
      </c>
      <c r="F59" s="23" t="n">
        <v>49298.17</v>
      </c>
      <c r="G59" s="24" t="n">
        <v>1.1981</v>
      </c>
      <c r="H59" s="24" t="n">
        <v>0.3606</v>
      </c>
      <c r="I59" s="22" t="s">
        <v>203</v>
      </c>
      <c r="J59" s="22"/>
      <c r="K59" s="23" t="n">
        <v>28230.87</v>
      </c>
      <c r="L59" s="22" t="s">
        <v>204</v>
      </c>
      <c r="M59" s="22" t="s">
        <v>205</v>
      </c>
    </row>
    <row r="60" customFormat="false" ht="15" hidden="false" customHeight="false" outlineLevel="0" collapsed="false">
      <c r="A60" s="22" t="s">
        <v>368</v>
      </c>
      <c r="B60" s="22" t="s">
        <v>369</v>
      </c>
      <c r="C60" s="22" t="s">
        <v>17</v>
      </c>
      <c r="D60" s="22" t="s">
        <v>60</v>
      </c>
      <c r="E60" s="22" t="s">
        <v>370</v>
      </c>
      <c r="F60" s="23" t="n">
        <v>22665.23</v>
      </c>
      <c r="G60" s="24" t="n">
        <v>1.2682</v>
      </c>
      <c r="H60" s="24" t="n">
        <v>0.7256</v>
      </c>
      <c r="I60" s="22" t="s">
        <v>203</v>
      </c>
      <c r="J60" s="22"/>
      <c r="K60" s="23" t="n">
        <v>27645.21</v>
      </c>
      <c r="L60" s="22" t="s">
        <v>204</v>
      </c>
      <c r="M60" s="22" t="s">
        <v>205</v>
      </c>
    </row>
    <row r="61" customFormat="false" ht="15" hidden="false" customHeight="false" outlineLevel="0" collapsed="false">
      <c r="A61" s="22" t="s">
        <v>371</v>
      </c>
      <c r="B61" s="22" t="s">
        <v>372</v>
      </c>
      <c r="C61" s="22" t="s">
        <v>15</v>
      </c>
      <c r="D61" s="22" t="s">
        <v>60</v>
      </c>
      <c r="E61" s="22" t="s">
        <v>373</v>
      </c>
      <c r="F61" s="23" t="n">
        <v>15104.41</v>
      </c>
      <c r="G61" s="24" t="n">
        <v>1.1903</v>
      </c>
      <c r="H61" s="24" t="n">
        <v>0.4175</v>
      </c>
      <c r="I61" s="22" t="s">
        <v>203</v>
      </c>
      <c r="J61" s="22"/>
      <c r="K61" s="23" t="n">
        <v>9932.81</v>
      </c>
      <c r="L61" s="22" t="s">
        <v>204</v>
      </c>
      <c r="M61" s="22" t="s">
        <v>205</v>
      </c>
    </row>
    <row r="62" customFormat="false" ht="15" hidden="false" customHeight="false" outlineLevel="0" collapsed="false">
      <c r="A62" s="22" t="s">
        <v>374</v>
      </c>
      <c r="B62" s="22" t="s">
        <v>375</v>
      </c>
      <c r="C62" s="22" t="s">
        <v>15</v>
      </c>
      <c r="D62" s="22" t="s">
        <v>58</v>
      </c>
      <c r="E62" s="22" t="s">
        <v>376</v>
      </c>
      <c r="F62" s="23" t="n">
        <v>66651.51</v>
      </c>
      <c r="G62" s="24" t="n">
        <v>1.042</v>
      </c>
      <c r="H62" s="24" t="n">
        <v>0.0465</v>
      </c>
      <c r="I62" s="22" t="s">
        <v>203</v>
      </c>
      <c r="J62" s="22"/>
      <c r="K62" s="23" t="n">
        <v>4273.52</v>
      </c>
      <c r="L62" s="22" t="s">
        <v>204</v>
      </c>
      <c r="M62" s="22" t="s">
        <v>205</v>
      </c>
    </row>
    <row r="63" customFormat="false" ht="15" hidden="false" customHeight="false" outlineLevel="0" collapsed="false">
      <c r="A63" s="22" t="s">
        <v>377</v>
      </c>
      <c r="B63" s="22" t="s">
        <v>378</v>
      </c>
      <c r="C63" s="22" t="s">
        <v>17</v>
      </c>
      <c r="D63" s="22" t="s">
        <v>61</v>
      </c>
      <c r="E63" s="22" t="s">
        <v>379</v>
      </c>
      <c r="F63" s="23" t="n">
        <v>9008.64</v>
      </c>
      <c r="G63" s="24" t="n">
        <v>1.065</v>
      </c>
      <c r="H63" s="24" t="n">
        <v>0.2845</v>
      </c>
      <c r="I63" s="22" t="s">
        <v>203</v>
      </c>
      <c r="J63" s="22"/>
      <c r="K63" s="23" t="n">
        <v>3617.98</v>
      </c>
      <c r="L63" s="22" t="s">
        <v>204</v>
      </c>
      <c r="M63" s="22" t="s">
        <v>205</v>
      </c>
    </row>
    <row r="64" customFormat="false" ht="15" hidden="false" customHeight="false" outlineLevel="0" collapsed="false">
      <c r="A64" s="22" t="s">
        <v>380</v>
      </c>
      <c r="B64" s="22" t="s">
        <v>381</v>
      </c>
      <c r="C64" s="22" t="s">
        <v>17</v>
      </c>
      <c r="D64" s="22" t="s">
        <v>59</v>
      </c>
      <c r="E64" s="22" t="s">
        <v>382</v>
      </c>
      <c r="F64" s="23" t="n">
        <v>170685.86</v>
      </c>
      <c r="G64" s="24" t="n">
        <v>1.2804</v>
      </c>
      <c r="H64" s="24" t="n">
        <v>0.8668</v>
      </c>
      <c r="I64" s="22" t="s">
        <v>203</v>
      </c>
      <c r="J64" s="22"/>
      <c r="K64" s="23" t="n">
        <v>251094.28</v>
      </c>
      <c r="L64" s="22" t="s">
        <v>204</v>
      </c>
      <c r="M64" s="22" t="s">
        <v>205</v>
      </c>
    </row>
    <row r="65" customFormat="false" ht="15" hidden="false" customHeight="false" outlineLevel="0" collapsed="false">
      <c r="A65" s="22" t="s">
        <v>383</v>
      </c>
      <c r="B65" s="22" t="s">
        <v>384</v>
      </c>
      <c r="C65" s="22" t="s">
        <v>19</v>
      </c>
      <c r="D65" s="22" t="s">
        <v>60</v>
      </c>
      <c r="E65" s="22" t="s">
        <v>385</v>
      </c>
      <c r="F65" s="23" t="n">
        <v>24191.93</v>
      </c>
      <c r="G65" s="24" t="n">
        <v>1.1191</v>
      </c>
      <c r="H65" s="24" t="n">
        <v>0.8828</v>
      </c>
      <c r="I65" s="22" t="s">
        <v>203</v>
      </c>
      <c r="J65" s="22"/>
      <c r="K65" s="23" t="n">
        <v>31922.6</v>
      </c>
      <c r="L65" s="22" t="s">
        <v>204</v>
      </c>
      <c r="M65" s="22" t="s">
        <v>205</v>
      </c>
    </row>
    <row r="66" customFormat="false" ht="15" hidden="false" customHeight="false" outlineLevel="0" collapsed="false">
      <c r="A66" s="22" t="s">
        <v>386</v>
      </c>
      <c r="B66" s="22" t="s">
        <v>387</v>
      </c>
      <c r="C66" s="22" t="s">
        <v>15</v>
      </c>
      <c r="D66" s="22" t="s">
        <v>60</v>
      </c>
      <c r="E66" s="22" t="s">
        <v>388</v>
      </c>
      <c r="F66" s="23" t="n">
        <v>27078.89</v>
      </c>
      <c r="G66" s="24" t="n">
        <v>1.2656</v>
      </c>
      <c r="H66" s="24" t="n">
        <v>0.6909</v>
      </c>
      <c r="I66" s="22" t="s">
        <v>203</v>
      </c>
      <c r="J66" s="22"/>
      <c r="K66" s="23" t="n">
        <v>31332.7</v>
      </c>
      <c r="L66" s="22" t="s">
        <v>204</v>
      </c>
      <c r="M66" s="22" t="s">
        <v>205</v>
      </c>
    </row>
    <row r="67" customFormat="false" ht="15" hidden="false" customHeight="false" outlineLevel="0" collapsed="false">
      <c r="A67" s="22" t="s">
        <v>389</v>
      </c>
      <c r="B67" s="22" t="s">
        <v>390</v>
      </c>
      <c r="C67" s="22" t="s">
        <v>15</v>
      </c>
      <c r="D67" s="22" t="s">
        <v>61</v>
      </c>
      <c r="E67" s="22" t="s">
        <v>391</v>
      </c>
      <c r="F67" s="23" t="n">
        <v>6339.45</v>
      </c>
      <c r="G67" s="24" t="n">
        <v>1.2303</v>
      </c>
      <c r="H67" s="24" t="n">
        <v>0.9257</v>
      </c>
      <c r="I67" s="22" t="s">
        <v>203</v>
      </c>
      <c r="J67" s="22"/>
      <c r="K67" s="23" t="n">
        <v>9554.06</v>
      </c>
      <c r="L67" s="22" t="s">
        <v>204</v>
      </c>
      <c r="M67" s="22" t="s">
        <v>205</v>
      </c>
    </row>
    <row r="68" customFormat="false" ht="15" hidden="false" customHeight="false" outlineLevel="0" collapsed="false">
      <c r="A68" s="22" t="s">
        <v>392</v>
      </c>
      <c r="B68" s="22" t="s">
        <v>393</v>
      </c>
      <c r="C68" s="22" t="s">
        <v>17</v>
      </c>
      <c r="D68" s="22" t="s">
        <v>61</v>
      </c>
      <c r="E68" s="22" t="s">
        <v>394</v>
      </c>
      <c r="F68" s="23" t="n">
        <v>7980.53</v>
      </c>
      <c r="G68" s="24" t="n">
        <v>1.1815</v>
      </c>
      <c r="H68" s="24" t="n">
        <v>0.6448</v>
      </c>
      <c r="I68" s="22" t="s">
        <v>203</v>
      </c>
      <c r="J68" s="22"/>
      <c r="K68" s="23" t="n">
        <v>8058.7</v>
      </c>
      <c r="L68" s="22" t="s">
        <v>204</v>
      </c>
      <c r="M68" s="22" t="s">
        <v>205</v>
      </c>
    </row>
    <row r="69" customFormat="false" ht="15" hidden="false" customHeight="false" outlineLevel="0" collapsed="false">
      <c r="A69" s="22" t="s">
        <v>395</v>
      </c>
      <c r="B69" s="22" t="s">
        <v>396</v>
      </c>
      <c r="C69" s="22" t="s">
        <v>17</v>
      </c>
      <c r="D69" s="22" t="s">
        <v>61</v>
      </c>
      <c r="E69" s="22" t="s">
        <v>397</v>
      </c>
      <c r="F69" s="23" t="n">
        <v>9655.83</v>
      </c>
      <c r="G69" s="24" t="n">
        <v>1.1765</v>
      </c>
      <c r="H69" s="24" t="n">
        <v>0.2137</v>
      </c>
      <c r="I69" s="22" t="s">
        <v>203</v>
      </c>
      <c r="J69" s="22"/>
      <c r="K69" s="23" t="n">
        <v>3217.81</v>
      </c>
      <c r="L69" s="22" t="s">
        <v>204</v>
      </c>
      <c r="M69" s="22" t="s">
        <v>205</v>
      </c>
    </row>
    <row r="70" customFormat="false" ht="15" hidden="false" customHeight="false" outlineLevel="0" collapsed="false">
      <c r="A70" s="22" t="s">
        <v>398</v>
      </c>
      <c r="B70" s="22" t="s">
        <v>399</v>
      </c>
      <c r="C70" s="22" t="s">
        <v>15</v>
      </c>
      <c r="D70" s="22" t="s">
        <v>58</v>
      </c>
      <c r="E70" s="22" t="s">
        <v>400</v>
      </c>
      <c r="F70" s="23" t="n">
        <v>80541.91</v>
      </c>
      <c r="G70" s="24" t="n">
        <v>1.2609</v>
      </c>
      <c r="H70" s="24" t="n">
        <v>0.6621</v>
      </c>
      <c r="I70" s="22" t="s">
        <v>203</v>
      </c>
      <c r="J70" s="22"/>
      <c r="K70" s="23" t="n">
        <v>88977.75</v>
      </c>
      <c r="L70" s="22" t="s">
        <v>204</v>
      </c>
      <c r="M70" s="22" t="s">
        <v>205</v>
      </c>
    </row>
    <row r="71" customFormat="false" ht="15" hidden="false" customHeight="false" outlineLevel="0" collapsed="false">
      <c r="A71" s="22" t="s">
        <v>401</v>
      </c>
      <c r="B71" s="22" t="s">
        <v>402</v>
      </c>
      <c r="C71" s="22" t="s">
        <v>17</v>
      </c>
      <c r="D71" s="22" t="s">
        <v>59</v>
      </c>
      <c r="E71" s="22" t="s">
        <v>403</v>
      </c>
      <c r="F71" s="23" t="n">
        <v>73744.65</v>
      </c>
      <c r="G71" s="24" t="n">
        <v>1.1021</v>
      </c>
      <c r="H71" s="24" t="n">
        <v>0.6027</v>
      </c>
      <c r="I71" s="22" t="s">
        <v>203</v>
      </c>
      <c r="J71" s="22"/>
      <c r="K71" s="23" t="n">
        <v>64927.31</v>
      </c>
      <c r="L71" s="22" t="s">
        <v>204</v>
      </c>
      <c r="M71" s="22" t="s">
        <v>205</v>
      </c>
    </row>
    <row r="72" customFormat="false" ht="15" hidden="false" customHeight="false" outlineLevel="0" collapsed="false">
      <c r="A72" s="22" t="s">
        <v>404</v>
      </c>
      <c r="B72" s="22" t="s">
        <v>405</v>
      </c>
      <c r="C72" s="22" t="s">
        <v>17</v>
      </c>
      <c r="D72" s="22" t="s">
        <v>61</v>
      </c>
      <c r="E72" s="22" t="s">
        <v>406</v>
      </c>
      <c r="F72" s="23" t="n">
        <v>8852.62</v>
      </c>
      <c r="G72" s="24" t="n">
        <v>1.2379</v>
      </c>
      <c r="H72" s="24" t="n">
        <v>0.1564</v>
      </c>
      <c r="I72" s="22" t="s">
        <v>203</v>
      </c>
      <c r="J72" s="22"/>
      <c r="K72" s="23" t="n">
        <v>2271.79</v>
      </c>
      <c r="L72" s="22" t="s">
        <v>204</v>
      </c>
      <c r="M72" s="22" t="s">
        <v>205</v>
      </c>
    </row>
    <row r="73" customFormat="false" ht="15" hidden="false" customHeight="false" outlineLevel="0" collapsed="false">
      <c r="A73" s="22" t="s">
        <v>407</v>
      </c>
      <c r="B73" s="22" t="s">
        <v>408</v>
      </c>
      <c r="C73" s="22" t="s">
        <v>17</v>
      </c>
      <c r="D73" s="22" t="s">
        <v>60</v>
      </c>
      <c r="E73" s="22" t="s">
        <v>409</v>
      </c>
      <c r="F73" s="23" t="n">
        <v>26270.95</v>
      </c>
      <c r="G73" s="24" t="n">
        <v>1.0923</v>
      </c>
      <c r="H73" s="24" t="n">
        <v>0.444</v>
      </c>
      <c r="I73" s="22" t="s">
        <v>203</v>
      </c>
      <c r="J73" s="22"/>
      <c r="K73" s="23" t="n">
        <v>16887.89</v>
      </c>
      <c r="L73" s="22" t="s">
        <v>204</v>
      </c>
      <c r="M73" s="22" t="s">
        <v>205</v>
      </c>
    </row>
    <row r="74" customFormat="false" ht="15" hidden="false" customHeight="false" outlineLevel="0" collapsed="false">
      <c r="A74" s="22" t="s">
        <v>410</v>
      </c>
      <c r="B74" s="22" t="s">
        <v>411</v>
      </c>
      <c r="C74" s="22" t="s">
        <v>15</v>
      </c>
      <c r="D74" s="22" t="s">
        <v>59</v>
      </c>
      <c r="E74" s="22" t="s">
        <v>412</v>
      </c>
      <c r="F74" s="23" t="n">
        <v>132610.6</v>
      </c>
      <c r="G74" s="24" t="n">
        <v>1.1205</v>
      </c>
      <c r="H74" s="24" t="n">
        <v>0.1634</v>
      </c>
      <c r="I74" s="22" t="s">
        <v>203</v>
      </c>
      <c r="J74" s="22"/>
      <c r="K74" s="23" t="n">
        <v>32129.02</v>
      </c>
      <c r="L74" s="22" t="s">
        <v>204</v>
      </c>
      <c r="M74" s="22" t="s">
        <v>205</v>
      </c>
    </row>
    <row r="75" customFormat="false" ht="15" hidden="false" customHeight="false" outlineLevel="0" collapsed="false">
      <c r="A75" s="22" t="s">
        <v>413</v>
      </c>
      <c r="B75" s="22" t="s">
        <v>414</v>
      </c>
      <c r="C75" s="22" t="s">
        <v>15</v>
      </c>
      <c r="D75" s="22" t="s">
        <v>60</v>
      </c>
      <c r="E75" s="22" t="s">
        <v>415</v>
      </c>
      <c r="F75" s="23" t="n">
        <v>30294.77</v>
      </c>
      <c r="G75" s="24" t="n">
        <v>1.0787</v>
      </c>
      <c r="H75" s="24" t="n">
        <v>0.211</v>
      </c>
      <c r="I75" s="22" t="s">
        <v>203</v>
      </c>
      <c r="J75" s="22"/>
      <c r="K75" s="23" t="n">
        <v>9124.44</v>
      </c>
      <c r="L75" s="22" t="s">
        <v>204</v>
      </c>
      <c r="M75" s="22" t="s">
        <v>205</v>
      </c>
    </row>
    <row r="76" customFormat="false" ht="15" hidden="false" customHeight="false" outlineLevel="0" collapsed="false">
      <c r="A76" s="22" t="s">
        <v>416</v>
      </c>
      <c r="B76" s="22" t="s">
        <v>417</v>
      </c>
      <c r="C76" s="22" t="s">
        <v>17</v>
      </c>
      <c r="D76" s="22" t="s">
        <v>62</v>
      </c>
      <c r="E76" s="22" t="s">
        <v>418</v>
      </c>
      <c r="F76" s="23" t="n">
        <v>759787.79</v>
      </c>
      <c r="G76" s="24" t="n">
        <v>1.0549</v>
      </c>
      <c r="H76" s="24" t="n">
        <v>0.1056</v>
      </c>
      <c r="I76" s="22" t="s">
        <v>203</v>
      </c>
      <c r="J76" s="22"/>
      <c r="K76" s="23" t="n">
        <v>112186.92</v>
      </c>
      <c r="L76" s="22" t="s">
        <v>204</v>
      </c>
      <c r="M76" s="22" t="s">
        <v>205</v>
      </c>
    </row>
    <row r="77" customFormat="false" ht="15" hidden="false" customHeight="false" outlineLevel="0" collapsed="false">
      <c r="A77" s="22" t="s">
        <v>419</v>
      </c>
      <c r="B77" s="22" t="s">
        <v>420</v>
      </c>
      <c r="C77" s="22" t="s">
        <v>17</v>
      </c>
      <c r="D77" s="22" t="s">
        <v>60</v>
      </c>
      <c r="E77" s="22" t="s">
        <v>421</v>
      </c>
      <c r="F77" s="23" t="n">
        <v>18339.29</v>
      </c>
      <c r="G77" s="24" t="n">
        <v>1.1879</v>
      </c>
      <c r="H77" s="24" t="n">
        <v>0.1791</v>
      </c>
      <c r="I77" s="22" t="s">
        <v>203</v>
      </c>
      <c r="J77" s="22"/>
      <c r="K77" s="23" t="n">
        <v>5171.69</v>
      </c>
      <c r="L77" s="22" t="s">
        <v>204</v>
      </c>
      <c r="M77" s="22" t="s">
        <v>205</v>
      </c>
    </row>
    <row r="78" customFormat="false" ht="15" hidden="false" customHeight="false" outlineLevel="0" collapsed="false">
      <c r="A78" s="22" t="s">
        <v>422</v>
      </c>
      <c r="B78" s="22" t="s">
        <v>423</v>
      </c>
      <c r="C78" s="22" t="s">
        <v>19</v>
      </c>
      <c r="D78" s="22" t="s">
        <v>60</v>
      </c>
      <c r="E78" s="22" t="s">
        <v>424</v>
      </c>
      <c r="F78" s="23" t="n">
        <v>23028.31</v>
      </c>
      <c r="G78" s="24" t="n">
        <v>1.1632</v>
      </c>
      <c r="H78" s="24" t="n">
        <v>0.7979</v>
      </c>
      <c r="I78" s="22" t="s">
        <v>203</v>
      </c>
      <c r="J78" s="22"/>
      <c r="K78" s="23" t="n">
        <v>28547.07</v>
      </c>
      <c r="L78" s="22" t="s">
        <v>204</v>
      </c>
      <c r="M78" s="22" t="s">
        <v>205</v>
      </c>
    </row>
    <row r="79" customFormat="false" ht="15" hidden="false" customHeight="false" outlineLevel="0" collapsed="false">
      <c r="A79" s="22" t="s">
        <v>425</v>
      </c>
      <c r="B79" s="22" t="s">
        <v>426</v>
      </c>
      <c r="C79" s="22" t="s">
        <v>19</v>
      </c>
      <c r="D79" s="22" t="s">
        <v>60</v>
      </c>
      <c r="E79" s="22" t="s">
        <v>427</v>
      </c>
      <c r="F79" s="23" t="n">
        <v>33226.76</v>
      </c>
      <c r="G79" s="24" t="n">
        <v>1.1746</v>
      </c>
      <c r="H79" s="24" t="n">
        <v>0.2224</v>
      </c>
      <c r="I79" s="22" t="s">
        <v>203</v>
      </c>
      <c r="J79" s="22"/>
      <c r="K79" s="23" t="n">
        <v>11593.36</v>
      </c>
      <c r="L79" s="22" t="s">
        <v>204</v>
      </c>
      <c r="M79" s="22" t="s">
        <v>205</v>
      </c>
    </row>
    <row r="80" customFormat="false" ht="15" hidden="false" customHeight="false" outlineLevel="0" collapsed="false">
      <c r="A80" s="22" t="s">
        <v>428</v>
      </c>
      <c r="B80" s="22" t="s">
        <v>429</v>
      </c>
      <c r="C80" s="22" t="s">
        <v>15</v>
      </c>
      <c r="D80" s="22" t="s">
        <v>61</v>
      </c>
      <c r="E80" s="22" t="s">
        <v>430</v>
      </c>
      <c r="F80" s="23" t="n">
        <v>5886.11</v>
      </c>
      <c r="G80" s="24" t="n">
        <v>1.1803</v>
      </c>
      <c r="H80" s="24" t="n">
        <v>0.2416</v>
      </c>
      <c r="I80" s="22" t="s">
        <v>203</v>
      </c>
      <c r="J80" s="22"/>
      <c r="K80" s="23" t="n">
        <v>2221.12</v>
      </c>
      <c r="L80" s="22" t="s">
        <v>204</v>
      </c>
      <c r="M80" s="22" t="s">
        <v>205</v>
      </c>
    </row>
    <row r="81" customFormat="false" ht="15" hidden="false" customHeight="false" outlineLevel="0" collapsed="false">
      <c r="A81" s="22" t="s">
        <v>431</v>
      </c>
      <c r="B81" s="22" t="s">
        <v>432</v>
      </c>
      <c r="C81" s="22" t="s">
        <v>15</v>
      </c>
      <c r="D81" s="22" t="s">
        <v>58</v>
      </c>
      <c r="E81" s="22" t="s">
        <v>433</v>
      </c>
      <c r="F81" s="23" t="n">
        <v>41449.6</v>
      </c>
      <c r="G81" s="24" t="n">
        <v>1.2699</v>
      </c>
      <c r="H81" s="24" t="n">
        <v>0.8039</v>
      </c>
      <c r="I81" s="22" t="s">
        <v>203</v>
      </c>
      <c r="J81" s="22"/>
      <c r="K81" s="23" t="n">
        <v>55994.73</v>
      </c>
      <c r="L81" s="22" t="s">
        <v>204</v>
      </c>
      <c r="M81" s="22" t="s">
        <v>205</v>
      </c>
    </row>
    <row r="82" customFormat="false" ht="15" hidden="false" customHeight="false" outlineLevel="0" collapsed="false">
      <c r="A82" s="22" t="s">
        <v>434</v>
      </c>
      <c r="B82" s="22" t="s">
        <v>435</v>
      </c>
      <c r="C82" s="22" t="s">
        <v>17</v>
      </c>
      <c r="D82" s="22" t="s">
        <v>61</v>
      </c>
      <c r="E82" s="22" t="s">
        <v>436</v>
      </c>
      <c r="F82" s="23" t="n">
        <v>9682.07</v>
      </c>
      <c r="G82" s="24" t="n">
        <v>1.2883</v>
      </c>
      <c r="H82" s="24" t="n">
        <v>0.6908</v>
      </c>
      <c r="I82" s="22" t="s">
        <v>203</v>
      </c>
      <c r="J82" s="22"/>
      <c r="K82" s="23" t="n">
        <v>11421.21</v>
      </c>
      <c r="L82" s="22" t="s">
        <v>204</v>
      </c>
      <c r="M82" s="22" t="s">
        <v>205</v>
      </c>
    </row>
    <row r="83" customFormat="false" ht="15" hidden="false" customHeight="false" outlineLevel="0" collapsed="false">
      <c r="A83" s="22" t="s">
        <v>437</v>
      </c>
      <c r="B83" s="22" t="s">
        <v>438</v>
      </c>
      <c r="C83" s="22" t="s">
        <v>15</v>
      </c>
      <c r="D83" s="22" t="s">
        <v>58</v>
      </c>
      <c r="E83" s="22" t="s">
        <v>439</v>
      </c>
      <c r="F83" s="23" t="n">
        <v>46949.95</v>
      </c>
      <c r="G83" s="24" t="n">
        <v>1.0353</v>
      </c>
      <c r="H83" s="24" t="n">
        <v>0.1678</v>
      </c>
      <c r="I83" s="22" t="s">
        <v>203</v>
      </c>
      <c r="J83" s="22"/>
      <c r="K83" s="23" t="n">
        <v>10793.16</v>
      </c>
      <c r="L83" s="22" t="s">
        <v>204</v>
      </c>
      <c r="M83" s="22" t="s">
        <v>205</v>
      </c>
    </row>
    <row r="84" customFormat="false" ht="15" hidden="false" customHeight="false" outlineLevel="0" collapsed="false">
      <c r="A84" s="22" t="s">
        <v>440</v>
      </c>
      <c r="B84" s="22" t="s">
        <v>441</v>
      </c>
      <c r="C84" s="22" t="s">
        <v>17</v>
      </c>
      <c r="D84" s="22" t="s">
        <v>61</v>
      </c>
      <c r="E84" s="22" t="s">
        <v>442</v>
      </c>
      <c r="F84" s="23" t="n">
        <v>7789.84</v>
      </c>
      <c r="G84" s="24" t="n">
        <v>1.1062</v>
      </c>
      <c r="H84" s="24" t="n">
        <v>0.0483</v>
      </c>
      <c r="I84" s="22" t="s">
        <v>203</v>
      </c>
      <c r="J84" s="22"/>
      <c r="K84" s="23" t="n">
        <v>551.68</v>
      </c>
      <c r="L84" s="22" t="s">
        <v>204</v>
      </c>
      <c r="M84" s="22" t="s">
        <v>205</v>
      </c>
    </row>
    <row r="85" customFormat="false" ht="15" hidden="false" customHeight="false" outlineLevel="0" collapsed="false">
      <c r="A85" s="22" t="s">
        <v>443</v>
      </c>
      <c r="B85" s="22" t="s">
        <v>444</v>
      </c>
      <c r="C85" s="22" t="s">
        <v>15</v>
      </c>
      <c r="D85" s="22" t="s">
        <v>58</v>
      </c>
      <c r="E85" s="22" t="s">
        <v>445</v>
      </c>
      <c r="F85" s="23" t="n">
        <v>72920.1</v>
      </c>
      <c r="G85" s="24" t="n">
        <v>1.1933</v>
      </c>
      <c r="H85" s="24" t="n">
        <v>0.9127</v>
      </c>
      <c r="I85" s="22" t="s">
        <v>203</v>
      </c>
      <c r="J85" s="22"/>
      <c r="K85" s="23" t="n">
        <v>105094.56</v>
      </c>
      <c r="L85" s="22" t="s">
        <v>204</v>
      </c>
      <c r="M85" s="22" t="s">
        <v>205</v>
      </c>
    </row>
    <row r="86" customFormat="false" ht="15" hidden="false" customHeight="false" outlineLevel="0" collapsed="false">
      <c r="A86" s="22" t="s">
        <v>446</v>
      </c>
      <c r="B86" s="22" t="s">
        <v>447</v>
      </c>
      <c r="C86" s="22" t="s">
        <v>15</v>
      </c>
      <c r="D86" s="22" t="s">
        <v>60</v>
      </c>
      <c r="E86" s="22" t="s">
        <v>448</v>
      </c>
      <c r="F86" s="23" t="n">
        <v>28990.15</v>
      </c>
      <c r="G86" s="24" t="n">
        <v>1.1149</v>
      </c>
      <c r="H86" s="24" t="n">
        <v>0.3484</v>
      </c>
      <c r="I86" s="22" t="s">
        <v>203</v>
      </c>
      <c r="J86" s="22"/>
      <c r="K86" s="23" t="n">
        <v>14901.15</v>
      </c>
      <c r="L86" s="22" t="s">
        <v>204</v>
      </c>
      <c r="M86" s="22" t="s">
        <v>205</v>
      </c>
    </row>
    <row r="87" customFormat="false" ht="15" hidden="false" customHeight="false" outlineLevel="0" collapsed="false">
      <c r="A87" s="22" t="s">
        <v>449</v>
      </c>
      <c r="B87" s="22" t="s">
        <v>450</v>
      </c>
      <c r="C87" s="22" t="s">
        <v>17</v>
      </c>
      <c r="D87" s="22" t="s">
        <v>58</v>
      </c>
      <c r="E87" s="22" t="s">
        <v>451</v>
      </c>
      <c r="F87" s="23" t="n">
        <v>22801.12</v>
      </c>
      <c r="G87" s="24" t="n">
        <v>1.0581</v>
      </c>
      <c r="H87" s="24" t="n">
        <v>0.2997</v>
      </c>
      <c r="I87" s="22" t="s">
        <v>203</v>
      </c>
      <c r="J87" s="22"/>
      <c r="K87" s="23" t="n">
        <v>9583.95</v>
      </c>
      <c r="L87" s="22" t="s">
        <v>204</v>
      </c>
      <c r="M87" s="22" t="s">
        <v>205</v>
      </c>
    </row>
    <row r="88" customFormat="false" ht="15" hidden="false" customHeight="false" outlineLevel="0" collapsed="false">
      <c r="A88" s="22" t="s">
        <v>452</v>
      </c>
      <c r="B88" s="22" t="s">
        <v>453</v>
      </c>
      <c r="C88" s="22" t="s">
        <v>17</v>
      </c>
      <c r="D88" s="22" t="s">
        <v>58</v>
      </c>
      <c r="E88" s="22" t="s">
        <v>454</v>
      </c>
      <c r="F88" s="23" t="n">
        <v>61921.46</v>
      </c>
      <c r="G88" s="24" t="n">
        <v>1.1248</v>
      </c>
      <c r="H88" s="24" t="n">
        <v>0.6243</v>
      </c>
      <c r="I88" s="22" t="s">
        <v>203</v>
      </c>
      <c r="J88" s="22"/>
      <c r="K88" s="23" t="n">
        <v>57634.77</v>
      </c>
      <c r="L88" s="22" t="s">
        <v>204</v>
      </c>
      <c r="M88" s="22" t="s">
        <v>205</v>
      </c>
    </row>
    <row r="89" customFormat="false" ht="15" hidden="false" customHeight="false" outlineLevel="0" collapsed="false">
      <c r="A89" s="22" t="s">
        <v>455</v>
      </c>
      <c r="B89" s="22" t="s">
        <v>456</v>
      </c>
      <c r="C89" s="22" t="s">
        <v>17</v>
      </c>
      <c r="D89" s="22" t="s">
        <v>60</v>
      </c>
      <c r="E89" s="22" t="s">
        <v>457</v>
      </c>
      <c r="F89" s="23" t="n">
        <v>9669.58</v>
      </c>
      <c r="G89" s="24" t="n">
        <v>1.045</v>
      </c>
      <c r="H89" s="24" t="n">
        <v>0.6417</v>
      </c>
      <c r="I89" s="22" t="s">
        <v>203</v>
      </c>
      <c r="J89" s="22"/>
      <c r="K89" s="23" t="n">
        <v>8594.7</v>
      </c>
      <c r="L89" s="22" t="s">
        <v>204</v>
      </c>
      <c r="M89" s="22" t="s">
        <v>205</v>
      </c>
    </row>
    <row r="90" customFormat="false" ht="15" hidden="false" customHeight="false" outlineLevel="0" collapsed="false">
      <c r="A90" s="22" t="s">
        <v>458</v>
      </c>
      <c r="B90" s="22" t="s">
        <v>459</v>
      </c>
      <c r="C90" s="22" t="s">
        <v>15</v>
      </c>
      <c r="D90" s="22" t="s">
        <v>61</v>
      </c>
      <c r="E90" s="22" t="s">
        <v>460</v>
      </c>
      <c r="F90" s="23" t="n">
        <v>7175.76</v>
      </c>
      <c r="G90" s="24" t="n">
        <v>1.0332</v>
      </c>
      <c r="H90" s="24" t="n">
        <v>0.5725</v>
      </c>
      <c r="I90" s="22" t="s">
        <v>203</v>
      </c>
      <c r="J90" s="22"/>
      <c r="K90" s="23" t="n">
        <v>5616.72</v>
      </c>
      <c r="L90" s="22" t="s">
        <v>204</v>
      </c>
      <c r="M90" s="22" t="s">
        <v>205</v>
      </c>
    </row>
    <row r="91" customFormat="false" ht="15" hidden="false" customHeight="false" outlineLevel="0" collapsed="false">
      <c r="A91" s="22" t="s">
        <v>461</v>
      </c>
      <c r="B91" s="22" t="s">
        <v>462</v>
      </c>
      <c r="C91" s="22" t="s">
        <v>17</v>
      </c>
      <c r="D91" s="22" t="s">
        <v>58</v>
      </c>
      <c r="E91" s="22" t="s">
        <v>463</v>
      </c>
      <c r="F91" s="23" t="n">
        <v>58127.2</v>
      </c>
      <c r="G91" s="24" t="n">
        <v>1.0463</v>
      </c>
      <c r="H91" s="24" t="n">
        <v>0.1313</v>
      </c>
      <c r="I91" s="22" t="s">
        <v>203</v>
      </c>
      <c r="J91" s="22"/>
      <c r="K91" s="23" t="n">
        <v>10584.61</v>
      </c>
      <c r="L91" s="22" t="s">
        <v>204</v>
      </c>
      <c r="M91" s="22" t="s">
        <v>205</v>
      </c>
    </row>
    <row r="92" customFormat="false" ht="15" hidden="false" customHeight="false" outlineLevel="0" collapsed="false">
      <c r="A92" s="22" t="s">
        <v>464</v>
      </c>
      <c r="B92" s="22" t="s">
        <v>465</v>
      </c>
      <c r="C92" s="22" t="s">
        <v>17</v>
      </c>
      <c r="D92" s="22" t="s">
        <v>59</v>
      </c>
      <c r="E92" s="22" t="s">
        <v>466</v>
      </c>
      <c r="F92" s="23" t="n">
        <v>53205.3</v>
      </c>
      <c r="G92" s="24" t="n">
        <v>1.1048</v>
      </c>
      <c r="H92" s="24" t="n">
        <v>0.106</v>
      </c>
      <c r="I92" s="22" t="s">
        <v>203</v>
      </c>
      <c r="J92" s="22"/>
      <c r="K92" s="23" t="n">
        <v>8258.84</v>
      </c>
      <c r="L92" s="22" t="s">
        <v>204</v>
      </c>
      <c r="M92" s="22" t="s">
        <v>205</v>
      </c>
    </row>
    <row r="93" customFormat="false" ht="15" hidden="false" customHeight="false" outlineLevel="0" collapsed="false">
      <c r="A93" s="22" t="s">
        <v>467</v>
      </c>
      <c r="B93" s="22" t="s">
        <v>468</v>
      </c>
      <c r="C93" s="22" t="s">
        <v>15</v>
      </c>
      <c r="D93" s="22" t="s">
        <v>62</v>
      </c>
      <c r="E93" s="22" t="s">
        <v>469</v>
      </c>
      <c r="F93" s="23" t="n">
        <v>1821119.18</v>
      </c>
      <c r="G93" s="24" t="n">
        <v>1.2972</v>
      </c>
      <c r="H93" s="24" t="n">
        <v>0.4624</v>
      </c>
      <c r="I93" s="22" t="s">
        <v>203</v>
      </c>
      <c r="J93" s="22"/>
      <c r="K93" s="23" t="n">
        <v>1445501.03</v>
      </c>
      <c r="L93" s="22" t="s">
        <v>204</v>
      </c>
      <c r="M93" s="22" t="s">
        <v>205</v>
      </c>
    </row>
    <row r="94" customFormat="false" ht="15" hidden="false" customHeight="false" outlineLevel="0" collapsed="false">
      <c r="A94" s="22" t="s">
        <v>470</v>
      </c>
      <c r="B94" s="22" t="s">
        <v>471</v>
      </c>
      <c r="C94" s="22" t="s">
        <v>17</v>
      </c>
      <c r="D94" s="22" t="s">
        <v>58</v>
      </c>
      <c r="E94" s="22" t="s">
        <v>472</v>
      </c>
      <c r="F94" s="23" t="n">
        <v>73310.79</v>
      </c>
      <c r="G94" s="24" t="n">
        <v>1.2276</v>
      </c>
      <c r="H94" s="24" t="n">
        <v>0.4755</v>
      </c>
      <c r="I94" s="22" t="s">
        <v>203</v>
      </c>
      <c r="J94" s="22"/>
      <c r="K94" s="23" t="n">
        <v>56721.8</v>
      </c>
      <c r="L94" s="22" t="s">
        <v>204</v>
      </c>
      <c r="M94" s="22" t="s">
        <v>205</v>
      </c>
    </row>
    <row r="95" customFormat="false" ht="15" hidden="false" customHeight="false" outlineLevel="0" collapsed="false">
      <c r="A95" s="22" t="s">
        <v>473</v>
      </c>
      <c r="B95" s="22" t="s">
        <v>474</v>
      </c>
      <c r="C95" s="22" t="s">
        <v>15</v>
      </c>
      <c r="D95" s="22" t="s">
        <v>58</v>
      </c>
      <c r="E95" s="22" t="s">
        <v>475</v>
      </c>
      <c r="F95" s="23" t="n">
        <v>51216.53</v>
      </c>
      <c r="G95" s="24" t="n">
        <v>1.0519</v>
      </c>
      <c r="H95" s="24" t="n">
        <v>0.6084</v>
      </c>
      <c r="I95" s="22" t="s">
        <v>203</v>
      </c>
      <c r="J95" s="22"/>
      <c r="K95" s="23" t="n">
        <v>43373.96</v>
      </c>
      <c r="L95" s="22" t="s">
        <v>204</v>
      </c>
      <c r="M95" s="22" t="s">
        <v>205</v>
      </c>
    </row>
    <row r="96" customFormat="false" ht="15" hidden="false" customHeight="false" outlineLevel="0" collapsed="false">
      <c r="A96" s="22" t="s">
        <v>476</v>
      </c>
      <c r="B96" s="22" t="s">
        <v>477</v>
      </c>
      <c r="C96" s="22" t="s">
        <v>15</v>
      </c>
      <c r="D96" s="22" t="s">
        <v>61</v>
      </c>
      <c r="E96" s="22" t="s">
        <v>478</v>
      </c>
      <c r="F96" s="23" t="n">
        <v>2932.8</v>
      </c>
      <c r="G96" s="24" t="n">
        <v>1.1278</v>
      </c>
      <c r="H96" s="24" t="n">
        <v>0.6112</v>
      </c>
      <c r="I96" s="22" t="s">
        <v>203</v>
      </c>
      <c r="J96" s="22"/>
      <c r="K96" s="23" t="n">
        <v>2675.18</v>
      </c>
      <c r="L96" s="22" t="s">
        <v>204</v>
      </c>
      <c r="M96" s="22" t="s">
        <v>205</v>
      </c>
    </row>
    <row r="97" customFormat="false" ht="15" hidden="false" customHeight="false" outlineLevel="0" collapsed="false">
      <c r="A97" s="22" t="s">
        <v>479</v>
      </c>
      <c r="B97" s="22" t="s">
        <v>480</v>
      </c>
      <c r="C97" s="22" t="s">
        <v>15</v>
      </c>
      <c r="D97" s="22" t="s">
        <v>59</v>
      </c>
      <c r="E97" s="22" t="s">
        <v>481</v>
      </c>
      <c r="F97" s="23" t="n">
        <v>166732.65</v>
      </c>
      <c r="G97" s="24" t="n">
        <v>1.2292</v>
      </c>
      <c r="H97" s="24" t="n">
        <v>0.8466</v>
      </c>
      <c r="I97" s="22" t="s">
        <v>203</v>
      </c>
      <c r="J97" s="22"/>
      <c r="K97" s="23" t="n">
        <v>229602.57</v>
      </c>
      <c r="L97" s="22" t="s">
        <v>204</v>
      </c>
      <c r="M97" s="22" t="s">
        <v>205</v>
      </c>
    </row>
    <row r="98" customFormat="false" ht="15" hidden="false" customHeight="false" outlineLevel="0" collapsed="false">
      <c r="A98" s="22" t="s">
        <v>482</v>
      </c>
      <c r="B98" s="22" t="s">
        <v>483</v>
      </c>
      <c r="C98" s="22" t="s">
        <v>19</v>
      </c>
      <c r="D98" s="22" t="s">
        <v>61</v>
      </c>
      <c r="E98" s="22" t="s">
        <v>484</v>
      </c>
      <c r="F98" s="23" t="n">
        <v>9444.3</v>
      </c>
      <c r="G98" s="24" t="n">
        <v>1.0617</v>
      </c>
      <c r="H98" s="24" t="n">
        <v>0.0883</v>
      </c>
      <c r="I98" s="22" t="s">
        <v>203</v>
      </c>
      <c r="J98" s="22"/>
      <c r="K98" s="23" t="n">
        <v>1182.58</v>
      </c>
      <c r="L98" s="22" t="s">
        <v>204</v>
      </c>
      <c r="M98" s="22" t="s">
        <v>205</v>
      </c>
    </row>
    <row r="99" customFormat="false" ht="15" hidden="false" customHeight="false" outlineLevel="0" collapsed="false">
      <c r="A99" s="22" t="s">
        <v>485</v>
      </c>
      <c r="B99" s="22" t="s">
        <v>486</v>
      </c>
      <c r="C99" s="22" t="s">
        <v>15</v>
      </c>
      <c r="D99" s="22" t="s">
        <v>58</v>
      </c>
      <c r="E99" s="22" t="s">
        <v>487</v>
      </c>
      <c r="F99" s="23" t="n">
        <v>31385.64</v>
      </c>
      <c r="G99" s="24" t="n">
        <v>1.123</v>
      </c>
      <c r="H99" s="24" t="n">
        <v>0.1978</v>
      </c>
      <c r="I99" s="22" t="s">
        <v>203</v>
      </c>
      <c r="J99" s="22"/>
      <c r="K99" s="23" t="n">
        <v>9225.55</v>
      </c>
      <c r="L99" s="22" t="s">
        <v>204</v>
      </c>
      <c r="M99" s="22" t="s">
        <v>205</v>
      </c>
    </row>
    <row r="100" customFormat="false" ht="15" hidden="false" customHeight="false" outlineLevel="0" collapsed="false">
      <c r="A100" s="22" t="s">
        <v>488</v>
      </c>
      <c r="B100" s="22" t="s">
        <v>489</v>
      </c>
      <c r="C100" s="22" t="s">
        <v>19</v>
      </c>
      <c r="D100" s="22" t="s">
        <v>60</v>
      </c>
      <c r="E100" s="22" t="s">
        <v>490</v>
      </c>
      <c r="F100" s="23" t="n">
        <v>13228.16</v>
      </c>
      <c r="G100" s="24" t="n">
        <v>1.2251</v>
      </c>
      <c r="H100" s="24" t="n">
        <v>0.841</v>
      </c>
      <c r="I100" s="22" t="s">
        <v>203</v>
      </c>
      <c r="J100" s="22"/>
      <c r="K100" s="23" t="n">
        <v>18203.86</v>
      </c>
      <c r="L100" s="22" t="s">
        <v>204</v>
      </c>
      <c r="M100" s="22" t="s">
        <v>205</v>
      </c>
    </row>
    <row r="101" customFormat="false" ht="15" hidden="false" customHeight="false" outlineLevel="0" collapsed="false">
      <c r="A101" s="22" t="s">
        <v>491</v>
      </c>
      <c r="B101" s="22" t="s">
        <v>492</v>
      </c>
      <c r="C101" s="22" t="s">
        <v>15</v>
      </c>
      <c r="D101" s="22" t="s">
        <v>60</v>
      </c>
      <c r="E101" s="22" t="s">
        <v>493</v>
      </c>
      <c r="F101" s="23" t="n">
        <v>25400.46</v>
      </c>
      <c r="G101" s="24" t="n">
        <v>1.2377</v>
      </c>
      <c r="H101" s="24" t="n">
        <v>0.4141</v>
      </c>
      <c r="I101" s="22" t="s">
        <v>203</v>
      </c>
      <c r="J101" s="22"/>
      <c r="K101" s="23" t="n">
        <v>17227.31</v>
      </c>
      <c r="L101" s="22" t="s">
        <v>204</v>
      </c>
      <c r="M101" s="22" t="s">
        <v>205</v>
      </c>
    </row>
    <row r="102" customFormat="false" ht="15" hidden="false" customHeight="false" outlineLevel="0" collapsed="false">
      <c r="A102" s="22" t="s">
        <v>494</v>
      </c>
      <c r="B102" s="22" t="s">
        <v>495</v>
      </c>
      <c r="C102" s="22" t="s">
        <v>17</v>
      </c>
      <c r="D102" s="22" t="s">
        <v>58</v>
      </c>
      <c r="E102" s="22" t="s">
        <v>496</v>
      </c>
      <c r="F102" s="23" t="n">
        <v>87200.97</v>
      </c>
      <c r="G102" s="24" t="n">
        <v>1.1866</v>
      </c>
      <c r="H102" s="24" t="n">
        <v>0.5993</v>
      </c>
      <c r="I102" s="22" t="s">
        <v>203</v>
      </c>
      <c r="J102" s="22"/>
      <c r="K102" s="23" t="n">
        <v>82194.86</v>
      </c>
      <c r="L102" s="22" t="s">
        <v>204</v>
      </c>
      <c r="M102" s="22" t="s">
        <v>205</v>
      </c>
    </row>
    <row r="103" customFormat="false" ht="15" hidden="false" customHeight="false" outlineLevel="0" collapsed="false">
      <c r="A103" s="22" t="s">
        <v>497</v>
      </c>
      <c r="B103" s="22" t="s">
        <v>498</v>
      </c>
      <c r="C103" s="22" t="s">
        <v>17</v>
      </c>
      <c r="D103" s="22" t="s">
        <v>58</v>
      </c>
      <c r="E103" s="22" t="s">
        <v>499</v>
      </c>
      <c r="F103" s="23" t="n">
        <v>86416.02</v>
      </c>
      <c r="G103" s="24" t="n">
        <v>1.2172</v>
      </c>
      <c r="H103" s="24" t="n">
        <v>0.3236</v>
      </c>
      <c r="I103" s="22" t="s">
        <v>203</v>
      </c>
      <c r="J103" s="22"/>
      <c r="K103" s="23" t="n">
        <v>45116.92</v>
      </c>
      <c r="L103" s="22" t="s">
        <v>204</v>
      </c>
      <c r="M103" s="22" t="s">
        <v>205</v>
      </c>
    </row>
    <row r="104" customFormat="false" ht="15" hidden="false" customHeight="false" outlineLevel="0" collapsed="false">
      <c r="A104" s="22" t="s">
        <v>500</v>
      </c>
      <c r="B104" s="22" t="s">
        <v>501</v>
      </c>
      <c r="C104" s="22" t="s">
        <v>15</v>
      </c>
      <c r="D104" s="22" t="s">
        <v>60</v>
      </c>
      <c r="E104" s="22" t="s">
        <v>502</v>
      </c>
      <c r="F104" s="23" t="n">
        <v>9842.6</v>
      </c>
      <c r="G104" s="24" t="n">
        <v>1.2746</v>
      </c>
      <c r="H104" s="24" t="n">
        <v>0.6593</v>
      </c>
      <c r="I104" s="22" t="s">
        <v>203</v>
      </c>
      <c r="J104" s="22"/>
      <c r="K104" s="23" t="n">
        <v>10945.16</v>
      </c>
      <c r="L104" s="22" t="s">
        <v>204</v>
      </c>
      <c r="M104" s="22" t="s">
        <v>205</v>
      </c>
    </row>
    <row r="105" customFormat="false" ht="15" hidden="false" customHeight="false" outlineLevel="0" collapsed="false">
      <c r="A105" s="22" t="s">
        <v>503</v>
      </c>
      <c r="B105" s="22" t="s">
        <v>504</v>
      </c>
      <c r="C105" s="22" t="s">
        <v>15</v>
      </c>
      <c r="D105" s="22" t="s">
        <v>60</v>
      </c>
      <c r="E105" s="22" t="s">
        <v>505</v>
      </c>
      <c r="F105" s="23" t="n">
        <v>23534.06</v>
      </c>
      <c r="G105" s="24" t="n">
        <v>1.0732</v>
      </c>
      <c r="H105" s="24" t="n">
        <v>0.6508</v>
      </c>
      <c r="I105" s="22" t="s">
        <v>203</v>
      </c>
      <c r="J105" s="22"/>
      <c r="K105" s="23" t="n">
        <v>21751.06</v>
      </c>
      <c r="L105" s="22" t="s">
        <v>204</v>
      </c>
      <c r="M105" s="22" t="s">
        <v>205</v>
      </c>
    </row>
    <row r="106" customFormat="false" ht="15" hidden="false" customHeight="false" outlineLevel="0" collapsed="false">
      <c r="A106" s="22" t="s">
        <v>506</v>
      </c>
      <c r="B106" s="22" t="s">
        <v>507</v>
      </c>
      <c r="C106" s="22" t="s">
        <v>17</v>
      </c>
      <c r="D106" s="22" t="s">
        <v>60</v>
      </c>
      <c r="E106" s="22" t="s">
        <v>508</v>
      </c>
      <c r="F106" s="23" t="n">
        <v>28310.55</v>
      </c>
      <c r="G106" s="24" t="n">
        <v>1.2178</v>
      </c>
      <c r="H106" s="24" t="n">
        <v>0.7556</v>
      </c>
      <c r="I106" s="22" t="s">
        <v>203</v>
      </c>
      <c r="J106" s="22"/>
      <c r="K106" s="23" t="n">
        <v>34529.55</v>
      </c>
      <c r="L106" s="22" t="s">
        <v>204</v>
      </c>
      <c r="M106" s="22" t="s">
        <v>205</v>
      </c>
    </row>
    <row r="107" customFormat="false" ht="15" hidden="false" customHeight="false" outlineLevel="0" collapsed="false">
      <c r="A107" s="22" t="s">
        <v>509</v>
      </c>
      <c r="B107" s="22" t="s">
        <v>510</v>
      </c>
      <c r="C107" s="22" t="s">
        <v>17</v>
      </c>
      <c r="D107" s="22" t="s">
        <v>62</v>
      </c>
      <c r="E107" s="22" t="s">
        <v>511</v>
      </c>
      <c r="F107" s="23" t="n">
        <v>912735.84</v>
      </c>
      <c r="G107" s="24" t="n">
        <v>1.1229</v>
      </c>
      <c r="H107" s="24" t="n">
        <v>0.9512</v>
      </c>
      <c r="I107" s="22" t="s">
        <v>203</v>
      </c>
      <c r="J107" s="22"/>
      <c r="K107" s="23" t="n">
        <v>1292208.91</v>
      </c>
      <c r="L107" s="22" t="s">
        <v>204</v>
      </c>
      <c r="M107" s="22" t="s">
        <v>205</v>
      </c>
    </row>
    <row r="108" customFormat="false" ht="15" hidden="false" customHeight="false" outlineLevel="0" collapsed="false">
      <c r="A108" s="22" t="s">
        <v>512</v>
      </c>
      <c r="B108" s="22" t="s">
        <v>513</v>
      </c>
      <c r="C108" s="22" t="s">
        <v>19</v>
      </c>
      <c r="D108" s="22" t="s">
        <v>60</v>
      </c>
      <c r="E108" s="22" t="s">
        <v>514</v>
      </c>
      <c r="F108" s="23" t="n">
        <v>28947.33</v>
      </c>
      <c r="G108" s="24" t="n">
        <v>1.1481</v>
      </c>
      <c r="H108" s="24" t="n">
        <v>0.818</v>
      </c>
      <c r="I108" s="22" t="s">
        <v>203</v>
      </c>
      <c r="J108" s="22"/>
      <c r="K108" s="23" t="n">
        <v>36310.99</v>
      </c>
      <c r="L108" s="22" t="s">
        <v>204</v>
      </c>
      <c r="M108" s="22" t="s">
        <v>205</v>
      </c>
    </row>
    <row r="109" customFormat="false" ht="15" hidden="false" customHeight="false" outlineLevel="0" collapsed="false">
      <c r="A109" s="22" t="s">
        <v>515</v>
      </c>
      <c r="B109" s="22" t="s">
        <v>516</v>
      </c>
      <c r="C109" s="22" t="s">
        <v>17</v>
      </c>
      <c r="D109" s="22" t="s">
        <v>58</v>
      </c>
      <c r="E109" s="22" t="s">
        <v>517</v>
      </c>
      <c r="F109" s="23" t="n">
        <v>86537.8</v>
      </c>
      <c r="G109" s="24" t="n">
        <v>1.2304</v>
      </c>
      <c r="H109" s="24" t="n">
        <v>0.0497</v>
      </c>
      <c r="I109" s="22" t="s">
        <v>203</v>
      </c>
      <c r="J109" s="22"/>
      <c r="K109" s="23" t="n">
        <v>7014.28</v>
      </c>
      <c r="L109" s="22" t="s">
        <v>204</v>
      </c>
      <c r="M109" s="22" t="s">
        <v>205</v>
      </c>
    </row>
    <row r="110" customFormat="false" ht="15" hidden="false" customHeight="false" outlineLevel="0" collapsed="false">
      <c r="A110" s="22" t="s">
        <v>518</v>
      </c>
      <c r="B110" s="22" t="s">
        <v>519</v>
      </c>
      <c r="C110" s="22" t="s">
        <v>17</v>
      </c>
      <c r="D110" s="22" t="s">
        <v>60</v>
      </c>
      <c r="E110" s="22" t="s">
        <v>283</v>
      </c>
      <c r="F110" s="23" t="n">
        <v>15243.68</v>
      </c>
      <c r="G110" s="24" t="n">
        <v>1.0046</v>
      </c>
      <c r="H110" s="24" t="n">
        <v>0.3098</v>
      </c>
      <c r="I110" s="22" t="s">
        <v>203</v>
      </c>
      <c r="J110" s="22"/>
      <c r="K110" s="23" t="n">
        <v>6288.38</v>
      </c>
      <c r="L110" s="22" t="s">
        <v>204</v>
      </c>
      <c r="M110" s="22" t="s">
        <v>205</v>
      </c>
    </row>
    <row r="111" customFormat="false" ht="15" hidden="false" customHeight="false" outlineLevel="0" collapsed="false">
      <c r="A111" s="22" t="s">
        <v>520</v>
      </c>
      <c r="B111" s="22" t="s">
        <v>521</v>
      </c>
      <c r="C111" s="22" t="s">
        <v>17</v>
      </c>
      <c r="D111" s="22" t="s">
        <v>58</v>
      </c>
      <c r="E111" s="22" t="s">
        <v>522</v>
      </c>
      <c r="F111" s="23" t="n">
        <v>86497.4</v>
      </c>
      <c r="G111" s="24" t="n">
        <v>1.0858</v>
      </c>
      <c r="H111" s="24" t="n">
        <v>0.7815</v>
      </c>
      <c r="I111" s="22" t="s">
        <v>203</v>
      </c>
      <c r="J111" s="22"/>
      <c r="K111" s="23" t="n">
        <v>97287.4</v>
      </c>
      <c r="L111" s="22" t="s">
        <v>204</v>
      </c>
      <c r="M111" s="22" t="s">
        <v>205</v>
      </c>
    </row>
    <row r="112" customFormat="false" ht="15" hidden="false" customHeight="false" outlineLevel="0" collapsed="false">
      <c r="A112" s="22" t="s">
        <v>523</v>
      </c>
      <c r="B112" s="22" t="s">
        <v>524</v>
      </c>
      <c r="C112" s="22" t="s">
        <v>17</v>
      </c>
      <c r="D112" s="22" t="s">
        <v>58</v>
      </c>
      <c r="E112" s="22" t="s">
        <v>525</v>
      </c>
      <c r="F112" s="23" t="n">
        <v>56324.64</v>
      </c>
      <c r="G112" s="24" t="n">
        <v>1.2073</v>
      </c>
      <c r="H112" s="24" t="n">
        <v>0.01</v>
      </c>
      <c r="I112" s="22" t="s">
        <v>203</v>
      </c>
      <c r="J112" s="22"/>
      <c r="K112" s="23" t="n">
        <v>901.34</v>
      </c>
      <c r="L112" s="22" t="s">
        <v>204</v>
      </c>
      <c r="M112" s="22" t="s">
        <v>205</v>
      </c>
    </row>
    <row r="113" customFormat="false" ht="15" hidden="false" customHeight="false" outlineLevel="0" collapsed="false">
      <c r="A113" s="22" t="s">
        <v>526</v>
      </c>
      <c r="B113" s="22" t="s">
        <v>527</v>
      </c>
      <c r="C113" s="22" t="s">
        <v>17</v>
      </c>
      <c r="D113" s="22" t="s">
        <v>59</v>
      </c>
      <c r="E113" s="22" t="s">
        <v>528</v>
      </c>
      <c r="F113" s="23" t="n">
        <v>132986.58</v>
      </c>
      <c r="G113" s="24" t="n">
        <v>1.1276</v>
      </c>
      <c r="H113" s="24" t="n">
        <v>0.9049</v>
      </c>
      <c r="I113" s="22" t="s">
        <v>203</v>
      </c>
      <c r="J113" s="22"/>
      <c r="K113" s="23" t="n">
        <v>179861.49</v>
      </c>
      <c r="L113" s="22" t="s">
        <v>204</v>
      </c>
      <c r="M113" s="22" t="s">
        <v>205</v>
      </c>
    </row>
    <row r="114" customFormat="false" ht="15" hidden="false" customHeight="false" outlineLevel="0" collapsed="false">
      <c r="A114" s="22" t="s">
        <v>529</v>
      </c>
      <c r="B114" s="22" t="s">
        <v>530</v>
      </c>
      <c r="C114" s="22" t="s">
        <v>15</v>
      </c>
      <c r="D114" s="22" t="s">
        <v>59</v>
      </c>
      <c r="E114" s="22" t="s">
        <v>531</v>
      </c>
      <c r="F114" s="23" t="n">
        <v>99193.63</v>
      </c>
      <c r="G114" s="24" t="n">
        <v>1.2434</v>
      </c>
      <c r="H114" s="24" t="n">
        <v>0.9028</v>
      </c>
      <c r="I114" s="22" t="s">
        <v>203</v>
      </c>
      <c r="J114" s="22"/>
      <c r="K114" s="23" t="n">
        <v>147347.06</v>
      </c>
      <c r="L114" s="22" t="s">
        <v>204</v>
      </c>
      <c r="M114" s="22" t="s">
        <v>205</v>
      </c>
    </row>
    <row r="115" customFormat="false" ht="15" hidden="false" customHeight="false" outlineLevel="0" collapsed="false">
      <c r="A115" s="22" t="s">
        <v>532</v>
      </c>
      <c r="B115" s="22" t="s">
        <v>533</v>
      </c>
      <c r="C115" s="22" t="s">
        <v>19</v>
      </c>
      <c r="D115" s="22" t="s">
        <v>61</v>
      </c>
      <c r="E115" s="22" t="s">
        <v>534</v>
      </c>
      <c r="F115" s="23" t="n">
        <v>2607.51</v>
      </c>
      <c r="G115" s="24" t="n">
        <v>1.2169</v>
      </c>
      <c r="H115" s="24" t="n">
        <v>0.3075</v>
      </c>
      <c r="I115" s="22" t="s">
        <v>203</v>
      </c>
      <c r="J115" s="22"/>
      <c r="K115" s="23" t="n">
        <v>1303.23</v>
      </c>
      <c r="L115" s="22" t="s">
        <v>204</v>
      </c>
      <c r="M115" s="22" t="s">
        <v>205</v>
      </c>
    </row>
    <row r="116" customFormat="false" ht="15" hidden="false" customHeight="false" outlineLevel="0" collapsed="false">
      <c r="A116" s="22" t="s">
        <v>535</v>
      </c>
      <c r="B116" s="22" t="s">
        <v>536</v>
      </c>
      <c r="C116" s="22" t="s">
        <v>17</v>
      </c>
      <c r="D116" s="22" t="s">
        <v>58</v>
      </c>
      <c r="E116" s="22" t="s">
        <v>537</v>
      </c>
      <c r="F116" s="23" t="n">
        <v>88806.89</v>
      </c>
      <c r="G116" s="24" t="n">
        <v>1.1499</v>
      </c>
      <c r="H116" s="24" t="n">
        <v>0.1676</v>
      </c>
      <c r="I116" s="22" t="s">
        <v>203</v>
      </c>
      <c r="J116" s="22"/>
      <c r="K116" s="23" t="n">
        <v>22685.87</v>
      </c>
      <c r="L116" s="22" t="s">
        <v>204</v>
      </c>
      <c r="M116" s="22" t="s">
        <v>205</v>
      </c>
    </row>
    <row r="117" customFormat="false" ht="15" hidden="false" customHeight="false" outlineLevel="0" collapsed="false">
      <c r="A117" s="22" t="s">
        <v>538</v>
      </c>
      <c r="B117" s="22" t="s">
        <v>539</v>
      </c>
      <c r="C117" s="22" t="s">
        <v>17</v>
      </c>
      <c r="D117" s="22" t="s">
        <v>60</v>
      </c>
      <c r="E117" s="22" t="s">
        <v>540</v>
      </c>
      <c r="F117" s="23" t="n">
        <v>17943.64</v>
      </c>
      <c r="G117" s="24" t="n">
        <v>1.2941</v>
      </c>
      <c r="H117" s="24" t="n">
        <v>0.4224</v>
      </c>
      <c r="I117" s="22" t="s">
        <v>203</v>
      </c>
      <c r="J117" s="22"/>
      <c r="K117" s="23" t="n">
        <v>13001.01</v>
      </c>
      <c r="L117" s="22" t="s">
        <v>204</v>
      </c>
      <c r="M117" s="22" t="s">
        <v>205</v>
      </c>
    </row>
    <row r="118" customFormat="false" ht="15" hidden="false" customHeight="false" outlineLevel="0" collapsed="false">
      <c r="A118" s="22" t="s">
        <v>541</v>
      </c>
      <c r="B118" s="22" t="s">
        <v>542</v>
      </c>
      <c r="C118" s="22" t="s">
        <v>15</v>
      </c>
      <c r="D118" s="22" t="s">
        <v>60</v>
      </c>
      <c r="E118" s="22" t="s">
        <v>543</v>
      </c>
      <c r="F118" s="23" t="n">
        <v>16414.91</v>
      </c>
      <c r="G118" s="24" t="n">
        <v>1.1916</v>
      </c>
      <c r="H118" s="24" t="n">
        <v>0.6494</v>
      </c>
      <c r="I118" s="22" t="s">
        <v>203</v>
      </c>
      <c r="J118" s="22"/>
      <c r="K118" s="23" t="n">
        <v>16808.79</v>
      </c>
      <c r="L118" s="22" t="s">
        <v>204</v>
      </c>
      <c r="M118" s="22" t="s">
        <v>205</v>
      </c>
    </row>
    <row r="119" customFormat="false" ht="15" hidden="false" customHeight="false" outlineLevel="0" collapsed="false">
      <c r="A119" s="22" t="s">
        <v>544</v>
      </c>
      <c r="B119" s="22" t="s">
        <v>545</v>
      </c>
      <c r="C119" s="22" t="s">
        <v>17</v>
      </c>
      <c r="D119" s="22" t="s">
        <v>59</v>
      </c>
      <c r="E119" s="22" t="s">
        <v>546</v>
      </c>
      <c r="F119" s="23" t="n">
        <v>141299.24</v>
      </c>
      <c r="G119" s="24" t="n">
        <v>1.0364</v>
      </c>
      <c r="H119" s="24" t="n">
        <v>0.7545</v>
      </c>
      <c r="I119" s="22" t="s">
        <v>203</v>
      </c>
      <c r="J119" s="22"/>
      <c r="K119" s="23" t="n">
        <v>146453.98</v>
      </c>
      <c r="L119" s="22" t="s">
        <v>204</v>
      </c>
      <c r="M119" s="22" t="s">
        <v>205</v>
      </c>
    </row>
    <row r="120" customFormat="false" ht="15" hidden="false" customHeight="false" outlineLevel="0" collapsed="false">
      <c r="A120" s="22" t="s">
        <v>547</v>
      </c>
      <c r="B120" s="22" t="s">
        <v>548</v>
      </c>
      <c r="C120" s="22" t="s">
        <v>15</v>
      </c>
      <c r="D120" s="22" t="s">
        <v>59</v>
      </c>
      <c r="E120" s="22" t="s">
        <v>549</v>
      </c>
      <c r="F120" s="23" t="n">
        <v>158590.18</v>
      </c>
      <c r="G120" s="24" t="n">
        <v>1.0781</v>
      </c>
      <c r="H120" s="24" t="n">
        <v>0.93</v>
      </c>
      <c r="I120" s="22" t="s">
        <v>203</v>
      </c>
      <c r="J120" s="22"/>
      <c r="K120" s="23" t="n">
        <v>210413.48</v>
      </c>
      <c r="L120" s="22" t="s">
        <v>204</v>
      </c>
      <c r="M120" s="22" t="s">
        <v>205</v>
      </c>
    </row>
    <row r="121" customFormat="false" ht="15" hidden="false" customHeight="false" outlineLevel="0" collapsed="false">
      <c r="A121" s="22" t="s">
        <v>550</v>
      </c>
      <c r="B121" s="22" t="s">
        <v>551</v>
      </c>
      <c r="C121" s="22" t="s">
        <v>19</v>
      </c>
      <c r="D121" s="22" t="s">
        <v>58</v>
      </c>
      <c r="E121" s="22" t="s">
        <v>552</v>
      </c>
      <c r="F121" s="23" t="n">
        <v>33661.47</v>
      </c>
      <c r="G121" s="24" t="n">
        <v>1.2365</v>
      </c>
      <c r="H121" s="24" t="n">
        <v>0.3728</v>
      </c>
      <c r="I121" s="22" t="s">
        <v>203</v>
      </c>
      <c r="J121" s="22"/>
      <c r="K121" s="23" t="n">
        <v>20725.24</v>
      </c>
      <c r="L121" s="22" t="s">
        <v>204</v>
      </c>
      <c r="M121" s="22" t="s">
        <v>205</v>
      </c>
    </row>
    <row r="122" customFormat="false" ht="15" hidden="false" customHeight="false" outlineLevel="0" collapsed="false">
      <c r="A122" s="22" t="s">
        <v>553</v>
      </c>
      <c r="B122" s="22" t="s">
        <v>554</v>
      </c>
      <c r="C122" s="22" t="s">
        <v>15</v>
      </c>
      <c r="D122" s="22" t="s">
        <v>61</v>
      </c>
      <c r="E122" s="22" t="s">
        <v>555</v>
      </c>
      <c r="F122" s="23" t="n">
        <v>7645.77</v>
      </c>
      <c r="G122" s="24" t="n">
        <v>1.2465</v>
      </c>
      <c r="H122" s="24" t="n">
        <v>0.3258</v>
      </c>
      <c r="I122" s="22" t="s">
        <v>203</v>
      </c>
      <c r="J122" s="22"/>
      <c r="K122" s="23" t="n">
        <v>4108.85</v>
      </c>
      <c r="L122" s="22" t="s">
        <v>204</v>
      </c>
      <c r="M122" s="22" t="s">
        <v>205</v>
      </c>
    </row>
    <row r="123" customFormat="false" ht="15" hidden="false" customHeight="false" outlineLevel="0" collapsed="false">
      <c r="A123" s="22" t="s">
        <v>556</v>
      </c>
      <c r="B123" s="22" t="s">
        <v>557</v>
      </c>
      <c r="C123" s="22" t="s">
        <v>15</v>
      </c>
      <c r="D123" s="22" t="s">
        <v>58</v>
      </c>
      <c r="E123" s="22" t="s">
        <v>558</v>
      </c>
      <c r="F123" s="23" t="n">
        <v>20180.05</v>
      </c>
      <c r="G123" s="24" t="n">
        <v>1.0077</v>
      </c>
      <c r="H123" s="24" t="n">
        <v>0.3046</v>
      </c>
      <c r="I123" s="22" t="s">
        <v>203</v>
      </c>
      <c r="J123" s="22"/>
      <c r="K123" s="23" t="n">
        <v>8196.69</v>
      </c>
      <c r="L123" s="22" t="s">
        <v>204</v>
      </c>
      <c r="M123" s="22" t="s">
        <v>205</v>
      </c>
    </row>
    <row r="124" customFormat="false" ht="15" hidden="false" customHeight="false" outlineLevel="0" collapsed="false">
      <c r="A124" s="22" t="s">
        <v>559</v>
      </c>
      <c r="B124" s="22" t="s">
        <v>560</v>
      </c>
      <c r="C124" s="22" t="s">
        <v>15</v>
      </c>
      <c r="D124" s="22" t="s">
        <v>61</v>
      </c>
      <c r="E124" s="22" t="s">
        <v>561</v>
      </c>
      <c r="F124" s="23" t="n">
        <v>5261.11</v>
      </c>
      <c r="G124" s="24" t="n">
        <v>1.2762</v>
      </c>
      <c r="H124" s="24" t="n">
        <v>0.2438</v>
      </c>
      <c r="I124" s="22" t="s">
        <v>203</v>
      </c>
      <c r="J124" s="22"/>
      <c r="K124" s="23" t="n">
        <v>2166.13</v>
      </c>
      <c r="L124" s="22" t="s">
        <v>204</v>
      </c>
      <c r="M124" s="22" t="s">
        <v>205</v>
      </c>
    </row>
    <row r="125" customFormat="false" ht="15" hidden="false" customHeight="false" outlineLevel="0" collapsed="false">
      <c r="A125" s="22" t="s">
        <v>562</v>
      </c>
      <c r="B125" s="22" t="s">
        <v>563</v>
      </c>
      <c r="C125" s="22" t="s">
        <v>15</v>
      </c>
      <c r="D125" s="22" t="s">
        <v>61</v>
      </c>
      <c r="E125" s="22" t="s">
        <v>564</v>
      </c>
      <c r="F125" s="23" t="n">
        <v>7894.63</v>
      </c>
      <c r="G125" s="24" t="n">
        <v>1.0477</v>
      </c>
      <c r="H125" s="24" t="n">
        <v>0.7049</v>
      </c>
      <c r="I125" s="22" t="s">
        <v>203</v>
      </c>
      <c r="J125" s="22"/>
      <c r="K125" s="23" t="n">
        <v>7715.28</v>
      </c>
      <c r="L125" s="22" t="s">
        <v>204</v>
      </c>
      <c r="M125" s="22" t="s">
        <v>205</v>
      </c>
    </row>
    <row r="126" customFormat="false" ht="15" hidden="false" customHeight="false" outlineLevel="0" collapsed="false">
      <c r="A126" s="22" t="s">
        <v>565</v>
      </c>
      <c r="B126" s="22" t="s">
        <v>566</v>
      </c>
      <c r="C126" s="22" t="s">
        <v>15</v>
      </c>
      <c r="D126" s="22" t="s">
        <v>60</v>
      </c>
      <c r="E126" s="22" t="s">
        <v>567</v>
      </c>
      <c r="F126" s="23" t="n">
        <v>31459.67</v>
      </c>
      <c r="G126" s="24" t="n">
        <v>1.1879</v>
      </c>
      <c r="H126" s="24" t="n">
        <v>0.9823</v>
      </c>
      <c r="I126" s="22" t="s">
        <v>203</v>
      </c>
      <c r="J126" s="22"/>
      <c r="K126" s="23" t="n">
        <v>48577.31</v>
      </c>
      <c r="L126" s="22" t="s">
        <v>204</v>
      </c>
      <c r="M126" s="22" t="s">
        <v>205</v>
      </c>
    </row>
    <row r="127" customFormat="false" ht="15" hidden="false" customHeight="false" outlineLevel="0" collapsed="false">
      <c r="A127" s="22" t="s">
        <v>568</v>
      </c>
      <c r="B127" s="22" t="s">
        <v>569</v>
      </c>
      <c r="C127" s="22" t="s">
        <v>15</v>
      </c>
      <c r="D127" s="22" t="s">
        <v>60</v>
      </c>
      <c r="E127" s="22" t="s">
        <v>570</v>
      </c>
      <c r="F127" s="23" t="n">
        <v>20200.25</v>
      </c>
      <c r="G127" s="24" t="n">
        <v>1.0716</v>
      </c>
      <c r="H127" s="24" t="n">
        <v>0.2503</v>
      </c>
      <c r="I127" s="22" t="s">
        <v>203</v>
      </c>
      <c r="J127" s="22"/>
      <c r="K127" s="23" t="n">
        <v>7169.78</v>
      </c>
      <c r="L127" s="22" t="s">
        <v>204</v>
      </c>
      <c r="M127" s="22" t="s">
        <v>205</v>
      </c>
    </row>
    <row r="128" customFormat="false" ht="15" hidden="false" customHeight="false" outlineLevel="0" collapsed="false">
      <c r="A128" s="22" t="s">
        <v>571</v>
      </c>
      <c r="B128" s="22" t="s">
        <v>572</v>
      </c>
      <c r="C128" s="22" t="s">
        <v>17</v>
      </c>
      <c r="D128" s="22" t="s">
        <v>60</v>
      </c>
      <c r="E128" s="22" t="s">
        <v>573</v>
      </c>
      <c r="F128" s="23" t="n">
        <v>22370.66</v>
      </c>
      <c r="G128" s="24" t="n">
        <v>1.1807</v>
      </c>
      <c r="H128" s="24" t="n">
        <v>0.0667</v>
      </c>
      <c r="I128" s="22" t="s">
        <v>203</v>
      </c>
      <c r="J128" s="22"/>
      <c r="K128" s="23" t="n">
        <v>2335.17</v>
      </c>
      <c r="L128" s="22" t="s">
        <v>204</v>
      </c>
      <c r="M128" s="22" t="s">
        <v>205</v>
      </c>
    </row>
    <row r="129" customFormat="false" ht="15" hidden="false" customHeight="false" outlineLevel="0" collapsed="false">
      <c r="A129" s="22" t="s">
        <v>574</v>
      </c>
      <c r="B129" s="22" t="s">
        <v>575</v>
      </c>
      <c r="C129" s="22" t="s">
        <v>17</v>
      </c>
      <c r="D129" s="22" t="s">
        <v>58</v>
      </c>
      <c r="E129" s="22" t="s">
        <v>576</v>
      </c>
      <c r="F129" s="23" t="n">
        <v>63780.99</v>
      </c>
      <c r="G129" s="24" t="n">
        <v>1.0189</v>
      </c>
      <c r="H129" s="24" t="n">
        <v>0.4149</v>
      </c>
      <c r="I129" s="22" t="s">
        <v>203</v>
      </c>
      <c r="J129" s="22"/>
      <c r="K129" s="23" t="n">
        <v>35738.88</v>
      </c>
      <c r="L129" s="22" t="s">
        <v>204</v>
      </c>
      <c r="M129" s="22" t="s">
        <v>205</v>
      </c>
    </row>
    <row r="130" customFormat="false" ht="15" hidden="false" customHeight="false" outlineLevel="0" collapsed="false">
      <c r="A130" s="22" t="s">
        <v>577</v>
      </c>
      <c r="B130" s="22" t="s">
        <v>578</v>
      </c>
      <c r="C130" s="22" t="s">
        <v>19</v>
      </c>
      <c r="D130" s="22" t="s">
        <v>58</v>
      </c>
      <c r="E130" s="22" t="s">
        <v>579</v>
      </c>
      <c r="F130" s="23" t="n">
        <v>28719.52</v>
      </c>
      <c r="G130" s="24" t="n">
        <v>1.2782</v>
      </c>
      <c r="H130" s="24" t="n">
        <v>0.7205</v>
      </c>
      <c r="I130" s="22" t="s">
        <v>203</v>
      </c>
      <c r="J130" s="22"/>
      <c r="K130" s="23" t="n">
        <v>35326.98</v>
      </c>
      <c r="L130" s="22" t="s">
        <v>204</v>
      </c>
      <c r="M130" s="22" t="s">
        <v>205</v>
      </c>
    </row>
    <row r="131" customFormat="false" ht="15" hidden="false" customHeight="false" outlineLevel="0" collapsed="false">
      <c r="A131" s="22" t="s">
        <v>580</v>
      </c>
      <c r="B131" s="22" t="s">
        <v>581</v>
      </c>
      <c r="C131" s="22" t="s">
        <v>15</v>
      </c>
      <c r="D131" s="22" t="s">
        <v>60</v>
      </c>
      <c r="E131" s="22" t="s">
        <v>582</v>
      </c>
      <c r="F131" s="23" t="n">
        <v>32401.21</v>
      </c>
      <c r="G131" s="24" t="n">
        <v>1.1555</v>
      </c>
      <c r="H131" s="24" t="n">
        <v>0.622</v>
      </c>
      <c r="I131" s="22" t="s">
        <v>203</v>
      </c>
      <c r="J131" s="22"/>
      <c r="K131" s="23" t="n">
        <v>30816.04</v>
      </c>
      <c r="L131" s="22" t="s">
        <v>204</v>
      </c>
      <c r="M131" s="22" t="s">
        <v>205</v>
      </c>
    </row>
    <row r="132" customFormat="false" ht="15" hidden="false" customHeight="false" outlineLevel="0" collapsed="false">
      <c r="A132" s="22" t="s">
        <v>583</v>
      </c>
      <c r="B132" s="22" t="s">
        <v>584</v>
      </c>
      <c r="C132" s="22" t="s">
        <v>17</v>
      </c>
      <c r="D132" s="22" t="s">
        <v>58</v>
      </c>
      <c r="E132" s="22" t="s">
        <v>585</v>
      </c>
      <c r="F132" s="23" t="n">
        <v>27936.7</v>
      </c>
      <c r="G132" s="24" t="n">
        <v>1.2507</v>
      </c>
      <c r="H132" s="24" t="n">
        <v>0.9662</v>
      </c>
      <c r="I132" s="22" t="s">
        <v>203</v>
      </c>
      <c r="J132" s="22"/>
      <c r="K132" s="23" t="n">
        <v>44747.63</v>
      </c>
      <c r="L132" s="22" t="s">
        <v>204</v>
      </c>
      <c r="M132" s="22" t="s">
        <v>205</v>
      </c>
    </row>
    <row r="133" customFormat="false" ht="15" hidden="false" customHeight="false" outlineLevel="0" collapsed="false">
      <c r="A133" s="22" t="s">
        <v>586</v>
      </c>
      <c r="B133" s="22" t="s">
        <v>587</v>
      </c>
      <c r="C133" s="22" t="s">
        <v>15</v>
      </c>
      <c r="D133" s="22" t="s">
        <v>61</v>
      </c>
      <c r="E133" s="22" t="s">
        <v>588</v>
      </c>
      <c r="F133" s="23" t="n">
        <v>3820.34</v>
      </c>
      <c r="G133" s="24" t="n">
        <v>1.0957</v>
      </c>
      <c r="H133" s="24" t="n">
        <v>0.6685</v>
      </c>
      <c r="I133" s="22" t="s">
        <v>203</v>
      </c>
      <c r="J133" s="22"/>
      <c r="K133" s="23" t="n">
        <v>3702.97</v>
      </c>
      <c r="L133" s="22" t="s">
        <v>204</v>
      </c>
      <c r="M133" s="22" t="s">
        <v>205</v>
      </c>
    </row>
    <row r="134" customFormat="false" ht="15" hidden="false" customHeight="false" outlineLevel="0" collapsed="false">
      <c r="A134" s="22" t="s">
        <v>589</v>
      </c>
      <c r="B134" s="22" t="s">
        <v>590</v>
      </c>
      <c r="C134" s="22" t="s">
        <v>15</v>
      </c>
      <c r="D134" s="22" t="s">
        <v>58</v>
      </c>
      <c r="E134" s="22" t="s">
        <v>591</v>
      </c>
      <c r="F134" s="23" t="n">
        <v>45251.82</v>
      </c>
      <c r="G134" s="24" t="n">
        <v>1.0423</v>
      </c>
      <c r="H134" s="24" t="n">
        <v>0.9408</v>
      </c>
      <c r="I134" s="22" t="s">
        <v>203</v>
      </c>
      <c r="J134" s="22"/>
      <c r="K134" s="23" t="n">
        <v>58719.37</v>
      </c>
      <c r="L134" s="22" t="s">
        <v>204</v>
      </c>
      <c r="M134" s="22" t="s">
        <v>205</v>
      </c>
    </row>
    <row r="135" customFormat="false" ht="15" hidden="false" customHeight="false" outlineLevel="0" collapsed="false">
      <c r="A135" s="22" t="s">
        <v>592</v>
      </c>
      <c r="B135" s="22" t="s">
        <v>593</v>
      </c>
      <c r="C135" s="22" t="s">
        <v>15</v>
      </c>
      <c r="D135" s="22" t="s">
        <v>59</v>
      </c>
      <c r="E135" s="22" t="s">
        <v>594</v>
      </c>
      <c r="F135" s="23" t="n">
        <v>138604.14</v>
      </c>
      <c r="G135" s="24" t="n">
        <v>1.1887</v>
      </c>
      <c r="H135" s="24" t="n">
        <v>0.2975</v>
      </c>
      <c r="I135" s="22" t="s">
        <v>203</v>
      </c>
      <c r="J135" s="22"/>
      <c r="K135" s="23" t="n">
        <v>64862.06</v>
      </c>
      <c r="L135" s="22" t="s">
        <v>204</v>
      </c>
      <c r="M135" s="22" t="s">
        <v>205</v>
      </c>
    </row>
    <row r="136" customFormat="false" ht="15" hidden="false" customHeight="false" outlineLevel="0" collapsed="false">
      <c r="A136" s="22" t="s">
        <v>595</v>
      </c>
      <c r="B136" s="22" t="s">
        <v>596</v>
      </c>
      <c r="C136" s="22" t="s">
        <v>17</v>
      </c>
      <c r="D136" s="22" t="s">
        <v>60</v>
      </c>
      <c r="E136" s="22" t="s">
        <v>597</v>
      </c>
      <c r="F136" s="23" t="n">
        <v>9902.63</v>
      </c>
      <c r="G136" s="24" t="n">
        <v>1.2208</v>
      </c>
      <c r="H136" s="24" t="n">
        <v>0.0745</v>
      </c>
      <c r="I136" s="22" t="s">
        <v>203</v>
      </c>
      <c r="J136" s="22"/>
      <c r="K136" s="23" t="n">
        <v>1193.78</v>
      </c>
      <c r="L136" s="22" t="s">
        <v>204</v>
      </c>
      <c r="M136" s="22" t="s">
        <v>205</v>
      </c>
    </row>
    <row r="137" customFormat="false" ht="15" hidden="false" customHeight="false" outlineLevel="0" collapsed="false">
      <c r="A137" s="22" t="s">
        <v>598</v>
      </c>
      <c r="B137" s="22" t="s">
        <v>599</v>
      </c>
      <c r="C137" s="22" t="s">
        <v>17</v>
      </c>
      <c r="D137" s="22" t="s">
        <v>58</v>
      </c>
      <c r="E137" s="22" t="s">
        <v>600</v>
      </c>
      <c r="F137" s="23" t="n">
        <v>22975.19</v>
      </c>
      <c r="G137" s="24" t="n">
        <v>1.1856</v>
      </c>
      <c r="H137" s="24" t="n">
        <v>0.2957</v>
      </c>
      <c r="I137" s="22" t="s">
        <v>203</v>
      </c>
      <c r="J137" s="22"/>
      <c r="K137" s="23" t="n">
        <v>10676.36</v>
      </c>
      <c r="L137" s="22" t="s">
        <v>204</v>
      </c>
      <c r="M137" s="22" t="s">
        <v>205</v>
      </c>
    </row>
    <row r="138" customFormat="false" ht="15" hidden="false" customHeight="false" outlineLevel="0" collapsed="false">
      <c r="A138" s="22" t="s">
        <v>601</v>
      </c>
      <c r="B138" s="22" t="s">
        <v>602</v>
      </c>
      <c r="C138" s="22" t="s">
        <v>17</v>
      </c>
      <c r="D138" s="22" t="s">
        <v>61</v>
      </c>
      <c r="E138" s="22" t="s">
        <v>603</v>
      </c>
      <c r="F138" s="23" t="n">
        <v>4225.03</v>
      </c>
      <c r="G138" s="24" t="n">
        <v>1.141</v>
      </c>
      <c r="H138" s="24" t="n">
        <v>0.8282</v>
      </c>
      <c r="I138" s="22" t="s">
        <v>203</v>
      </c>
      <c r="J138" s="22"/>
      <c r="K138" s="23" t="n">
        <v>5292.07</v>
      </c>
      <c r="L138" s="22" t="s">
        <v>204</v>
      </c>
      <c r="M138" s="22" t="s">
        <v>205</v>
      </c>
    </row>
    <row r="139" customFormat="false" ht="15" hidden="false" customHeight="false" outlineLevel="0" collapsed="false">
      <c r="A139" s="22" t="s">
        <v>604</v>
      </c>
      <c r="B139" s="22" t="s">
        <v>605</v>
      </c>
      <c r="C139" s="22" t="s">
        <v>15</v>
      </c>
      <c r="D139" s="22" t="s">
        <v>58</v>
      </c>
      <c r="E139" s="22" t="s">
        <v>606</v>
      </c>
      <c r="F139" s="23" t="n">
        <v>87428.07</v>
      </c>
      <c r="G139" s="24" t="n">
        <v>1.2086</v>
      </c>
      <c r="H139" s="24" t="n">
        <v>0.3349</v>
      </c>
      <c r="I139" s="22" t="s">
        <v>203</v>
      </c>
      <c r="J139" s="22"/>
      <c r="K139" s="23" t="n">
        <v>46827.82</v>
      </c>
      <c r="L139" s="22" t="s">
        <v>204</v>
      </c>
      <c r="M139" s="22" t="s">
        <v>205</v>
      </c>
    </row>
    <row r="140" customFormat="false" ht="15" hidden="false" customHeight="false" outlineLevel="0" collapsed="false">
      <c r="A140" s="22" t="s">
        <v>607</v>
      </c>
      <c r="B140" s="22" t="s">
        <v>608</v>
      </c>
      <c r="C140" s="22" t="s">
        <v>15</v>
      </c>
      <c r="D140" s="22" t="s">
        <v>60</v>
      </c>
      <c r="E140" s="22" t="s">
        <v>609</v>
      </c>
      <c r="F140" s="23" t="n">
        <v>9094.68</v>
      </c>
      <c r="G140" s="24" t="n">
        <v>1.2457</v>
      </c>
      <c r="H140" s="24" t="n">
        <v>0.2389</v>
      </c>
      <c r="I140" s="22" t="s">
        <v>203</v>
      </c>
      <c r="J140" s="22"/>
      <c r="K140" s="23" t="n">
        <v>3581.56</v>
      </c>
      <c r="L140" s="22" t="s">
        <v>204</v>
      </c>
      <c r="M140" s="22" t="s">
        <v>205</v>
      </c>
    </row>
    <row r="141" customFormat="false" ht="15" hidden="false" customHeight="false" outlineLevel="0" collapsed="false">
      <c r="A141" s="22" t="s">
        <v>610</v>
      </c>
      <c r="B141" s="22" t="s">
        <v>611</v>
      </c>
      <c r="C141" s="22" t="s">
        <v>17</v>
      </c>
      <c r="D141" s="22" t="s">
        <v>61</v>
      </c>
      <c r="E141" s="22" t="s">
        <v>612</v>
      </c>
      <c r="F141" s="23" t="n">
        <v>9416.71</v>
      </c>
      <c r="G141" s="24" t="n">
        <v>1.1834</v>
      </c>
      <c r="H141" s="24" t="n">
        <v>0.8899</v>
      </c>
      <c r="I141" s="22" t="s">
        <v>203</v>
      </c>
      <c r="J141" s="22"/>
      <c r="K141" s="23" t="n">
        <v>13144.58</v>
      </c>
      <c r="L141" s="22" t="s">
        <v>204</v>
      </c>
      <c r="M141" s="22" t="s">
        <v>205</v>
      </c>
    </row>
    <row r="142" customFormat="false" ht="15" hidden="false" customHeight="false" outlineLevel="0" collapsed="false">
      <c r="A142" s="22" t="s">
        <v>613</v>
      </c>
      <c r="B142" s="22" t="s">
        <v>614</v>
      </c>
      <c r="C142" s="22" t="s">
        <v>15</v>
      </c>
      <c r="D142" s="22" t="s">
        <v>58</v>
      </c>
      <c r="E142" s="22" t="s">
        <v>615</v>
      </c>
      <c r="F142" s="23" t="n">
        <v>18577.92</v>
      </c>
      <c r="G142" s="24" t="n">
        <v>1.094</v>
      </c>
      <c r="H142" s="24" t="n">
        <v>0.5483</v>
      </c>
      <c r="I142" s="22" t="s">
        <v>203</v>
      </c>
      <c r="J142" s="22"/>
      <c r="K142" s="23" t="n">
        <v>14746.47</v>
      </c>
      <c r="L142" s="22" t="s">
        <v>204</v>
      </c>
      <c r="M142" s="22" t="s">
        <v>205</v>
      </c>
    </row>
    <row r="143" customFormat="false" ht="15" hidden="false" customHeight="false" outlineLevel="0" collapsed="false">
      <c r="A143" s="22" t="s">
        <v>616</v>
      </c>
      <c r="B143" s="22" t="s">
        <v>617</v>
      </c>
      <c r="C143" s="22" t="s">
        <v>15</v>
      </c>
      <c r="D143" s="22" t="s">
        <v>58</v>
      </c>
      <c r="E143" s="22" t="s">
        <v>618</v>
      </c>
      <c r="F143" s="23" t="n">
        <v>59764.69</v>
      </c>
      <c r="G143" s="24" t="n">
        <v>1.0063</v>
      </c>
      <c r="H143" s="24" t="n">
        <v>0.7217</v>
      </c>
      <c r="I143" s="22" t="s">
        <v>203</v>
      </c>
      <c r="J143" s="22"/>
      <c r="K143" s="23" t="n">
        <v>57435.99</v>
      </c>
      <c r="L143" s="22" t="s">
        <v>204</v>
      </c>
      <c r="M143" s="22" t="s">
        <v>205</v>
      </c>
    </row>
    <row r="144" customFormat="false" ht="15" hidden="false" customHeight="false" outlineLevel="0" collapsed="false">
      <c r="A144" s="22" t="s">
        <v>619</v>
      </c>
      <c r="B144" s="22" t="s">
        <v>620</v>
      </c>
      <c r="C144" s="22" t="s">
        <v>19</v>
      </c>
      <c r="D144" s="22" t="s">
        <v>60</v>
      </c>
      <c r="E144" s="22" t="s">
        <v>621</v>
      </c>
      <c r="F144" s="23" t="n">
        <v>12550.36</v>
      </c>
      <c r="G144" s="24" t="n">
        <v>1.0053</v>
      </c>
      <c r="H144" s="24" t="n">
        <v>0.0775</v>
      </c>
      <c r="I144" s="22" t="s">
        <v>203</v>
      </c>
      <c r="J144" s="22"/>
      <c r="K144" s="23" t="n">
        <v>1306.02</v>
      </c>
      <c r="L144" s="22" t="s">
        <v>204</v>
      </c>
      <c r="M144" s="22" t="s">
        <v>205</v>
      </c>
    </row>
    <row r="145" customFormat="false" ht="15" hidden="false" customHeight="false" outlineLevel="0" collapsed="false">
      <c r="A145" s="22" t="s">
        <v>622</v>
      </c>
      <c r="B145" s="22" t="s">
        <v>623</v>
      </c>
      <c r="C145" s="22" t="s">
        <v>17</v>
      </c>
      <c r="D145" s="22" t="s">
        <v>58</v>
      </c>
      <c r="E145" s="22" t="s">
        <v>624</v>
      </c>
      <c r="F145" s="23" t="n">
        <v>24702.86</v>
      </c>
      <c r="G145" s="24" t="n">
        <v>1.0652</v>
      </c>
      <c r="H145" s="24" t="n">
        <v>0.0144</v>
      </c>
      <c r="I145" s="22" t="s">
        <v>203</v>
      </c>
      <c r="J145" s="22"/>
      <c r="K145" s="23" t="n">
        <v>502.24</v>
      </c>
      <c r="L145" s="22" t="s">
        <v>204</v>
      </c>
      <c r="M145" s="22" t="s">
        <v>205</v>
      </c>
    </row>
    <row r="146" customFormat="false" ht="15" hidden="false" customHeight="false" outlineLevel="0" collapsed="false">
      <c r="A146" s="22" t="s">
        <v>625</v>
      </c>
      <c r="B146" s="22" t="s">
        <v>626</v>
      </c>
      <c r="C146" s="22" t="s">
        <v>15</v>
      </c>
      <c r="D146" s="22" t="s">
        <v>61</v>
      </c>
      <c r="E146" s="22" t="s">
        <v>627</v>
      </c>
      <c r="F146" s="23" t="n">
        <v>2562.97</v>
      </c>
      <c r="G146" s="24" t="n">
        <v>1.0734</v>
      </c>
      <c r="H146" s="24" t="n">
        <v>0.2177</v>
      </c>
      <c r="I146" s="22" t="s">
        <v>203</v>
      </c>
      <c r="J146" s="22"/>
      <c r="K146" s="23" t="n">
        <v>792.54</v>
      </c>
      <c r="L146" s="22" t="s">
        <v>204</v>
      </c>
      <c r="M146" s="22" t="s">
        <v>205</v>
      </c>
    </row>
    <row r="147" customFormat="false" ht="15" hidden="false" customHeight="false" outlineLevel="0" collapsed="false">
      <c r="A147" s="22" t="s">
        <v>628</v>
      </c>
      <c r="B147" s="22" t="s">
        <v>629</v>
      </c>
      <c r="C147" s="22" t="s">
        <v>17</v>
      </c>
      <c r="D147" s="22" t="s">
        <v>61</v>
      </c>
      <c r="E147" s="22" t="s">
        <v>630</v>
      </c>
      <c r="F147" s="23" t="n">
        <v>9350.28</v>
      </c>
      <c r="G147" s="24" t="n">
        <v>1.0988</v>
      </c>
      <c r="H147" s="24" t="n">
        <v>0.3055</v>
      </c>
      <c r="I147" s="22" t="s">
        <v>203</v>
      </c>
      <c r="J147" s="22"/>
      <c r="K147" s="23" t="n">
        <v>4160.34</v>
      </c>
      <c r="L147" s="22" t="s">
        <v>204</v>
      </c>
      <c r="M147" s="22" t="s">
        <v>205</v>
      </c>
    </row>
    <row r="148" customFormat="false" ht="15" hidden="false" customHeight="false" outlineLevel="0" collapsed="false">
      <c r="A148" s="22" t="s">
        <v>631</v>
      </c>
      <c r="B148" s="22" t="s">
        <v>632</v>
      </c>
      <c r="C148" s="22" t="s">
        <v>17</v>
      </c>
      <c r="D148" s="22" t="s">
        <v>60</v>
      </c>
      <c r="E148" s="22" t="s">
        <v>633</v>
      </c>
      <c r="F148" s="23" t="n">
        <v>31647.79</v>
      </c>
      <c r="G148" s="24" t="n">
        <v>1.2374</v>
      </c>
      <c r="H148" s="24" t="n">
        <v>0.0513</v>
      </c>
      <c r="I148" s="22" t="s">
        <v>203</v>
      </c>
      <c r="J148" s="22"/>
      <c r="K148" s="23" t="n">
        <v>2662.84</v>
      </c>
      <c r="L148" s="22" t="s">
        <v>204</v>
      </c>
      <c r="M148" s="22" t="s">
        <v>205</v>
      </c>
    </row>
    <row r="149" customFormat="false" ht="15" hidden="false" customHeight="false" outlineLevel="0" collapsed="false">
      <c r="A149" s="22" t="s">
        <v>634</v>
      </c>
      <c r="B149" s="22" t="s">
        <v>635</v>
      </c>
      <c r="C149" s="22" t="s">
        <v>17</v>
      </c>
      <c r="D149" s="22" t="s">
        <v>60</v>
      </c>
      <c r="E149" s="22" t="s">
        <v>636</v>
      </c>
      <c r="F149" s="23" t="n">
        <v>23894.71</v>
      </c>
      <c r="G149" s="24" t="n">
        <v>1.2794</v>
      </c>
      <c r="H149" s="24" t="n">
        <v>0.4196</v>
      </c>
      <c r="I149" s="22" t="s">
        <v>203</v>
      </c>
      <c r="J149" s="22"/>
      <c r="K149" s="23" t="n">
        <v>17002.72</v>
      </c>
      <c r="L149" s="22" t="s">
        <v>204</v>
      </c>
      <c r="M149" s="22" t="s">
        <v>205</v>
      </c>
    </row>
    <row r="150" customFormat="false" ht="15" hidden="false" customHeight="false" outlineLevel="0" collapsed="false">
      <c r="A150" s="22" t="s">
        <v>637</v>
      </c>
      <c r="B150" s="22" t="s">
        <v>638</v>
      </c>
      <c r="C150" s="22" t="s">
        <v>17</v>
      </c>
      <c r="D150" s="22" t="s">
        <v>58</v>
      </c>
      <c r="E150" s="22" t="s">
        <v>639</v>
      </c>
      <c r="F150" s="23" t="n">
        <v>63640.03</v>
      </c>
      <c r="G150" s="24" t="n">
        <v>1.0963</v>
      </c>
      <c r="H150" s="24" t="n">
        <v>0.3857</v>
      </c>
      <c r="I150" s="22" t="s">
        <v>203</v>
      </c>
      <c r="J150" s="22"/>
      <c r="K150" s="23" t="n">
        <v>35668.44</v>
      </c>
      <c r="L150" s="22" t="s">
        <v>204</v>
      </c>
      <c r="M150" s="22" t="s">
        <v>205</v>
      </c>
    </row>
    <row r="151" customFormat="false" ht="15" hidden="false" customHeight="false" outlineLevel="0" collapsed="false">
      <c r="A151" s="22" t="s">
        <v>640</v>
      </c>
      <c r="B151" s="22" t="s">
        <v>641</v>
      </c>
      <c r="C151" s="22" t="s">
        <v>19</v>
      </c>
      <c r="D151" s="22" t="s">
        <v>61</v>
      </c>
      <c r="E151" s="22" t="s">
        <v>642</v>
      </c>
      <c r="F151" s="23" t="n">
        <v>3338.15</v>
      </c>
      <c r="G151" s="24" t="n">
        <v>1.086</v>
      </c>
      <c r="H151" s="24" t="n">
        <v>0.7802</v>
      </c>
      <c r="I151" s="22" t="s">
        <v>203</v>
      </c>
      <c r="J151" s="22"/>
      <c r="K151" s="23" t="n">
        <v>3777.79</v>
      </c>
      <c r="L151" s="22" t="s">
        <v>204</v>
      </c>
      <c r="M151" s="22" t="s">
        <v>205</v>
      </c>
    </row>
    <row r="152" customFormat="false" ht="15" hidden="false" customHeight="false" outlineLevel="0" collapsed="false">
      <c r="A152" s="22" t="s">
        <v>643</v>
      </c>
      <c r="B152" s="22" t="s">
        <v>644</v>
      </c>
      <c r="C152" s="22" t="s">
        <v>15</v>
      </c>
      <c r="D152" s="22" t="s">
        <v>58</v>
      </c>
      <c r="E152" s="22" t="s">
        <v>645</v>
      </c>
      <c r="F152" s="23" t="n">
        <v>60265.28</v>
      </c>
      <c r="G152" s="24" t="n">
        <v>1.2608</v>
      </c>
      <c r="H152" s="24" t="n">
        <v>0.4719</v>
      </c>
      <c r="I152" s="22" t="s">
        <v>203</v>
      </c>
      <c r="J152" s="22"/>
      <c r="K152" s="23" t="n">
        <v>47448.08</v>
      </c>
      <c r="L152" s="22" t="s">
        <v>204</v>
      </c>
      <c r="M152" s="22" t="s">
        <v>205</v>
      </c>
    </row>
    <row r="153" customFormat="false" ht="15" hidden="false" customHeight="false" outlineLevel="0" collapsed="false">
      <c r="A153" s="22" t="s">
        <v>646</v>
      </c>
      <c r="B153" s="22" t="s">
        <v>647</v>
      </c>
      <c r="C153" s="22" t="s">
        <v>15</v>
      </c>
      <c r="D153" s="22" t="s">
        <v>61</v>
      </c>
      <c r="E153" s="22" t="s">
        <v>648</v>
      </c>
      <c r="F153" s="23" t="n">
        <v>3716.82</v>
      </c>
      <c r="G153" s="24" t="n">
        <v>1.1688</v>
      </c>
      <c r="H153" s="24" t="n">
        <v>0.3081</v>
      </c>
      <c r="I153" s="22" t="s">
        <v>203</v>
      </c>
      <c r="J153" s="22"/>
      <c r="K153" s="23" t="n">
        <v>1771.16</v>
      </c>
      <c r="L153" s="22" t="s">
        <v>204</v>
      </c>
      <c r="M153" s="22" t="s">
        <v>205</v>
      </c>
    </row>
    <row r="154" customFormat="false" ht="15" hidden="false" customHeight="false" outlineLevel="0" collapsed="false">
      <c r="A154" s="22" t="s">
        <v>649</v>
      </c>
      <c r="B154" s="22" t="s">
        <v>650</v>
      </c>
      <c r="C154" s="22" t="s">
        <v>17</v>
      </c>
      <c r="D154" s="22" t="s">
        <v>58</v>
      </c>
      <c r="E154" s="22" t="s">
        <v>651</v>
      </c>
      <c r="F154" s="23" t="n">
        <v>28797.55</v>
      </c>
      <c r="G154" s="24" t="n">
        <v>1.1488</v>
      </c>
      <c r="H154" s="24" t="n">
        <v>0.1254</v>
      </c>
      <c r="I154" s="22" t="s">
        <v>203</v>
      </c>
      <c r="J154" s="22"/>
      <c r="K154" s="23" t="n">
        <v>5498.85</v>
      </c>
      <c r="L154" s="22" t="s">
        <v>204</v>
      </c>
      <c r="M154" s="22" t="s">
        <v>205</v>
      </c>
    </row>
    <row r="155" customFormat="false" ht="15" hidden="false" customHeight="false" outlineLevel="0" collapsed="false">
      <c r="A155" s="22" t="s">
        <v>652</v>
      </c>
      <c r="B155" s="22" t="s">
        <v>653</v>
      </c>
      <c r="C155" s="22" t="s">
        <v>15</v>
      </c>
      <c r="D155" s="22" t="s">
        <v>61</v>
      </c>
      <c r="E155" s="22" t="s">
        <v>654</v>
      </c>
      <c r="F155" s="23" t="n">
        <v>8810.81</v>
      </c>
      <c r="G155" s="24" t="n">
        <v>1.2524</v>
      </c>
      <c r="H155" s="24" t="n">
        <v>0.6788</v>
      </c>
      <c r="I155" s="22" t="s">
        <v>203</v>
      </c>
      <c r="J155" s="22"/>
      <c r="K155" s="23" t="n">
        <v>9911.88</v>
      </c>
      <c r="L155" s="22" t="s">
        <v>204</v>
      </c>
      <c r="M155" s="22" t="s">
        <v>205</v>
      </c>
    </row>
    <row r="156" customFormat="false" ht="15" hidden="false" customHeight="false" outlineLevel="0" collapsed="false">
      <c r="A156" s="22" t="s">
        <v>655</v>
      </c>
      <c r="B156" s="22" t="s">
        <v>656</v>
      </c>
      <c r="C156" s="22" t="s">
        <v>17</v>
      </c>
      <c r="D156" s="22" t="s">
        <v>61</v>
      </c>
      <c r="E156" s="22" t="s">
        <v>657</v>
      </c>
      <c r="F156" s="23" t="n">
        <v>8439.66</v>
      </c>
      <c r="G156" s="24" t="n">
        <v>1.0385</v>
      </c>
      <c r="H156" s="24" t="n">
        <v>0.2033</v>
      </c>
      <c r="I156" s="22" t="s">
        <v>203</v>
      </c>
      <c r="J156" s="22"/>
      <c r="K156" s="23" t="n">
        <v>2361.8</v>
      </c>
      <c r="L156" s="22" t="s">
        <v>204</v>
      </c>
      <c r="M156" s="22" t="s">
        <v>205</v>
      </c>
    </row>
    <row r="157" customFormat="false" ht="15" hidden="false" customHeight="false" outlineLevel="0" collapsed="false">
      <c r="A157" s="22" t="s">
        <v>658</v>
      </c>
      <c r="B157" s="22" t="s">
        <v>659</v>
      </c>
      <c r="C157" s="22" t="s">
        <v>17</v>
      </c>
      <c r="D157" s="22" t="s">
        <v>60</v>
      </c>
      <c r="E157" s="22" t="s">
        <v>660</v>
      </c>
      <c r="F157" s="23" t="n">
        <v>24514.47</v>
      </c>
      <c r="G157" s="24" t="n">
        <v>1.1839</v>
      </c>
      <c r="H157" s="24" t="n">
        <v>0.8827</v>
      </c>
      <c r="I157" s="22" t="s">
        <v>203</v>
      </c>
      <c r="J157" s="22"/>
      <c r="K157" s="23" t="n">
        <v>33956.69</v>
      </c>
      <c r="L157" s="22" t="s">
        <v>204</v>
      </c>
      <c r="M157" s="22" t="s">
        <v>205</v>
      </c>
    </row>
    <row r="158" customFormat="false" ht="15" hidden="false" customHeight="false" outlineLevel="0" collapsed="false">
      <c r="A158" s="22" t="s">
        <v>661</v>
      </c>
      <c r="B158" s="22" t="s">
        <v>662</v>
      </c>
      <c r="C158" s="22" t="s">
        <v>17</v>
      </c>
      <c r="D158" s="22" t="s">
        <v>59</v>
      </c>
      <c r="E158" s="22" t="s">
        <v>663</v>
      </c>
      <c r="F158" s="23" t="n">
        <v>59771.61</v>
      </c>
      <c r="G158" s="24" t="n">
        <v>1.2081</v>
      </c>
      <c r="H158" s="24" t="n">
        <v>0.4927</v>
      </c>
      <c r="I158" s="22" t="s">
        <v>203</v>
      </c>
      <c r="J158" s="22"/>
      <c r="K158" s="23" t="n">
        <v>47157.97</v>
      </c>
      <c r="L158" s="22" t="s">
        <v>204</v>
      </c>
      <c r="M158" s="22" t="s">
        <v>205</v>
      </c>
    </row>
    <row r="159" customFormat="false" ht="15" hidden="false" customHeight="false" outlineLevel="0" collapsed="false">
      <c r="A159" s="22" t="s">
        <v>664</v>
      </c>
      <c r="B159" s="22" t="s">
        <v>665</v>
      </c>
      <c r="C159" s="22" t="s">
        <v>17</v>
      </c>
      <c r="D159" s="22" t="s">
        <v>59</v>
      </c>
      <c r="E159" s="22" t="s">
        <v>666</v>
      </c>
      <c r="F159" s="23" t="n">
        <v>135494.27</v>
      </c>
      <c r="G159" s="24" t="n">
        <v>1.2754</v>
      </c>
      <c r="H159" s="24" t="n">
        <v>0.699</v>
      </c>
      <c r="I159" s="22" t="s">
        <v>203</v>
      </c>
      <c r="J159" s="22"/>
      <c r="K159" s="23" t="n">
        <v>160110.28</v>
      </c>
      <c r="L159" s="22" t="s">
        <v>204</v>
      </c>
      <c r="M159" s="22" t="s">
        <v>205</v>
      </c>
    </row>
    <row r="160" customFormat="false" ht="15" hidden="false" customHeight="false" outlineLevel="0" collapsed="false">
      <c r="A160" s="22" t="s">
        <v>667</v>
      </c>
      <c r="B160" s="22" t="s">
        <v>668</v>
      </c>
      <c r="C160" s="22" t="s">
        <v>17</v>
      </c>
      <c r="D160" s="22" t="s">
        <v>62</v>
      </c>
      <c r="E160" s="22" t="s">
        <v>669</v>
      </c>
      <c r="F160" s="23" t="n">
        <v>1287589.44</v>
      </c>
      <c r="G160" s="24" t="n">
        <v>1.0387</v>
      </c>
      <c r="H160" s="24" t="n">
        <v>0.0354</v>
      </c>
      <c r="I160" s="22" t="s">
        <v>203</v>
      </c>
      <c r="J160" s="22"/>
      <c r="K160" s="23" t="n">
        <v>62754.59</v>
      </c>
      <c r="L160" s="22" t="s">
        <v>204</v>
      </c>
      <c r="M160" s="22" t="s">
        <v>205</v>
      </c>
    </row>
    <row r="161" customFormat="false" ht="15" hidden="false" customHeight="false" outlineLevel="0" collapsed="false">
      <c r="A161" s="22" t="s">
        <v>670</v>
      </c>
      <c r="B161" s="22" t="s">
        <v>671</v>
      </c>
      <c r="C161" s="22" t="s">
        <v>15</v>
      </c>
      <c r="D161" s="22" t="s">
        <v>60</v>
      </c>
      <c r="E161" s="22" t="s">
        <v>672</v>
      </c>
      <c r="F161" s="23" t="n">
        <v>26666.38</v>
      </c>
      <c r="G161" s="24" t="n">
        <v>1.2954</v>
      </c>
      <c r="H161" s="24" t="n">
        <v>0.0637</v>
      </c>
      <c r="I161" s="22" t="s">
        <v>203</v>
      </c>
      <c r="J161" s="22"/>
      <c r="K161" s="23" t="n">
        <v>2911.81</v>
      </c>
      <c r="L161" s="22" t="s">
        <v>204</v>
      </c>
      <c r="M161" s="22" t="s">
        <v>205</v>
      </c>
    </row>
    <row r="162" customFormat="false" ht="15" hidden="false" customHeight="false" outlineLevel="0" collapsed="false">
      <c r="A162" s="22" t="s">
        <v>673</v>
      </c>
      <c r="B162" s="22" t="s">
        <v>674</v>
      </c>
      <c r="C162" s="22" t="s">
        <v>17</v>
      </c>
      <c r="D162" s="22" t="s">
        <v>60</v>
      </c>
      <c r="E162" s="22" t="s">
        <v>675</v>
      </c>
      <c r="F162" s="23" t="n">
        <v>26722.33</v>
      </c>
      <c r="G162" s="24" t="n">
        <v>1.0245</v>
      </c>
      <c r="H162" s="24" t="n">
        <v>0.0511</v>
      </c>
      <c r="I162" s="22" t="s">
        <v>203</v>
      </c>
      <c r="J162" s="22"/>
      <c r="K162" s="23" t="n">
        <v>1592.3</v>
      </c>
      <c r="L162" s="22" t="s">
        <v>204</v>
      </c>
      <c r="M162" s="22" t="s">
        <v>205</v>
      </c>
    </row>
    <row r="163" customFormat="false" ht="15" hidden="false" customHeight="false" outlineLevel="0" collapsed="false">
      <c r="A163" s="22" t="s">
        <v>676</v>
      </c>
      <c r="B163" s="22" t="s">
        <v>677</v>
      </c>
      <c r="C163" s="22" t="s">
        <v>15</v>
      </c>
      <c r="D163" s="22" t="s">
        <v>61</v>
      </c>
      <c r="E163" s="22" t="s">
        <v>678</v>
      </c>
      <c r="F163" s="23" t="n">
        <v>3782.58</v>
      </c>
      <c r="G163" s="24" t="n">
        <v>1.1311</v>
      </c>
      <c r="H163" s="24" t="n">
        <v>0.6475</v>
      </c>
      <c r="I163" s="22" t="s">
        <v>203</v>
      </c>
      <c r="J163" s="22"/>
      <c r="K163" s="23" t="n">
        <v>3665.93</v>
      </c>
      <c r="L163" s="22" t="s">
        <v>204</v>
      </c>
      <c r="M163" s="22" t="s">
        <v>205</v>
      </c>
    </row>
    <row r="164" customFormat="false" ht="15" hidden="false" customHeight="false" outlineLevel="0" collapsed="false">
      <c r="A164" s="22" t="s">
        <v>679</v>
      </c>
      <c r="B164" s="22" t="s">
        <v>680</v>
      </c>
      <c r="C164" s="22" t="s">
        <v>17</v>
      </c>
      <c r="D164" s="22" t="s">
        <v>60</v>
      </c>
      <c r="E164" s="22" t="s">
        <v>681</v>
      </c>
      <c r="F164" s="23" t="n">
        <v>23350.11</v>
      </c>
      <c r="G164" s="24" t="n">
        <v>1.1482</v>
      </c>
      <c r="H164" s="24" t="n">
        <v>0.6684</v>
      </c>
      <c r="I164" s="22" t="s">
        <v>203</v>
      </c>
      <c r="J164" s="22"/>
      <c r="K164" s="23" t="n">
        <v>23752.95</v>
      </c>
      <c r="L164" s="22" t="s">
        <v>204</v>
      </c>
      <c r="M164" s="22" t="s">
        <v>205</v>
      </c>
    </row>
    <row r="165" customFormat="false" ht="15" hidden="false" customHeight="false" outlineLevel="0" collapsed="false">
      <c r="A165" s="22" t="s">
        <v>682</v>
      </c>
      <c r="B165" s="22" t="s">
        <v>683</v>
      </c>
      <c r="C165" s="22" t="s">
        <v>17</v>
      </c>
      <c r="D165" s="22" t="s">
        <v>58</v>
      </c>
      <c r="E165" s="22" t="s">
        <v>684</v>
      </c>
      <c r="F165" s="23" t="n">
        <v>73424.36</v>
      </c>
      <c r="G165" s="24" t="n">
        <v>1.0157</v>
      </c>
      <c r="H165" s="24" t="n">
        <v>0.9203</v>
      </c>
      <c r="I165" s="22" t="s">
        <v>203</v>
      </c>
      <c r="J165" s="22"/>
      <c r="K165" s="23" t="n">
        <v>90972.42</v>
      </c>
      <c r="L165" s="22" t="s">
        <v>204</v>
      </c>
      <c r="M165" s="22" t="s">
        <v>205</v>
      </c>
    </row>
    <row r="166" customFormat="false" ht="15" hidden="false" customHeight="false" outlineLevel="0" collapsed="false">
      <c r="A166" s="22" t="s">
        <v>685</v>
      </c>
      <c r="B166" s="22" t="s">
        <v>686</v>
      </c>
      <c r="C166" s="22" t="s">
        <v>17</v>
      </c>
      <c r="D166" s="22" t="s">
        <v>58</v>
      </c>
      <c r="E166" s="22" t="s">
        <v>687</v>
      </c>
      <c r="F166" s="23" t="n">
        <v>36921.03</v>
      </c>
      <c r="G166" s="24" t="n">
        <v>1.1486</v>
      </c>
      <c r="H166" s="24" t="n">
        <v>0.4986</v>
      </c>
      <c r="I166" s="22" t="s">
        <v>203</v>
      </c>
      <c r="J166" s="22"/>
      <c r="K166" s="23" t="n">
        <v>28026.55</v>
      </c>
      <c r="L166" s="22" t="s">
        <v>204</v>
      </c>
      <c r="M166" s="22" t="s">
        <v>205</v>
      </c>
    </row>
    <row r="167" customFormat="false" ht="15" hidden="false" customHeight="false" outlineLevel="0" collapsed="false">
      <c r="A167" s="22" t="s">
        <v>688</v>
      </c>
      <c r="B167" s="22" t="s">
        <v>689</v>
      </c>
      <c r="C167" s="22" t="s">
        <v>17</v>
      </c>
      <c r="D167" s="22" t="s">
        <v>62</v>
      </c>
      <c r="E167" s="22" t="s">
        <v>690</v>
      </c>
      <c r="F167" s="23" t="n">
        <v>876285.34</v>
      </c>
      <c r="G167" s="24" t="n">
        <v>1.2068</v>
      </c>
      <c r="H167" s="24" t="n">
        <v>0.4016</v>
      </c>
      <c r="I167" s="22" t="s">
        <v>203</v>
      </c>
      <c r="J167" s="22"/>
      <c r="K167" s="23" t="n">
        <v>562923.34</v>
      </c>
      <c r="L167" s="22" t="s">
        <v>204</v>
      </c>
      <c r="M167" s="22" t="s">
        <v>205</v>
      </c>
    </row>
    <row r="168" customFormat="false" ht="15" hidden="false" customHeight="false" outlineLevel="0" collapsed="false">
      <c r="A168" s="22" t="s">
        <v>691</v>
      </c>
      <c r="B168" s="22" t="s">
        <v>692</v>
      </c>
      <c r="C168" s="22" t="s">
        <v>17</v>
      </c>
      <c r="D168" s="22" t="s">
        <v>61</v>
      </c>
      <c r="E168" s="22" t="s">
        <v>693</v>
      </c>
      <c r="F168" s="23" t="n">
        <v>4988.75</v>
      </c>
      <c r="G168" s="24" t="n">
        <v>1.193</v>
      </c>
      <c r="H168" s="24" t="n">
        <v>0.5459</v>
      </c>
      <c r="I168" s="22" t="s">
        <v>203</v>
      </c>
      <c r="J168" s="22"/>
      <c r="K168" s="23" t="n">
        <v>4306.46</v>
      </c>
      <c r="L168" s="22" t="s">
        <v>204</v>
      </c>
      <c r="M168" s="22" t="s">
        <v>205</v>
      </c>
    </row>
    <row r="169" customFormat="false" ht="15" hidden="false" customHeight="false" outlineLevel="0" collapsed="false">
      <c r="A169" s="22" t="s">
        <v>694</v>
      </c>
      <c r="B169" s="22" t="s">
        <v>695</v>
      </c>
      <c r="C169" s="22" t="s">
        <v>15</v>
      </c>
      <c r="D169" s="22" t="s">
        <v>60</v>
      </c>
      <c r="E169" s="22" t="s">
        <v>696</v>
      </c>
      <c r="F169" s="23" t="n">
        <v>27965.2</v>
      </c>
      <c r="G169" s="24" t="n">
        <v>1.2536</v>
      </c>
      <c r="H169" s="24" t="n">
        <v>0.7457</v>
      </c>
      <c r="I169" s="22" t="s">
        <v>203</v>
      </c>
      <c r="J169" s="22"/>
      <c r="K169" s="23" t="n">
        <v>34593.65</v>
      </c>
      <c r="L169" s="22" t="s">
        <v>204</v>
      </c>
      <c r="M169" s="22" t="s">
        <v>205</v>
      </c>
    </row>
    <row r="170" customFormat="false" ht="15" hidden="false" customHeight="false" outlineLevel="0" collapsed="false">
      <c r="A170" s="22" t="s">
        <v>697</v>
      </c>
      <c r="B170" s="22" t="s">
        <v>698</v>
      </c>
      <c r="C170" s="22" t="s">
        <v>17</v>
      </c>
      <c r="D170" s="22" t="s">
        <v>61</v>
      </c>
      <c r="E170" s="22" t="s">
        <v>699</v>
      </c>
      <c r="F170" s="23" t="n">
        <v>2488.88</v>
      </c>
      <c r="G170" s="24" t="n">
        <v>1.2668</v>
      </c>
      <c r="H170" s="24" t="n">
        <v>0.2812</v>
      </c>
      <c r="I170" s="22" t="s">
        <v>203</v>
      </c>
      <c r="J170" s="22"/>
      <c r="K170" s="23" t="n">
        <v>1175.17</v>
      </c>
      <c r="L170" s="22" t="s">
        <v>204</v>
      </c>
      <c r="M170" s="22" t="s">
        <v>205</v>
      </c>
    </row>
    <row r="171" customFormat="false" ht="15" hidden="false" customHeight="false" outlineLevel="0" collapsed="false">
      <c r="A171" s="22" t="s">
        <v>700</v>
      </c>
      <c r="B171" s="22" t="s">
        <v>701</v>
      </c>
      <c r="C171" s="22" t="s">
        <v>15</v>
      </c>
      <c r="D171" s="22" t="s">
        <v>60</v>
      </c>
      <c r="E171" s="22" t="s">
        <v>702</v>
      </c>
      <c r="F171" s="23" t="n">
        <v>15827.37</v>
      </c>
      <c r="G171" s="24" t="n">
        <v>1.2316</v>
      </c>
      <c r="H171" s="24" t="n">
        <v>0.4309</v>
      </c>
      <c r="I171" s="22" t="s">
        <v>203</v>
      </c>
      <c r="J171" s="22"/>
      <c r="K171" s="23" t="n">
        <v>11115.02</v>
      </c>
      <c r="L171" s="22" t="s">
        <v>204</v>
      </c>
      <c r="M171" s="22" t="s">
        <v>205</v>
      </c>
    </row>
    <row r="172" customFormat="false" ht="15" hidden="false" customHeight="false" outlineLevel="0" collapsed="false">
      <c r="A172" s="22" t="s">
        <v>703</v>
      </c>
      <c r="B172" s="22" t="s">
        <v>704</v>
      </c>
      <c r="C172" s="22" t="s">
        <v>15</v>
      </c>
      <c r="D172" s="22" t="s">
        <v>59</v>
      </c>
      <c r="E172" s="22" t="s">
        <v>705</v>
      </c>
      <c r="F172" s="23" t="n">
        <v>72420.79</v>
      </c>
      <c r="G172" s="24" t="n">
        <v>1.2862</v>
      </c>
      <c r="H172" s="24" t="n">
        <v>0.5024</v>
      </c>
      <c r="I172" s="22" t="s">
        <v>203</v>
      </c>
      <c r="J172" s="22"/>
      <c r="K172" s="23" t="n">
        <v>61926.52</v>
      </c>
      <c r="L172" s="22" t="s">
        <v>204</v>
      </c>
      <c r="M172" s="22" t="s">
        <v>205</v>
      </c>
    </row>
    <row r="173" customFormat="false" ht="15" hidden="false" customHeight="false" outlineLevel="0" collapsed="false">
      <c r="A173" s="22" t="s">
        <v>706</v>
      </c>
      <c r="B173" s="22" t="s">
        <v>707</v>
      </c>
      <c r="C173" s="22" t="s">
        <v>17</v>
      </c>
      <c r="D173" s="22" t="s">
        <v>58</v>
      </c>
      <c r="E173" s="22" t="s">
        <v>708</v>
      </c>
      <c r="F173" s="23" t="n">
        <v>35241.18</v>
      </c>
      <c r="G173" s="24" t="n">
        <v>1.2684</v>
      </c>
      <c r="H173" s="24" t="n">
        <v>0.5357</v>
      </c>
      <c r="I173" s="22" t="s">
        <v>203</v>
      </c>
      <c r="J173" s="22"/>
      <c r="K173" s="23" t="n">
        <v>31739.72</v>
      </c>
      <c r="L173" s="22" t="s">
        <v>204</v>
      </c>
      <c r="M173" s="22" t="s">
        <v>205</v>
      </c>
    </row>
    <row r="174" customFormat="false" ht="15" hidden="false" customHeight="false" outlineLevel="0" collapsed="false">
      <c r="A174" s="22" t="s">
        <v>709</v>
      </c>
      <c r="B174" s="22" t="s">
        <v>710</v>
      </c>
      <c r="C174" s="22" t="s">
        <v>15</v>
      </c>
      <c r="D174" s="22" t="s">
        <v>61</v>
      </c>
      <c r="E174" s="22" t="s">
        <v>711</v>
      </c>
      <c r="F174" s="23" t="n">
        <v>2627.16</v>
      </c>
      <c r="G174" s="24" t="n">
        <v>1.0538</v>
      </c>
      <c r="H174" s="24" t="n">
        <v>0.3201</v>
      </c>
      <c r="I174" s="22" t="s">
        <v>203</v>
      </c>
      <c r="J174" s="22"/>
      <c r="K174" s="23" t="n">
        <v>1172.7</v>
      </c>
      <c r="L174" s="22" t="s">
        <v>204</v>
      </c>
      <c r="M174" s="22" t="s">
        <v>205</v>
      </c>
    </row>
    <row r="175" customFormat="false" ht="15" hidden="false" customHeight="false" outlineLevel="0" collapsed="false">
      <c r="A175" s="22" t="s">
        <v>712</v>
      </c>
      <c r="B175" s="22" t="s">
        <v>713</v>
      </c>
      <c r="C175" s="22" t="s">
        <v>17</v>
      </c>
      <c r="D175" s="22" t="s">
        <v>59</v>
      </c>
      <c r="E175" s="22" t="s">
        <v>714</v>
      </c>
      <c r="F175" s="23" t="n">
        <v>99068.54</v>
      </c>
      <c r="G175" s="24" t="n">
        <v>1.12</v>
      </c>
      <c r="H175" s="24" t="n">
        <v>0.0529</v>
      </c>
      <c r="I175" s="22" t="s">
        <v>203</v>
      </c>
      <c r="J175" s="22"/>
      <c r="K175" s="23" t="n">
        <v>7780.08</v>
      </c>
      <c r="L175" s="22" t="s">
        <v>204</v>
      </c>
      <c r="M175" s="22" t="s">
        <v>205</v>
      </c>
    </row>
    <row r="176" customFormat="false" ht="15" hidden="false" customHeight="false" outlineLevel="0" collapsed="false">
      <c r="A176" s="22" t="s">
        <v>715</v>
      </c>
      <c r="B176" s="22" t="s">
        <v>716</v>
      </c>
      <c r="C176" s="22" t="s">
        <v>19</v>
      </c>
      <c r="D176" s="22" t="s">
        <v>58</v>
      </c>
      <c r="E176" s="22" t="s">
        <v>594</v>
      </c>
      <c r="F176" s="23" t="n">
        <v>50500.98</v>
      </c>
      <c r="G176" s="24" t="n">
        <v>1.1052</v>
      </c>
      <c r="H176" s="24" t="n">
        <v>0.438</v>
      </c>
      <c r="I176" s="22" t="s">
        <v>203</v>
      </c>
      <c r="J176" s="22"/>
      <c r="K176" s="23" t="n">
        <v>32652.12</v>
      </c>
      <c r="L176" s="22" t="s">
        <v>204</v>
      </c>
      <c r="M176" s="22" t="s">
        <v>205</v>
      </c>
    </row>
    <row r="177" customFormat="false" ht="15" hidden="false" customHeight="false" outlineLevel="0" collapsed="false">
      <c r="A177" s="22" t="s">
        <v>717</v>
      </c>
      <c r="B177" s="22" t="s">
        <v>718</v>
      </c>
      <c r="C177" s="22" t="s">
        <v>17</v>
      </c>
      <c r="D177" s="22" t="s">
        <v>60</v>
      </c>
      <c r="E177" s="22" t="s">
        <v>719</v>
      </c>
      <c r="F177" s="23" t="n">
        <v>11277.27</v>
      </c>
      <c r="G177" s="24" t="n">
        <v>1.1164</v>
      </c>
      <c r="H177" s="24" t="n">
        <v>0.666</v>
      </c>
      <c r="I177" s="22" t="s">
        <v>203</v>
      </c>
      <c r="J177" s="22"/>
      <c r="K177" s="23" t="n">
        <v>11114.06</v>
      </c>
      <c r="L177" s="22" t="s">
        <v>204</v>
      </c>
      <c r="M177" s="22" t="s">
        <v>205</v>
      </c>
    </row>
    <row r="178" customFormat="false" ht="15" hidden="false" customHeight="false" outlineLevel="0" collapsed="false">
      <c r="A178" s="22" t="s">
        <v>720</v>
      </c>
      <c r="B178" s="22" t="s">
        <v>721</v>
      </c>
      <c r="C178" s="22" t="s">
        <v>17</v>
      </c>
      <c r="D178" s="22" t="s">
        <v>60</v>
      </c>
      <c r="E178" s="22" t="s">
        <v>722</v>
      </c>
      <c r="F178" s="23" t="n">
        <v>19032.37</v>
      </c>
      <c r="G178" s="24" t="n">
        <v>1.0367</v>
      </c>
      <c r="H178" s="24" t="n">
        <v>0.9104</v>
      </c>
      <c r="I178" s="22" t="s">
        <v>203</v>
      </c>
      <c r="J178" s="22"/>
      <c r="K178" s="23" t="n">
        <v>23809.65</v>
      </c>
      <c r="L178" s="22" t="s">
        <v>204</v>
      </c>
      <c r="M178" s="22" t="s">
        <v>205</v>
      </c>
    </row>
    <row r="179" customFormat="false" ht="15" hidden="false" customHeight="false" outlineLevel="0" collapsed="false">
      <c r="A179" s="22" t="s">
        <v>723</v>
      </c>
      <c r="B179" s="22" t="s">
        <v>724</v>
      </c>
      <c r="C179" s="22" t="s">
        <v>19</v>
      </c>
      <c r="D179" s="22" t="s">
        <v>60</v>
      </c>
      <c r="E179" s="22" t="s">
        <v>725</v>
      </c>
      <c r="F179" s="23" t="n">
        <v>11445.57</v>
      </c>
      <c r="G179" s="24" t="n">
        <v>1.1555</v>
      </c>
      <c r="H179" s="24" t="n">
        <v>0.0939</v>
      </c>
      <c r="I179" s="22" t="s">
        <v>203</v>
      </c>
      <c r="J179" s="22"/>
      <c r="K179" s="23" t="n">
        <v>1658.71</v>
      </c>
      <c r="L179" s="22" t="s">
        <v>204</v>
      </c>
      <c r="M179" s="22" t="s">
        <v>205</v>
      </c>
    </row>
    <row r="180" customFormat="false" ht="15" hidden="false" customHeight="false" outlineLevel="0" collapsed="false">
      <c r="A180" s="22" t="s">
        <v>726</v>
      </c>
      <c r="B180" s="22" t="s">
        <v>727</v>
      </c>
      <c r="C180" s="22" t="s">
        <v>19</v>
      </c>
      <c r="D180" s="22" t="s">
        <v>61</v>
      </c>
      <c r="E180" s="22" t="s">
        <v>728</v>
      </c>
      <c r="F180" s="23" t="n">
        <v>3379.26</v>
      </c>
      <c r="G180" s="24" t="n">
        <v>1.2281</v>
      </c>
      <c r="H180" s="24" t="n">
        <v>0.5322</v>
      </c>
      <c r="I180" s="22" t="s">
        <v>203</v>
      </c>
      <c r="J180" s="22"/>
      <c r="K180" s="23" t="n">
        <v>2950.03</v>
      </c>
      <c r="L180" s="22" t="s">
        <v>204</v>
      </c>
      <c r="M180" s="22" t="s">
        <v>205</v>
      </c>
    </row>
    <row r="181" customFormat="false" ht="15" hidden="false" customHeight="false" outlineLevel="0" collapsed="false">
      <c r="A181" s="22" t="s">
        <v>729</v>
      </c>
      <c r="B181" s="22" t="s">
        <v>730</v>
      </c>
      <c r="C181" s="22" t="s">
        <v>17</v>
      </c>
      <c r="D181" s="22" t="s">
        <v>61</v>
      </c>
      <c r="E181" s="22" t="s">
        <v>731</v>
      </c>
      <c r="F181" s="23" t="n">
        <v>9552.47</v>
      </c>
      <c r="G181" s="24" t="n">
        <v>1.1582</v>
      </c>
      <c r="H181" s="24" t="n">
        <v>0.0363</v>
      </c>
      <c r="I181" s="22" t="s">
        <v>203</v>
      </c>
      <c r="J181" s="22"/>
      <c r="K181" s="23" t="n">
        <v>532.33</v>
      </c>
      <c r="L181" s="22" t="s">
        <v>204</v>
      </c>
      <c r="M181" s="22" t="s">
        <v>205</v>
      </c>
    </row>
    <row r="182" customFormat="false" ht="15" hidden="false" customHeight="false" outlineLevel="0" collapsed="false">
      <c r="A182" s="22" t="s">
        <v>732</v>
      </c>
      <c r="B182" s="22" t="s">
        <v>733</v>
      </c>
      <c r="C182" s="22" t="s">
        <v>17</v>
      </c>
      <c r="D182" s="22" t="s">
        <v>59</v>
      </c>
      <c r="E182" s="22" t="s">
        <v>734</v>
      </c>
      <c r="F182" s="23" t="n">
        <v>124726.25</v>
      </c>
      <c r="G182" s="24" t="n">
        <v>1.0612</v>
      </c>
      <c r="H182" s="24" t="n">
        <v>0.7188</v>
      </c>
      <c r="I182" s="22" t="s">
        <v>203</v>
      </c>
      <c r="J182" s="22"/>
      <c r="K182" s="23" t="n">
        <v>126106.62</v>
      </c>
      <c r="L182" s="22" t="s">
        <v>204</v>
      </c>
      <c r="M182" s="22" t="s">
        <v>205</v>
      </c>
    </row>
    <row r="183" customFormat="false" ht="15" hidden="false" customHeight="false" outlineLevel="0" collapsed="false">
      <c r="A183" s="22" t="s">
        <v>735</v>
      </c>
      <c r="B183" s="22" t="s">
        <v>736</v>
      </c>
      <c r="C183" s="22" t="s">
        <v>17</v>
      </c>
      <c r="D183" s="22" t="s">
        <v>61</v>
      </c>
      <c r="E183" s="22" t="s">
        <v>737</v>
      </c>
      <c r="F183" s="23" t="n">
        <v>9497.55</v>
      </c>
      <c r="G183" s="24" t="n">
        <v>1.2717</v>
      </c>
      <c r="H183" s="24" t="n">
        <v>0.7963</v>
      </c>
      <c r="I183" s="22" t="s">
        <v>203</v>
      </c>
      <c r="J183" s="22"/>
      <c r="K183" s="23" t="n">
        <v>12748.17</v>
      </c>
      <c r="L183" s="22" t="s">
        <v>204</v>
      </c>
      <c r="M183" s="22" t="s">
        <v>205</v>
      </c>
    </row>
    <row r="184" customFormat="false" ht="15" hidden="false" customHeight="false" outlineLevel="0" collapsed="false">
      <c r="A184" s="22" t="s">
        <v>738</v>
      </c>
      <c r="B184" s="22" t="s">
        <v>739</v>
      </c>
      <c r="C184" s="22" t="s">
        <v>15</v>
      </c>
      <c r="D184" s="22" t="s">
        <v>58</v>
      </c>
      <c r="E184" s="22" t="s">
        <v>651</v>
      </c>
      <c r="F184" s="23" t="n">
        <v>39640.1</v>
      </c>
      <c r="G184" s="24" t="n">
        <v>1.2124</v>
      </c>
      <c r="H184" s="24" t="n">
        <v>0.1254</v>
      </c>
      <c r="I184" s="22" t="s">
        <v>203</v>
      </c>
      <c r="J184" s="22"/>
      <c r="K184" s="23" t="n">
        <v>7975.05</v>
      </c>
      <c r="L184" s="22" t="s">
        <v>204</v>
      </c>
      <c r="M184" s="22" t="s">
        <v>205</v>
      </c>
    </row>
    <row r="185" customFormat="false" ht="15" hidden="false" customHeight="false" outlineLevel="0" collapsed="false">
      <c r="A185" s="22" t="s">
        <v>740</v>
      </c>
      <c r="B185" s="22" t="s">
        <v>741</v>
      </c>
      <c r="C185" s="22" t="s">
        <v>19</v>
      </c>
      <c r="D185" s="22" t="s">
        <v>58</v>
      </c>
      <c r="E185" s="22" t="s">
        <v>742</v>
      </c>
      <c r="F185" s="23" t="n">
        <v>61271.11</v>
      </c>
      <c r="G185" s="24" t="n">
        <v>1.1798</v>
      </c>
      <c r="H185" s="24" t="n">
        <v>0.4792</v>
      </c>
      <c r="I185" s="22" t="s">
        <v>203</v>
      </c>
      <c r="J185" s="22"/>
      <c r="K185" s="23" t="n">
        <v>46267.66</v>
      </c>
      <c r="L185" s="22" t="s">
        <v>204</v>
      </c>
      <c r="M185" s="22" t="s">
        <v>205</v>
      </c>
    </row>
    <row r="186" customFormat="false" ht="15" hidden="false" customHeight="false" outlineLevel="0" collapsed="false">
      <c r="A186" s="22" t="s">
        <v>743</v>
      </c>
      <c r="B186" s="22" t="s">
        <v>744</v>
      </c>
      <c r="C186" s="22" t="s">
        <v>17</v>
      </c>
      <c r="D186" s="22" t="s">
        <v>58</v>
      </c>
      <c r="E186" s="22" t="s">
        <v>745</v>
      </c>
      <c r="F186" s="23" t="n">
        <v>23132.38</v>
      </c>
      <c r="G186" s="24" t="n">
        <v>1.0563</v>
      </c>
      <c r="H186" s="24" t="n">
        <v>0.8337</v>
      </c>
      <c r="I186" s="22" t="s">
        <v>203</v>
      </c>
      <c r="J186" s="22"/>
      <c r="K186" s="23" t="n">
        <v>27001.76</v>
      </c>
      <c r="L186" s="22" t="s">
        <v>204</v>
      </c>
      <c r="M186" s="22" t="s">
        <v>205</v>
      </c>
    </row>
    <row r="187" customFormat="false" ht="15" hidden="false" customHeight="false" outlineLevel="0" collapsed="false">
      <c r="A187" s="22" t="s">
        <v>746</v>
      </c>
      <c r="B187" s="22" t="s">
        <v>747</v>
      </c>
      <c r="C187" s="22" t="s">
        <v>17</v>
      </c>
      <c r="D187" s="22" t="s">
        <v>61</v>
      </c>
      <c r="E187" s="22" t="s">
        <v>748</v>
      </c>
      <c r="F187" s="23" t="n">
        <v>6874.39</v>
      </c>
      <c r="G187" s="24" t="n">
        <v>1.2985</v>
      </c>
      <c r="H187" s="24" t="n">
        <v>0.6658</v>
      </c>
      <c r="I187" s="22" t="s">
        <v>203</v>
      </c>
      <c r="J187" s="22"/>
      <c r="K187" s="23" t="n">
        <v>7877.61</v>
      </c>
      <c r="L187" s="22" t="s">
        <v>204</v>
      </c>
      <c r="M187" s="22" t="s">
        <v>205</v>
      </c>
    </row>
    <row r="188" customFormat="false" ht="15" hidden="false" customHeight="false" outlineLevel="0" collapsed="false">
      <c r="A188" s="22" t="s">
        <v>749</v>
      </c>
      <c r="B188" s="22" t="s">
        <v>750</v>
      </c>
      <c r="C188" s="22" t="s">
        <v>15</v>
      </c>
      <c r="D188" s="22" t="s">
        <v>61</v>
      </c>
      <c r="E188" s="22" t="s">
        <v>751</v>
      </c>
      <c r="F188" s="23" t="n">
        <v>10072.54</v>
      </c>
      <c r="G188" s="24" t="n">
        <v>1.2974</v>
      </c>
      <c r="H188" s="24" t="n">
        <v>0.7353</v>
      </c>
      <c r="I188" s="22" t="s">
        <v>203</v>
      </c>
      <c r="J188" s="22"/>
      <c r="K188" s="23" t="n">
        <v>12715.48</v>
      </c>
      <c r="L188" s="22" t="s">
        <v>204</v>
      </c>
      <c r="M188" s="22" t="s">
        <v>205</v>
      </c>
    </row>
    <row r="189" customFormat="false" ht="15" hidden="false" customHeight="false" outlineLevel="0" collapsed="false">
      <c r="A189" s="22" t="s">
        <v>752</v>
      </c>
      <c r="B189" s="22" t="s">
        <v>753</v>
      </c>
      <c r="C189" s="22" t="s">
        <v>15</v>
      </c>
      <c r="D189" s="22" t="s">
        <v>60</v>
      </c>
      <c r="E189" s="22" t="s">
        <v>754</v>
      </c>
      <c r="F189" s="23" t="n">
        <v>25092.56</v>
      </c>
      <c r="G189" s="24" t="n">
        <v>1.0013</v>
      </c>
      <c r="H189" s="24" t="n">
        <v>0.1941</v>
      </c>
      <c r="I189" s="22" t="s">
        <v>203</v>
      </c>
      <c r="J189" s="22"/>
      <c r="K189" s="23" t="n">
        <v>6453.42</v>
      </c>
      <c r="L189" s="22" t="s">
        <v>204</v>
      </c>
      <c r="M189" s="22" t="s">
        <v>205</v>
      </c>
    </row>
    <row r="190" customFormat="false" ht="15" hidden="false" customHeight="false" outlineLevel="0" collapsed="false">
      <c r="A190" s="22" t="s">
        <v>755</v>
      </c>
      <c r="B190" s="22" t="s">
        <v>756</v>
      </c>
      <c r="C190" s="22" t="s">
        <v>17</v>
      </c>
      <c r="D190" s="22" t="s">
        <v>58</v>
      </c>
      <c r="E190" s="22" t="s">
        <v>757</v>
      </c>
      <c r="F190" s="23" t="n">
        <v>46055.11</v>
      </c>
      <c r="G190" s="24" t="n">
        <v>1.0495</v>
      </c>
      <c r="H190" s="24" t="n">
        <v>0.0957</v>
      </c>
      <c r="I190" s="22" t="s">
        <v>203</v>
      </c>
      <c r="J190" s="22"/>
      <c r="K190" s="23" t="n">
        <v>6131.22</v>
      </c>
      <c r="L190" s="22" t="s">
        <v>204</v>
      </c>
      <c r="M190" s="22" t="s">
        <v>205</v>
      </c>
    </row>
    <row r="191" customFormat="false" ht="15" hidden="false" customHeight="false" outlineLevel="0" collapsed="false">
      <c r="A191" s="22" t="s">
        <v>758</v>
      </c>
      <c r="B191" s="22" t="s">
        <v>759</v>
      </c>
      <c r="C191" s="22" t="s">
        <v>19</v>
      </c>
      <c r="D191" s="22" t="s">
        <v>61</v>
      </c>
      <c r="E191" s="22" t="s">
        <v>760</v>
      </c>
      <c r="F191" s="23" t="n">
        <v>9124.11</v>
      </c>
      <c r="G191" s="24" t="n">
        <v>1.1882</v>
      </c>
      <c r="H191" s="24" t="n">
        <v>0.5068</v>
      </c>
      <c r="I191" s="22" t="s">
        <v>203</v>
      </c>
      <c r="J191" s="22"/>
      <c r="K191" s="23" t="n">
        <v>7338.6</v>
      </c>
      <c r="L191" s="22" t="s">
        <v>204</v>
      </c>
      <c r="M191" s="22" t="s">
        <v>205</v>
      </c>
    </row>
    <row r="192" customFormat="false" ht="15" hidden="false" customHeight="false" outlineLevel="0" collapsed="false">
      <c r="A192" s="22" t="s">
        <v>761</v>
      </c>
      <c r="B192" s="22" t="s">
        <v>762</v>
      </c>
      <c r="C192" s="22" t="s">
        <v>15</v>
      </c>
      <c r="D192" s="22" t="s">
        <v>59</v>
      </c>
      <c r="E192" s="22" t="s">
        <v>763</v>
      </c>
      <c r="F192" s="23" t="n">
        <v>116594.23</v>
      </c>
      <c r="G192" s="24" t="n">
        <v>1.2855</v>
      </c>
      <c r="H192" s="24" t="n">
        <v>0.2761</v>
      </c>
      <c r="I192" s="22" t="s">
        <v>203</v>
      </c>
      <c r="J192" s="22"/>
      <c r="K192" s="23" t="n">
        <v>54760.93</v>
      </c>
      <c r="L192" s="22" t="s">
        <v>204</v>
      </c>
      <c r="M192" s="22" t="s">
        <v>205</v>
      </c>
    </row>
    <row r="193" customFormat="false" ht="15" hidden="false" customHeight="false" outlineLevel="0" collapsed="false">
      <c r="A193" s="22" t="s">
        <v>764</v>
      </c>
      <c r="B193" s="22" t="s">
        <v>765</v>
      </c>
      <c r="C193" s="22" t="s">
        <v>15</v>
      </c>
      <c r="D193" s="22" t="s">
        <v>60</v>
      </c>
      <c r="E193" s="22" t="s">
        <v>766</v>
      </c>
      <c r="F193" s="23" t="n">
        <v>16605.47</v>
      </c>
      <c r="G193" s="24" t="n">
        <v>1.1397</v>
      </c>
      <c r="H193" s="24" t="n">
        <v>0.01</v>
      </c>
      <c r="I193" s="22" t="s">
        <v>203</v>
      </c>
      <c r="J193" s="22"/>
      <c r="K193" s="23" t="n">
        <v>250.44</v>
      </c>
      <c r="L193" s="22" t="s">
        <v>204</v>
      </c>
      <c r="M193" s="22" t="s">
        <v>205</v>
      </c>
    </row>
    <row r="194" customFormat="false" ht="15" hidden="false" customHeight="false" outlineLevel="0" collapsed="false">
      <c r="A194" s="22" t="s">
        <v>767</v>
      </c>
      <c r="B194" s="22" t="s">
        <v>768</v>
      </c>
      <c r="C194" s="22" t="s">
        <v>17</v>
      </c>
      <c r="D194" s="22" t="s">
        <v>58</v>
      </c>
      <c r="E194" s="22" t="s">
        <v>769</v>
      </c>
      <c r="F194" s="23" t="n">
        <v>30070.18</v>
      </c>
      <c r="G194" s="24" t="n">
        <v>1.0346</v>
      </c>
      <c r="H194" s="24" t="n">
        <v>0.3116</v>
      </c>
      <c r="I194" s="22" t="s">
        <v>203</v>
      </c>
      <c r="J194" s="22"/>
      <c r="K194" s="23" t="n">
        <v>12849.34</v>
      </c>
      <c r="L194" s="22" t="s">
        <v>204</v>
      </c>
      <c r="M194" s="22" t="s">
        <v>205</v>
      </c>
    </row>
    <row r="195" customFormat="false" ht="15" hidden="false" customHeight="false" outlineLevel="0" collapsed="false">
      <c r="A195" s="22" t="s">
        <v>770</v>
      </c>
      <c r="B195" s="22" t="s">
        <v>771</v>
      </c>
      <c r="C195" s="22" t="s">
        <v>19</v>
      </c>
      <c r="D195" s="22" t="s">
        <v>60</v>
      </c>
      <c r="E195" s="22" t="s">
        <v>772</v>
      </c>
      <c r="F195" s="23" t="n">
        <v>19094.91</v>
      </c>
      <c r="G195" s="24" t="n">
        <v>1.1025</v>
      </c>
      <c r="H195" s="24" t="n">
        <v>0.805</v>
      </c>
      <c r="I195" s="22" t="s">
        <v>203</v>
      </c>
      <c r="J195" s="22"/>
      <c r="K195" s="23" t="n">
        <v>22635.42</v>
      </c>
      <c r="L195" s="22" t="s">
        <v>204</v>
      </c>
      <c r="M195" s="22" t="s">
        <v>205</v>
      </c>
    </row>
    <row r="196" customFormat="false" ht="15" hidden="false" customHeight="false" outlineLevel="0" collapsed="false">
      <c r="A196" s="22" t="s">
        <v>773</v>
      </c>
      <c r="B196" s="22" t="s">
        <v>774</v>
      </c>
      <c r="C196" s="22" t="s">
        <v>17</v>
      </c>
      <c r="D196" s="22" t="s">
        <v>61</v>
      </c>
      <c r="E196" s="22" t="s">
        <v>775</v>
      </c>
      <c r="F196" s="23" t="n">
        <v>6620.89</v>
      </c>
      <c r="G196" s="24" t="n">
        <v>1.0066</v>
      </c>
      <c r="H196" s="24" t="n">
        <v>0.5603</v>
      </c>
      <c r="I196" s="22" t="s">
        <v>203</v>
      </c>
      <c r="J196" s="22"/>
      <c r="K196" s="23" t="n">
        <v>4949.58</v>
      </c>
      <c r="L196" s="22" t="s">
        <v>204</v>
      </c>
      <c r="M196" s="22" t="s">
        <v>205</v>
      </c>
    </row>
    <row r="197" customFormat="false" ht="15" hidden="false" customHeight="false" outlineLevel="0" collapsed="false">
      <c r="A197" s="22" t="s">
        <v>776</v>
      </c>
      <c r="B197" s="22" t="s">
        <v>777</v>
      </c>
      <c r="C197" s="22" t="s">
        <v>15</v>
      </c>
      <c r="D197" s="22" t="s">
        <v>58</v>
      </c>
      <c r="E197" s="22" t="s">
        <v>778</v>
      </c>
      <c r="F197" s="23" t="n">
        <v>42180.69</v>
      </c>
      <c r="G197" s="24" t="n">
        <v>1.2643</v>
      </c>
      <c r="H197" s="24" t="n">
        <v>0.1186</v>
      </c>
      <c r="I197" s="22" t="s">
        <v>203</v>
      </c>
      <c r="J197" s="22"/>
      <c r="K197" s="23" t="n">
        <v>8369.58</v>
      </c>
      <c r="L197" s="22" t="s">
        <v>204</v>
      </c>
      <c r="M197" s="22" t="s">
        <v>205</v>
      </c>
    </row>
    <row r="198" customFormat="false" ht="15" hidden="false" customHeight="false" outlineLevel="0" collapsed="false">
      <c r="A198" s="22" t="s">
        <v>779</v>
      </c>
      <c r="B198" s="22" t="s">
        <v>780</v>
      </c>
      <c r="C198" s="22" t="s">
        <v>15</v>
      </c>
      <c r="D198" s="22" t="s">
        <v>59</v>
      </c>
      <c r="E198" s="22" t="s">
        <v>781</v>
      </c>
      <c r="F198" s="23" t="n">
        <v>152807.17</v>
      </c>
      <c r="G198" s="24" t="n">
        <v>1.0628</v>
      </c>
      <c r="H198" s="24" t="n">
        <v>0.4127</v>
      </c>
      <c r="I198" s="22" t="s">
        <v>203</v>
      </c>
      <c r="J198" s="22"/>
      <c r="K198" s="23" t="n">
        <v>88692.12</v>
      </c>
      <c r="L198" s="22" t="s">
        <v>204</v>
      </c>
      <c r="M198" s="22" t="s">
        <v>205</v>
      </c>
    </row>
    <row r="199" customFormat="false" ht="15" hidden="false" customHeight="false" outlineLevel="0" collapsed="false">
      <c r="A199" s="22" t="s">
        <v>782</v>
      </c>
      <c r="B199" s="22" t="s">
        <v>783</v>
      </c>
      <c r="C199" s="22" t="s">
        <v>17</v>
      </c>
      <c r="D199" s="22" t="s">
        <v>58</v>
      </c>
      <c r="E199" s="22" t="s">
        <v>784</v>
      </c>
      <c r="F199" s="23" t="n">
        <v>42736.92</v>
      </c>
      <c r="G199" s="24" t="n">
        <v>1.0031</v>
      </c>
      <c r="H199" s="24" t="n">
        <v>0.1346</v>
      </c>
      <c r="I199" s="22" t="s">
        <v>203</v>
      </c>
      <c r="J199" s="22"/>
      <c r="K199" s="23" t="n">
        <v>7648.34</v>
      </c>
      <c r="L199" s="22" t="s">
        <v>204</v>
      </c>
      <c r="M199" s="22" t="s">
        <v>205</v>
      </c>
    </row>
    <row r="200" customFormat="false" ht="15" hidden="false" customHeight="false" outlineLevel="0" collapsed="false">
      <c r="A200" s="22" t="s">
        <v>785</v>
      </c>
      <c r="B200" s="22" t="s">
        <v>786</v>
      </c>
      <c r="C200" s="22" t="s">
        <v>17</v>
      </c>
      <c r="D200" s="22" t="s">
        <v>61</v>
      </c>
      <c r="E200" s="22" t="s">
        <v>787</v>
      </c>
      <c r="F200" s="23" t="n">
        <v>4634.41</v>
      </c>
      <c r="G200" s="24" t="n">
        <v>1.0952</v>
      </c>
      <c r="H200" s="24" t="n">
        <v>0.0288</v>
      </c>
      <c r="I200" s="22" t="s">
        <v>203</v>
      </c>
      <c r="J200" s="22"/>
      <c r="K200" s="23" t="n">
        <v>193.76</v>
      </c>
      <c r="L200" s="22" t="s">
        <v>204</v>
      </c>
      <c r="M200" s="22" t="s">
        <v>205</v>
      </c>
    </row>
    <row r="201" customFormat="false" ht="15" hidden="false" customHeight="false" outlineLevel="0" collapsed="false">
      <c r="A201" s="22" t="s">
        <v>788</v>
      </c>
      <c r="B201" s="22" t="s">
        <v>789</v>
      </c>
      <c r="C201" s="22" t="s">
        <v>15</v>
      </c>
      <c r="D201" s="22" t="s">
        <v>62</v>
      </c>
      <c r="E201" s="22" t="s">
        <v>790</v>
      </c>
      <c r="F201" s="23" t="n">
        <v>1801348.8</v>
      </c>
      <c r="G201" s="24" t="n">
        <v>1.1931</v>
      </c>
      <c r="H201" s="24" t="n">
        <v>0.8981</v>
      </c>
      <c r="I201" s="22" t="s">
        <v>203</v>
      </c>
      <c r="J201" s="22"/>
      <c r="K201" s="23" t="n">
        <v>2554198.39</v>
      </c>
      <c r="L201" s="22" t="s">
        <v>204</v>
      </c>
      <c r="M201" s="22" t="s">
        <v>205</v>
      </c>
    </row>
    <row r="202" customFormat="false" ht="15" hidden="false" customHeight="false" outlineLevel="0" collapsed="false">
      <c r="A202" s="22" t="s">
        <v>791</v>
      </c>
      <c r="B202" s="22" t="s">
        <v>792</v>
      </c>
      <c r="C202" s="22" t="s">
        <v>17</v>
      </c>
      <c r="D202" s="22" t="s">
        <v>60</v>
      </c>
      <c r="E202" s="22" t="s">
        <v>793</v>
      </c>
      <c r="F202" s="23" t="n">
        <v>18249.58</v>
      </c>
      <c r="G202" s="24" t="n">
        <v>1.2589</v>
      </c>
      <c r="H202" s="24" t="n">
        <v>0.9052</v>
      </c>
      <c r="I202" s="22" t="s">
        <v>203</v>
      </c>
      <c r="J202" s="22"/>
      <c r="K202" s="23" t="n">
        <v>27565.34</v>
      </c>
      <c r="L202" s="22" t="s">
        <v>204</v>
      </c>
      <c r="M202" s="22" t="s">
        <v>205</v>
      </c>
    </row>
    <row r="203" customFormat="false" ht="15" hidden="false" customHeight="false" outlineLevel="0" collapsed="false">
      <c r="A203" s="22" t="s">
        <v>794</v>
      </c>
      <c r="B203" s="22" t="s">
        <v>795</v>
      </c>
      <c r="C203" s="22" t="s">
        <v>15</v>
      </c>
      <c r="D203" s="22" t="s">
        <v>60</v>
      </c>
      <c r="E203" s="22" t="s">
        <v>796</v>
      </c>
      <c r="F203" s="23" t="n">
        <v>20500.97</v>
      </c>
      <c r="G203" s="24" t="n">
        <v>1.081</v>
      </c>
      <c r="H203" s="24" t="n">
        <v>0.1301</v>
      </c>
      <c r="I203" s="22" t="s">
        <v>203</v>
      </c>
      <c r="J203" s="22"/>
      <c r="K203" s="23" t="n">
        <v>3815.33</v>
      </c>
      <c r="L203" s="22" t="s">
        <v>204</v>
      </c>
      <c r="M203" s="22" t="s">
        <v>205</v>
      </c>
    </row>
    <row r="204" customFormat="false" ht="15" hidden="false" customHeight="false" outlineLevel="0" collapsed="false">
      <c r="A204" s="22" t="s">
        <v>797</v>
      </c>
      <c r="B204" s="22" t="s">
        <v>798</v>
      </c>
      <c r="C204" s="22" t="s">
        <v>17</v>
      </c>
      <c r="D204" s="22" t="s">
        <v>61</v>
      </c>
      <c r="E204" s="22" t="s">
        <v>799</v>
      </c>
      <c r="F204" s="23" t="n">
        <v>6464.2</v>
      </c>
      <c r="G204" s="24" t="n">
        <v>1.2967</v>
      </c>
      <c r="H204" s="24" t="n">
        <v>0.8881</v>
      </c>
      <c r="I204" s="22" t="s">
        <v>203</v>
      </c>
      <c r="J204" s="22"/>
      <c r="K204" s="23" t="n">
        <v>9867.13</v>
      </c>
      <c r="L204" s="22" t="s">
        <v>204</v>
      </c>
      <c r="M204" s="22" t="s">
        <v>205</v>
      </c>
    </row>
    <row r="205" customFormat="false" ht="15" hidden="false" customHeight="false" outlineLevel="0" collapsed="false">
      <c r="A205" s="22" t="s">
        <v>800</v>
      </c>
      <c r="B205" s="22" t="s">
        <v>801</v>
      </c>
      <c r="C205" s="22" t="s">
        <v>15</v>
      </c>
      <c r="D205" s="22" t="s">
        <v>58</v>
      </c>
      <c r="E205" s="22" t="s">
        <v>802</v>
      </c>
      <c r="F205" s="23" t="n">
        <v>65488.36</v>
      </c>
      <c r="G205" s="24" t="n">
        <v>1.1525</v>
      </c>
      <c r="H205" s="24" t="n">
        <v>0.9979</v>
      </c>
      <c r="I205" s="22" t="s">
        <v>203</v>
      </c>
      <c r="J205" s="22"/>
      <c r="K205" s="23" t="n">
        <v>99666.07</v>
      </c>
      <c r="L205" s="22" t="s">
        <v>204</v>
      </c>
      <c r="M205" s="22" t="s">
        <v>205</v>
      </c>
    </row>
    <row r="206" customFormat="false" ht="15" hidden="false" customHeight="false" outlineLevel="0" collapsed="false">
      <c r="A206" s="22" t="s">
        <v>803</v>
      </c>
      <c r="B206" s="22" t="s">
        <v>804</v>
      </c>
      <c r="C206" s="22" t="s">
        <v>17</v>
      </c>
      <c r="D206" s="22" t="s">
        <v>61</v>
      </c>
      <c r="E206" s="22" t="s">
        <v>805</v>
      </c>
      <c r="F206" s="23" t="n">
        <v>9799.25</v>
      </c>
      <c r="G206" s="24" t="n">
        <v>1.2432</v>
      </c>
      <c r="H206" s="24" t="n">
        <v>0.2604</v>
      </c>
      <c r="I206" s="22" t="s">
        <v>203</v>
      </c>
      <c r="J206" s="22"/>
      <c r="K206" s="23" t="n">
        <v>4204.84</v>
      </c>
      <c r="L206" s="22" t="s">
        <v>204</v>
      </c>
      <c r="M206" s="22" t="s">
        <v>205</v>
      </c>
    </row>
    <row r="207" customFormat="false" ht="15" hidden="false" customHeight="false" outlineLevel="0" collapsed="false">
      <c r="A207" s="22" t="s">
        <v>806</v>
      </c>
      <c r="B207" s="22" t="s">
        <v>807</v>
      </c>
      <c r="C207" s="22" t="s">
        <v>15</v>
      </c>
      <c r="D207" s="22" t="s">
        <v>61</v>
      </c>
      <c r="E207" s="22" t="s">
        <v>808</v>
      </c>
      <c r="F207" s="23" t="n">
        <v>7403.56</v>
      </c>
      <c r="G207" s="24" t="n">
        <v>1.0409</v>
      </c>
      <c r="H207" s="24" t="n">
        <v>0.33</v>
      </c>
      <c r="I207" s="22" t="s">
        <v>203</v>
      </c>
      <c r="J207" s="22"/>
      <c r="K207" s="23" t="n">
        <v>3365.26</v>
      </c>
      <c r="L207" s="22" t="s">
        <v>204</v>
      </c>
      <c r="M207" s="22" t="s">
        <v>205</v>
      </c>
    </row>
    <row r="208" customFormat="false" ht="15" hidden="false" customHeight="false" outlineLevel="0" collapsed="false">
      <c r="A208" s="22" t="s">
        <v>809</v>
      </c>
      <c r="B208" s="22" t="s">
        <v>810</v>
      </c>
      <c r="C208" s="22" t="s">
        <v>15</v>
      </c>
      <c r="D208" s="22" t="s">
        <v>60</v>
      </c>
      <c r="E208" s="22" t="s">
        <v>811</v>
      </c>
      <c r="F208" s="23" t="n">
        <v>32959.32</v>
      </c>
      <c r="G208" s="24" t="n">
        <v>1.1578</v>
      </c>
      <c r="H208" s="24" t="n">
        <v>0.713</v>
      </c>
      <c r="I208" s="22" t="s">
        <v>203</v>
      </c>
      <c r="J208" s="22"/>
      <c r="K208" s="23" t="n">
        <v>36004.48</v>
      </c>
      <c r="L208" s="22" t="s">
        <v>204</v>
      </c>
      <c r="M208" s="22" t="s">
        <v>205</v>
      </c>
    </row>
    <row r="209" customFormat="false" ht="15" hidden="false" customHeight="false" outlineLevel="0" collapsed="false">
      <c r="A209" s="22" t="s">
        <v>812</v>
      </c>
      <c r="B209" s="22" t="s">
        <v>813</v>
      </c>
      <c r="C209" s="22" t="s">
        <v>15</v>
      </c>
      <c r="D209" s="22" t="s">
        <v>58</v>
      </c>
      <c r="E209" s="22" t="s">
        <v>814</v>
      </c>
      <c r="F209" s="23" t="n">
        <v>59908.17</v>
      </c>
      <c r="G209" s="24" t="n">
        <v>1.0565</v>
      </c>
      <c r="H209" s="24" t="n">
        <v>0.6103</v>
      </c>
      <c r="I209" s="22" t="s">
        <v>203</v>
      </c>
      <c r="J209" s="22"/>
      <c r="K209" s="23" t="n">
        <v>51115.69</v>
      </c>
      <c r="L209" s="22" t="s">
        <v>204</v>
      </c>
      <c r="M209" s="22" t="s">
        <v>205</v>
      </c>
    </row>
    <row r="210" customFormat="false" ht="15" hidden="false" customHeight="false" outlineLevel="0" collapsed="false">
      <c r="A210" s="22" t="s">
        <v>815</v>
      </c>
      <c r="B210" s="22" t="s">
        <v>816</v>
      </c>
      <c r="C210" s="22" t="s">
        <v>15</v>
      </c>
      <c r="D210" s="22" t="s">
        <v>61</v>
      </c>
      <c r="E210" s="22" t="s">
        <v>817</v>
      </c>
      <c r="F210" s="23" t="n">
        <v>8382.21</v>
      </c>
      <c r="G210" s="24" t="n">
        <v>1.037</v>
      </c>
      <c r="H210" s="24" t="n">
        <v>0.4634</v>
      </c>
      <c r="I210" s="22" t="s">
        <v>203</v>
      </c>
      <c r="J210" s="22"/>
      <c r="K210" s="23" t="n">
        <v>5330.26</v>
      </c>
      <c r="L210" s="22" t="s">
        <v>204</v>
      </c>
      <c r="M210" s="22" t="s">
        <v>205</v>
      </c>
    </row>
    <row r="211" customFormat="false" ht="15" hidden="false" customHeight="false" outlineLevel="0" collapsed="false">
      <c r="A211" s="22" t="s">
        <v>818</v>
      </c>
      <c r="B211" s="22" t="s">
        <v>819</v>
      </c>
      <c r="C211" s="22" t="s">
        <v>17</v>
      </c>
      <c r="D211" s="22" t="s">
        <v>58</v>
      </c>
      <c r="E211" s="22" t="s">
        <v>820</v>
      </c>
      <c r="F211" s="23" t="n">
        <v>67411.33</v>
      </c>
      <c r="G211" s="24" t="n">
        <v>1.0643</v>
      </c>
      <c r="H211" s="24" t="n">
        <v>0.6477</v>
      </c>
      <c r="I211" s="22" t="s">
        <v>203</v>
      </c>
      <c r="J211" s="22"/>
      <c r="K211" s="23" t="n">
        <v>61595.01</v>
      </c>
      <c r="L211" s="22" t="s">
        <v>204</v>
      </c>
      <c r="M211" s="22" t="s">
        <v>205</v>
      </c>
    </row>
    <row r="212" customFormat="false" ht="15" hidden="false" customHeight="false" outlineLevel="0" collapsed="false">
      <c r="A212" s="22" t="s">
        <v>821</v>
      </c>
      <c r="B212" s="22" t="s">
        <v>822</v>
      </c>
      <c r="C212" s="22" t="s">
        <v>17</v>
      </c>
      <c r="D212" s="22" t="s">
        <v>61</v>
      </c>
      <c r="E212" s="22" t="s">
        <v>823</v>
      </c>
      <c r="F212" s="23" t="n">
        <v>9690.02</v>
      </c>
      <c r="G212" s="24" t="n">
        <v>1.0014</v>
      </c>
      <c r="H212" s="24" t="n">
        <v>0.1118</v>
      </c>
      <c r="I212" s="22" t="s">
        <v>203</v>
      </c>
      <c r="J212" s="22"/>
      <c r="K212" s="23" t="n">
        <v>1437.97</v>
      </c>
      <c r="L212" s="22" t="s">
        <v>204</v>
      </c>
      <c r="M212" s="22" t="s">
        <v>205</v>
      </c>
    </row>
    <row r="213" customFormat="false" ht="15" hidden="false" customHeight="false" outlineLevel="0" collapsed="false">
      <c r="A213" s="22" t="s">
        <v>824</v>
      </c>
      <c r="B213" s="22" t="s">
        <v>825</v>
      </c>
      <c r="C213" s="22" t="s">
        <v>17</v>
      </c>
      <c r="D213" s="22" t="s">
        <v>61</v>
      </c>
      <c r="E213" s="22" t="s">
        <v>826</v>
      </c>
      <c r="F213" s="23" t="n">
        <v>6155.62</v>
      </c>
      <c r="G213" s="24" t="n">
        <v>1.0313</v>
      </c>
      <c r="H213" s="24" t="n">
        <v>0.1611</v>
      </c>
      <c r="I213" s="22" t="s">
        <v>203</v>
      </c>
      <c r="J213" s="22"/>
      <c r="K213" s="23" t="n">
        <v>1355.59</v>
      </c>
      <c r="L213" s="22" t="s">
        <v>204</v>
      </c>
      <c r="M213" s="22" t="s">
        <v>205</v>
      </c>
    </row>
    <row r="214" customFormat="false" ht="15" hidden="false" customHeight="false" outlineLevel="0" collapsed="false">
      <c r="A214" s="22" t="s">
        <v>827</v>
      </c>
      <c r="B214" s="22" t="s">
        <v>828</v>
      </c>
      <c r="C214" s="22" t="s">
        <v>15</v>
      </c>
      <c r="D214" s="22" t="s">
        <v>59</v>
      </c>
      <c r="E214" s="22" t="s">
        <v>829</v>
      </c>
      <c r="F214" s="23" t="n">
        <v>163577.13</v>
      </c>
      <c r="G214" s="24" t="n">
        <v>1.1271</v>
      </c>
      <c r="H214" s="24" t="n">
        <v>0.1571</v>
      </c>
      <c r="I214" s="22" t="s">
        <v>203</v>
      </c>
      <c r="J214" s="22"/>
      <c r="K214" s="23" t="n">
        <v>38328.03</v>
      </c>
      <c r="L214" s="22" t="s">
        <v>204</v>
      </c>
      <c r="M214" s="22" t="s">
        <v>205</v>
      </c>
    </row>
    <row r="215" customFormat="false" ht="15" hidden="false" customHeight="false" outlineLevel="0" collapsed="false">
      <c r="A215" s="22" t="s">
        <v>830</v>
      </c>
      <c r="B215" s="22" t="s">
        <v>831</v>
      </c>
      <c r="C215" s="22" t="s">
        <v>15</v>
      </c>
      <c r="D215" s="22" t="s">
        <v>58</v>
      </c>
      <c r="E215" s="22" t="s">
        <v>832</v>
      </c>
      <c r="F215" s="23" t="n">
        <v>61412.35</v>
      </c>
      <c r="G215" s="24" t="n">
        <v>1.1425</v>
      </c>
      <c r="H215" s="24" t="n">
        <v>0.66</v>
      </c>
      <c r="I215" s="22" t="s">
        <v>203</v>
      </c>
      <c r="J215" s="22"/>
      <c r="K215" s="23" t="n">
        <v>61278.92</v>
      </c>
      <c r="L215" s="22" t="s">
        <v>204</v>
      </c>
      <c r="M215" s="22" t="s">
        <v>205</v>
      </c>
    </row>
    <row r="216" customFormat="false" ht="15" hidden="false" customHeight="false" outlineLevel="0" collapsed="false">
      <c r="A216" s="22" t="s">
        <v>833</v>
      </c>
      <c r="B216" s="22" t="s">
        <v>834</v>
      </c>
      <c r="C216" s="22" t="s">
        <v>15</v>
      </c>
      <c r="D216" s="22" t="s">
        <v>58</v>
      </c>
      <c r="E216" s="22" t="s">
        <v>835</v>
      </c>
      <c r="F216" s="23" t="n">
        <v>22999.18</v>
      </c>
      <c r="G216" s="24" t="n">
        <v>1.1947</v>
      </c>
      <c r="H216" s="24" t="n">
        <v>0.3963</v>
      </c>
      <c r="I216" s="22" t="s">
        <v>203</v>
      </c>
      <c r="J216" s="22"/>
      <c r="K216" s="23" t="n">
        <v>14409.55</v>
      </c>
      <c r="L216" s="22" t="s">
        <v>204</v>
      </c>
      <c r="M216" s="22" t="s">
        <v>205</v>
      </c>
    </row>
    <row r="217" customFormat="false" ht="15" hidden="false" customHeight="false" outlineLevel="0" collapsed="false">
      <c r="A217" s="22" t="s">
        <v>836</v>
      </c>
      <c r="B217" s="22" t="s">
        <v>837</v>
      </c>
      <c r="C217" s="22" t="s">
        <v>15</v>
      </c>
      <c r="D217" s="22" t="s">
        <v>60</v>
      </c>
      <c r="E217" s="22" t="s">
        <v>838</v>
      </c>
      <c r="F217" s="23" t="n">
        <v>8213.83</v>
      </c>
      <c r="G217" s="24" t="n">
        <v>1.0195</v>
      </c>
      <c r="H217" s="24" t="n">
        <v>0.7815</v>
      </c>
      <c r="I217" s="22" t="s">
        <v>203</v>
      </c>
      <c r="J217" s="22"/>
      <c r="K217" s="23" t="n">
        <v>8659.99</v>
      </c>
      <c r="L217" s="22" t="s">
        <v>204</v>
      </c>
      <c r="M217" s="22" t="s">
        <v>205</v>
      </c>
    </row>
    <row r="218" customFormat="false" ht="15" hidden="false" customHeight="false" outlineLevel="0" collapsed="false">
      <c r="A218" s="22" t="s">
        <v>839</v>
      </c>
      <c r="B218" s="22" t="s">
        <v>840</v>
      </c>
      <c r="C218" s="22" t="s">
        <v>15</v>
      </c>
      <c r="D218" s="22" t="s">
        <v>58</v>
      </c>
      <c r="E218" s="22" t="s">
        <v>841</v>
      </c>
      <c r="F218" s="23" t="n">
        <v>40933.19</v>
      </c>
      <c r="G218" s="24" t="n">
        <v>1.1579</v>
      </c>
      <c r="H218" s="24" t="n">
        <v>0.0659</v>
      </c>
      <c r="I218" s="22" t="s">
        <v>203</v>
      </c>
      <c r="J218" s="22"/>
      <c r="K218" s="23" t="n">
        <v>4133.21</v>
      </c>
      <c r="L218" s="22" t="s">
        <v>204</v>
      </c>
      <c r="M218" s="22" t="s">
        <v>205</v>
      </c>
    </row>
    <row r="219" customFormat="false" ht="15" hidden="false" customHeight="false" outlineLevel="0" collapsed="false">
      <c r="A219" s="22" t="s">
        <v>842</v>
      </c>
      <c r="B219" s="22" t="s">
        <v>843</v>
      </c>
      <c r="C219" s="22" t="s">
        <v>17</v>
      </c>
      <c r="D219" s="22" t="s">
        <v>60</v>
      </c>
      <c r="E219" s="22" t="s">
        <v>844</v>
      </c>
      <c r="F219" s="23" t="n">
        <v>29407.07</v>
      </c>
      <c r="G219" s="24" t="n">
        <v>1.2969</v>
      </c>
      <c r="H219" s="24" t="n">
        <v>0.2824</v>
      </c>
      <c r="I219" s="22" t="s">
        <v>203</v>
      </c>
      <c r="J219" s="22"/>
      <c r="K219" s="23" t="n">
        <v>14275.71</v>
      </c>
      <c r="L219" s="22" t="s">
        <v>204</v>
      </c>
      <c r="M219" s="22" t="s">
        <v>205</v>
      </c>
    </row>
    <row r="220" customFormat="false" ht="15" hidden="false" customHeight="false" outlineLevel="0" collapsed="false">
      <c r="A220" s="22" t="s">
        <v>845</v>
      </c>
      <c r="B220" s="22" t="s">
        <v>846</v>
      </c>
      <c r="C220" s="22" t="s">
        <v>17</v>
      </c>
      <c r="D220" s="22" t="s">
        <v>59</v>
      </c>
      <c r="E220" s="22" t="s">
        <v>847</v>
      </c>
      <c r="F220" s="23" t="n">
        <v>49725.93</v>
      </c>
      <c r="G220" s="24" t="n">
        <v>1.18</v>
      </c>
      <c r="H220" s="24" t="n">
        <v>0.7918</v>
      </c>
      <c r="I220" s="22" t="s">
        <v>203</v>
      </c>
      <c r="J220" s="22"/>
      <c r="K220" s="23" t="n">
        <v>61582.19</v>
      </c>
      <c r="L220" s="22" t="s">
        <v>204</v>
      </c>
      <c r="M220" s="22" t="s">
        <v>205</v>
      </c>
    </row>
    <row r="221" customFormat="false" ht="15" hidden="false" customHeight="false" outlineLevel="0" collapsed="false">
      <c r="A221" s="22" t="s">
        <v>848</v>
      </c>
      <c r="B221" s="22" t="s">
        <v>849</v>
      </c>
      <c r="C221" s="22" t="s">
        <v>17</v>
      </c>
      <c r="D221" s="22" t="s">
        <v>60</v>
      </c>
      <c r="E221" s="22" t="s">
        <v>850</v>
      </c>
      <c r="F221" s="23" t="n">
        <v>29820</v>
      </c>
      <c r="G221" s="24" t="n">
        <v>1.2411</v>
      </c>
      <c r="H221" s="24" t="n">
        <v>0.4064</v>
      </c>
      <c r="I221" s="22" t="s">
        <v>203</v>
      </c>
      <c r="J221" s="22"/>
      <c r="K221" s="23" t="n">
        <v>19936.22</v>
      </c>
      <c r="L221" s="22" t="s">
        <v>204</v>
      </c>
      <c r="M221" s="22" t="s">
        <v>205</v>
      </c>
    </row>
    <row r="222" customFormat="false" ht="15" hidden="false" customHeight="false" outlineLevel="0" collapsed="false">
      <c r="A222" s="22" t="s">
        <v>851</v>
      </c>
      <c r="B222" s="22" t="s">
        <v>852</v>
      </c>
      <c r="C222" s="22" t="s">
        <v>17</v>
      </c>
      <c r="D222" s="22" t="s">
        <v>58</v>
      </c>
      <c r="E222" s="22" t="s">
        <v>853</v>
      </c>
      <c r="F222" s="23" t="n">
        <v>18376.84</v>
      </c>
      <c r="G222" s="24" t="n">
        <v>1.197</v>
      </c>
      <c r="H222" s="24" t="n">
        <v>0.8983</v>
      </c>
      <c r="I222" s="22" t="s">
        <v>203</v>
      </c>
      <c r="J222" s="22"/>
      <c r="K222" s="23" t="n">
        <v>26191.54</v>
      </c>
      <c r="L222" s="22" t="s">
        <v>204</v>
      </c>
      <c r="M222" s="22" t="s">
        <v>205</v>
      </c>
    </row>
    <row r="223" customFormat="false" ht="15" hidden="false" customHeight="false" outlineLevel="0" collapsed="false">
      <c r="A223" s="22" t="s">
        <v>854</v>
      </c>
      <c r="B223" s="22" t="s">
        <v>855</v>
      </c>
      <c r="C223" s="22" t="s">
        <v>15</v>
      </c>
      <c r="D223" s="22" t="s">
        <v>59</v>
      </c>
      <c r="E223" s="22" t="s">
        <v>856</v>
      </c>
      <c r="F223" s="23" t="n">
        <v>117400.79</v>
      </c>
      <c r="G223" s="24" t="n">
        <v>1.0656</v>
      </c>
      <c r="H223" s="24" t="n">
        <v>0.628</v>
      </c>
      <c r="I223" s="22" t="s">
        <v>203</v>
      </c>
      <c r="J223" s="22"/>
      <c r="K223" s="23" t="n">
        <v>103963.32</v>
      </c>
      <c r="L223" s="22" t="s">
        <v>204</v>
      </c>
      <c r="M223" s="22" t="s">
        <v>205</v>
      </c>
    </row>
    <row r="224" customFormat="false" ht="15" hidden="false" customHeight="false" outlineLevel="0" collapsed="false">
      <c r="A224" s="22" t="s">
        <v>857</v>
      </c>
      <c r="B224" s="22" t="s">
        <v>858</v>
      </c>
      <c r="C224" s="22" t="s">
        <v>15</v>
      </c>
      <c r="D224" s="22" t="s">
        <v>58</v>
      </c>
      <c r="E224" s="22" t="s">
        <v>859</v>
      </c>
      <c r="F224" s="23" t="n">
        <v>71458.96</v>
      </c>
      <c r="G224" s="24" t="n">
        <v>1.1157</v>
      </c>
      <c r="H224" s="24" t="n">
        <v>0.6913</v>
      </c>
      <c r="I224" s="22" t="s">
        <v>203</v>
      </c>
      <c r="J224" s="22"/>
      <c r="K224" s="23" t="n">
        <v>72933.31</v>
      </c>
      <c r="L224" s="22" t="s">
        <v>204</v>
      </c>
      <c r="M224" s="22" t="s">
        <v>205</v>
      </c>
    </row>
    <row r="225" customFormat="false" ht="15" hidden="false" customHeight="false" outlineLevel="0" collapsed="false">
      <c r="A225" s="22" t="s">
        <v>860</v>
      </c>
      <c r="B225" s="22" t="s">
        <v>861</v>
      </c>
      <c r="C225" s="22" t="s">
        <v>15</v>
      </c>
      <c r="D225" s="22" t="s">
        <v>61</v>
      </c>
      <c r="E225" s="22" t="s">
        <v>862</v>
      </c>
      <c r="F225" s="23" t="n">
        <v>5755.04</v>
      </c>
      <c r="G225" s="24" t="n">
        <v>1.1394</v>
      </c>
      <c r="H225" s="24" t="n">
        <v>0.5972</v>
      </c>
      <c r="I225" s="22" t="s">
        <v>203</v>
      </c>
      <c r="J225" s="22"/>
      <c r="K225" s="23" t="n">
        <v>5182.03</v>
      </c>
      <c r="L225" s="22" t="s">
        <v>204</v>
      </c>
      <c r="M225" s="22" t="s">
        <v>205</v>
      </c>
    </row>
    <row r="226" customFormat="false" ht="15" hidden="false" customHeight="false" outlineLevel="0" collapsed="false">
      <c r="A226" s="22" t="s">
        <v>863</v>
      </c>
      <c r="B226" s="22" t="s">
        <v>864</v>
      </c>
      <c r="C226" s="22" t="s">
        <v>15</v>
      </c>
      <c r="D226" s="22" t="s">
        <v>60</v>
      </c>
      <c r="E226" s="22" t="s">
        <v>865</v>
      </c>
      <c r="F226" s="23" t="n">
        <v>21438.73</v>
      </c>
      <c r="G226" s="24" t="n">
        <v>1.073</v>
      </c>
      <c r="H226" s="24" t="n">
        <v>0.0697</v>
      </c>
      <c r="I226" s="22" t="s">
        <v>203</v>
      </c>
      <c r="J226" s="22"/>
      <c r="K226" s="23" t="n">
        <v>2121.71</v>
      </c>
      <c r="L226" s="22" t="s">
        <v>204</v>
      </c>
      <c r="M226" s="22" t="s">
        <v>205</v>
      </c>
    </row>
    <row r="227" customFormat="false" ht="15" hidden="false" customHeight="false" outlineLevel="0" collapsed="false">
      <c r="A227" s="22" t="s">
        <v>866</v>
      </c>
      <c r="B227" s="22" t="s">
        <v>867</v>
      </c>
      <c r="C227" s="22" t="s">
        <v>15</v>
      </c>
      <c r="D227" s="22" t="s">
        <v>58</v>
      </c>
      <c r="E227" s="22" t="s">
        <v>868</v>
      </c>
      <c r="F227" s="23" t="n">
        <v>77224.12</v>
      </c>
      <c r="G227" s="24" t="n">
        <v>1.1919</v>
      </c>
      <c r="H227" s="24" t="n">
        <v>0.6037</v>
      </c>
      <c r="I227" s="22" t="s">
        <v>203</v>
      </c>
      <c r="J227" s="22"/>
      <c r="K227" s="23" t="n">
        <v>73530.79</v>
      </c>
      <c r="L227" s="22" t="s">
        <v>204</v>
      </c>
      <c r="M227" s="22" t="s">
        <v>205</v>
      </c>
    </row>
    <row r="228" customFormat="false" ht="15" hidden="false" customHeight="false" outlineLevel="0" collapsed="false">
      <c r="A228" s="22" t="s">
        <v>869</v>
      </c>
      <c r="B228" s="22" t="s">
        <v>870</v>
      </c>
      <c r="C228" s="22" t="s">
        <v>17</v>
      </c>
      <c r="D228" s="22" t="s">
        <v>60</v>
      </c>
      <c r="E228" s="22" t="s">
        <v>871</v>
      </c>
      <c r="F228" s="23" t="n">
        <v>13882.46</v>
      </c>
      <c r="G228" s="24" t="n">
        <v>1.1912</v>
      </c>
      <c r="H228" s="24" t="n">
        <v>0.063</v>
      </c>
      <c r="I228" s="22" t="s">
        <v>203</v>
      </c>
      <c r="J228" s="22"/>
      <c r="K228" s="23" t="n">
        <v>1380.91</v>
      </c>
      <c r="L228" s="22" t="s">
        <v>204</v>
      </c>
      <c r="M228" s="22" t="s">
        <v>205</v>
      </c>
    </row>
    <row r="229" customFormat="false" ht="15" hidden="false" customHeight="false" outlineLevel="0" collapsed="false">
      <c r="A229" s="22" t="s">
        <v>872</v>
      </c>
      <c r="B229" s="22" t="s">
        <v>873</v>
      </c>
      <c r="C229" s="22" t="s">
        <v>15</v>
      </c>
      <c r="D229" s="22" t="s">
        <v>58</v>
      </c>
      <c r="E229" s="22" t="s">
        <v>874</v>
      </c>
      <c r="F229" s="23" t="n">
        <v>32775.53</v>
      </c>
      <c r="G229" s="24" t="n">
        <v>1.2315</v>
      </c>
      <c r="H229" s="24" t="n">
        <v>0.5903</v>
      </c>
      <c r="I229" s="22" t="s">
        <v>203</v>
      </c>
      <c r="J229" s="22"/>
      <c r="K229" s="23" t="n">
        <v>31529.14</v>
      </c>
      <c r="L229" s="22" t="s">
        <v>204</v>
      </c>
      <c r="M229" s="22" t="s">
        <v>205</v>
      </c>
    </row>
    <row r="230" customFormat="false" ht="15" hidden="false" customHeight="false" outlineLevel="0" collapsed="false">
      <c r="A230" s="22" t="s">
        <v>875</v>
      </c>
      <c r="B230" s="22" t="s">
        <v>876</v>
      </c>
      <c r="C230" s="22" t="s">
        <v>15</v>
      </c>
      <c r="D230" s="22" t="s">
        <v>60</v>
      </c>
      <c r="E230" s="22" t="s">
        <v>877</v>
      </c>
      <c r="F230" s="23" t="n">
        <v>25479.87</v>
      </c>
      <c r="G230" s="24" t="n">
        <v>1.0248</v>
      </c>
      <c r="H230" s="24" t="n">
        <v>0.9093</v>
      </c>
      <c r="I230" s="22" t="s">
        <v>203</v>
      </c>
      <c r="J230" s="22"/>
      <c r="K230" s="23" t="n">
        <v>31419.47</v>
      </c>
      <c r="L230" s="22" t="s">
        <v>204</v>
      </c>
      <c r="M230" s="22" t="s">
        <v>205</v>
      </c>
    </row>
    <row r="231" customFormat="false" ht="15" hidden="false" customHeight="false" outlineLevel="0" collapsed="false">
      <c r="A231" s="22" t="s">
        <v>878</v>
      </c>
      <c r="B231" s="22" t="s">
        <v>879</v>
      </c>
      <c r="C231" s="22" t="s">
        <v>19</v>
      </c>
      <c r="D231" s="22" t="s">
        <v>58</v>
      </c>
      <c r="E231" s="22" t="s">
        <v>880</v>
      </c>
      <c r="F231" s="23" t="n">
        <v>27459.28</v>
      </c>
      <c r="G231" s="24" t="n">
        <v>1.0061</v>
      </c>
      <c r="H231" s="24" t="n">
        <v>0.4317</v>
      </c>
      <c r="I231" s="22" t="s">
        <v>203</v>
      </c>
      <c r="J231" s="22"/>
      <c r="K231" s="23" t="n">
        <v>15929.75</v>
      </c>
      <c r="L231" s="22" t="s">
        <v>204</v>
      </c>
      <c r="M231" s="22" t="s">
        <v>205</v>
      </c>
    </row>
    <row r="232" customFormat="false" ht="15" hidden="false" customHeight="false" outlineLevel="0" collapsed="false">
      <c r="A232" s="22" t="s">
        <v>881</v>
      </c>
      <c r="B232" s="22" t="s">
        <v>882</v>
      </c>
      <c r="C232" s="22" t="s">
        <v>19</v>
      </c>
      <c r="D232" s="22" t="s">
        <v>60</v>
      </c>
      <c r="E232" s="22" t="s">
        <v>883</v>
      </c>
      <c r="F232" s="23" t="n">
        <v>28102.89</v>
      </c>
      <c r="G232" s="24" t="n">
        <v>1.036</v>
      </c>
      <c r="H232" s="24" t="n">
        <v>0.2887</v>
      </c>
      <c r="I232" s="22" t="s">
        <v>203</v>
      </c>
      <c r="J232" s="22"/>
      <c r="K232" s="23" t="n">
        <v>11226.75</v>
      </c>
      <c r="L232" s="22" t="s">
        <v>204</v>
      </c>
      <c r="M232" s="22" t="s">
        <v>205</v>
      </c>
    </row>
    <row r="233" customFormat="false" ht="15" hidden="false" customHeight="false" outlineLevel="0" collapsed="false">
      <c r="A233" s="22" t="s">
        <v>884</v>
      </c>
      <c r="B233" s="22" t="s">
        <v>885</v>
      </c>
      <c r="C233" s="22" t="s">
        <v>17</v>
      </c>
      <c r="D233" s="22" t="s">
        <v>58</v>
      </c>
      <c r="E233" s="22" t="s">
        <v>886</v>
      </c>
      <c r="F233" s="23" t="n">
        <v>58049.02</v>
      </c>
      <c r="G233" s="24" t="n">
        <v>1.2134</v>
      </c>
      <c r="H233" s="24" t="n">
        <v>0.9121</v>
      </c>
      <c r="I233" s="22" t="s">
        <v>203</v>
      </c>
      <c r="J233" s="22"/>
      <c r="K233" s="23" t="n">
        <v>85156.15</v>
      </c>
      <c r="L233" s="22" t="s">
        <v>204</v>
      </c>
      <c r="M233" s="22" t="s">
        <v>205</v>
      </c>
    </row>
    <row r="234" customFormat="false" ht="15" hidden="false" customHeight="false" outlineLevel="0" collapsed="false">
      <c r="A234" s="22" t="s">
        <v>887</v>
      </c>
      <c r="B234" s="22" t="s">
        <v>888</v>
      </c>
      <c r="C234" s="22" t="s">
        <v>17</v>
      </c>
      <c r="D234" s="22" t="s">
        <v>58</v>
      </c>
      <c r="E234" s="22" t="s">
        <v>889</v>
      </c>
      <c r="F234" s="23" t="n">
        <v>79746.25</v>
      </c>
      <c r="G234" s="24" t="n">
        <v>1.0137</v>
      </c>
      <c r="H234" s="24" t="n">
        <v>0.5213</v>
      </c>
      <c r="I234" s="22" t="s">
        <v>203</v>
      </c>
      <c r="J234" s="22"/>
      <c r="K234" s="23" t="n">
        <v>55857.58</v>
      </c>
      <c r="L234" s="22" t="s">
        <v>204</v>
      </c>
      <c r="M234" s="22" t="s">
        <v>205</v>
      </c>
    </row>
    <row r="235" customFormat="false" ht="15" hidden="false" customHeight="false" outlineLevel="0" collapsed="false">
      <c r="A235" s="22" t="s">
        <v>890</v>
      </c>
      <c r="B235" s="22" t="s">
        <v>891</v>
      </c>
      <c r="C235" s="22" t="s">
        <v>17</v>
      </c>
      <c r="D235" s="22" t="s">
        <v>60</v>
      </c>
      <c r="E235" s="22" t="s">
        <v>892</v>
      </c>
      <c r="F235" s="23" t="n">
        <v>19067.93</v>
      </c>
      <c r="G235" s="24" t="n">
        <v>1.2821</v>
      </c>
      <c r="H235" s="24" t="n">
        <v>0.0313</v>
      </c>
      <c r="I235" s="22" t="s">
        <v>203</v>
      </c>
      <c r="J235" s="22"/>
      <c r="K235" s="23" t="n">
        <v>1014.25</v>
      </c>
      <c r="L235" s="22" t="s">
        <v>204</v>
      </c>
      <c r="M235" s="22" t="s">
        <v>205</v>
      </c>
    </row>
    <row r="236" customFormat="false" ht="15" hidden="false" customHeight="false" outlineLevel="0" collapsed="false">
      <c r="A236" s="22" t="s">
        <v>893</v>
      </c>
      <c r="B236" s="22" t="s">
        <v>894</v>
      </c>
      <c r="C236" s="22" t="s">
        <v>19</v>
      </c>
      <c r="D236" s="22" t="s">
        <v>62</v>
      </c>
      <c r="E236" s="22" t="s">
        <v>895</v>
      </c>
      <c r="F236" s="23" t="n">
        <v>1919693.06</v>
      </c>
      <c r="G236" s="24" t="n">
        <v>1.1555</v>
      </c>
      <c r="H236" s="24" t="n">
        <v>0.2133</v>
      </c>
      <c r="I236" s="22" t="s">
        <v>203</v>
      </c>
      <c r="J236" s="22"/>
      <c r="K236" s="23" t="n">
        <v>631959.36</v>
      </c>
      <c r="L236" s="22" t="s">
        <v>204</v>
      </c>
      <c r="M236" s="22" t="s">
        <v>205</v>
      </c>
    </row>
    <row r="237" customFormat="false" ht="15" hidden="false" customHeight="false" outlineLevel="0" collapsed="false">
      <c r="A237" s="22" t="s">
        <v>896</v>
      </c>
      <c r="B237" s="22" t="s">
        <v>897</v>
      </c>
      <c r="C237" s="22" t="s">
        <v>19</v>
      </c>
      <c r="D237" s="22" t="s">
        <v>61</v>
      </c>
      <c r="E237" s="22" t="s">
        <v>898</v>
      </c>
      <c r="F237" s="23" t="n">
        <v>9018.93</v>
      </c>
      <c r="G237" s="24" t="n">
        <v>1.2507</v>
      </c>
      <c r="H237" s="24" t="n">
        <v>0.0976</v>
      </c>
      <c r="I237" s="22" t="s">
        <v>203</v>
      </c>
      <c r="J237" s="22"/>
      <c r="K237" s="23" t="n">
        <v>1470.46</v>
      </c>
      <c r="L237" s="22" t="s">
        <v>204</v>
      </c>
      <c r="M237" s="22" t="s">
        <v>205</v>
      </c>
    </row>
    <row r="238" customFormat="false" ht="15" hidden="false" customHeight="false" outlineLevel="0" collapsed="false">
      <c r="A238" s="22" t="s">
        <v>899</v>
      </c>
      <c r="B238" s="22" t="s">
        <v>900</v>
      </c>
      <c r="C238" s="22" t="s">
        <v>15</v>
      </c>
      <c r="D238" s="22" t="s">
        <v>59</v>
      </c>
      <c r="E238" s="22" t="s">
        <v>901</v>
      </c>
      <c r="F238" s="23" t="n">
        <v>73719.03</v>
      </c>
      <c r="G238" s="24" t="n">
        <v>1.0648</v>
      </c>
      <c r="H238" s="24" t="n">
        <v>0.2276</v>
      </c>
      <c r="I238" s="22" t="s">
        <v>203</v>
      </c>
      <c r="J238" s="22"/>
      <c r="K238" s="23" t="n">
        <v>23641.51</v>
      </c>
      <c r="L238" s="22" t="s">
        <v>204</v>
      </c>
      <c r="M238" s="22" t="s">
        <v>205</v>
      </c>
    </row>
    <row r="239" customFormat="false" ht="15" hidden="false" customHeight="false" outlineLevel="0" collapsed="false">
      <c r="A239" s="22" t="s">
        <v>902</v>
      </c>
      <c r="B239" s="22" t="s">
        <v>903</v>
      </c>
      <c r="C239" s="22" t="s">
        <v>17</v>
      </c>
      <c r="D239" s="22" t="s">
        <v>59</v>
      </c>
      <c r="E239" s="22" t="s">
        <v>904</v>
      </c>
      <c r="F239" s="23" t="n">
        <v>74462.75</v>
      </c>
      <c r="G239" s="24" t="n">
        <v>1.0033</v>
      </c>
      <c r="H239" s="24" t="n">
        <v>0.5124</v>
      </c>
      <c r="I239" s="22" t="s">
        <v>203</v>
      </c>
      <c r="J239" s="22"/>
      <c r="K239" s="23" t="n">
        <v>50740.38</v>
      </c>
      <c r="L239" s="22" t="s">
        <v>204</v>
      </c>
      <c r="M239" s="22" t="s">
        <v>205</v>
      </c>
    </row>
    <row r="240" customFormat="false" ht="15" hidden="false" customHeight="false" outlineLevel="0" collapsed="false">
      <c r="A240" s="22" t="s">
        <v>905</v>
      </c>
      <c r="B240" s="22" t="s">
        <v>906</v>
      </c>
      <c r="C240" s="22" t="s">
        <v>17</v>
      </c>
      <c r="D240" s="22" t="s">
        <v>60</v>
      </c>
      <c r="E240" s="22" t="s">
        <v>907</v>
      </c>
      <c r="F240" s="23" t="n">
        <v>32871.29</v>
      </c>
      <c r="G240" s="24" t="n">
        <v>1.2781</v>
      </c>
      <c r="H240" s="24" t="n">
        <v>0.5978</v>
      </c>
      <c r="I240" s="22" t="s">
        <v>203</v>
      </c>
      <c r="J240" s="22"/>
      <c r="K240" s="23" t="n">
        <v>33289.88</v>
      </c>
      <c r="L240" s="22" t="s">
        <v>204</v>
      </c>
      <c r="M240" s="22" t="s">
        <v>205</v>
      </c>
    </row>
    <row r="241" customFormat="false" ht="15" hidden="false" customHeight="false" outlineLevel="0" collapsed="false">
      <c r="A241" s="22" t="s">
        <v>908</v>
      </c>
      <c r="B241" s="22" t="s">
        <v>909</v>
      </c>
      <c r="C241" s="22" t="s">
        <v>15</v>
      </c>
      <c r="D241" s="22" t="s">
        <v>59</v>
      </c>
      <c r="E241" s="22" t="s">
        <v>910</v>
      </c>
      <c r="F241" s="23" t="n">
        <v>81713.78</v>
      </c>
      <c r="G241" s="24" t="n">
        <v>1.06</v>
      </c>
      <c r="H241" s="24" t="n">
        <v>0.2746</v>
      </c>
      <c r="I241" s="22" t="s">
        <v>203</v>
      </c>
      <c r="J241" s="22"/>
      <c r="K241" s="23" t="n">
        <v>31474.36</v>
      </c>
      <c r="L241" s="22" t="s">
        <v>204</v>
      </c>
      <c r="M241" s="22" t="s">
        <v>205</v>
      </c>
    </row>
    <row r="242" customFormat="false" ht="15" hidden="false" customHeight="false" outlineLevel="0" collapsed="false">
      <c r="A242" s="22" t="s">
        <v>911</v>
      </c>
      <c r="B242" s="22" t="s">
        <v>912</v>
      </c>
      <c r="C242" s="22" t="s">
        <v>15</v>
      </c>
      <c r="D242" s="22" t="s">
        <v>59</v>
      </c>
      <c r="E242" s="22" t="s">
        <v>805</v>
      </c>
      <c r="F242" s="23" t="n">
        <v>125899.94</v>
      </c>
      <c r="G242" s="24" t="n">
        <v>1.0022</v>
      </c>
      <c r="H242" s="24" t="n">
        <v>0.5378</v>
      </c>
      <c r="I242" s="22" t="s">
        <v>203</v>
      </c>
      <c r="J242" s="22"/>
      <c r="K242" s="23" t="n">
        <v>89795.79</v>
      </c>
      <c r="L242" s="22" t="s">
        <v>204</v>
      </c>
      <c r="M242" s="22" t="s">
        <v>205</v>
      </c>
    </row>
    <row r="243" customFormat="false" ht="15" hidden="false" customHeight="false" outlineLevel="0" collapsed="false">
      <c r="A243" s="22" t="s">
        <v>913</v>
      </c>
      <c r="B243" s="22" t="s">
        <v>914</v>
      </c>
      <c r="C243" s="22" t="s">
        <v>19</v>
      </c>
      <c r="D243" s="22" t="s">
        <v>62</v>
      </c>
      <c r="E243" s="22" t="s">
        <v>915</v>
      </c>
      <c r="F243" s="23" t="n">
        <v>1234881.41</v>
      </c>
      <c r="G243" s="24" t="n">
        <v>1.0609</v>
      </c>
      <c r="H243" s="24" t="n">
        <v>0.0839</v>
      </c>
      <c r="I243" s="22" t="s">
        <v>203</v>
      </c>
      <c r="J243" s="22"/>
      <c r="K243" s="23" t="n">
        <v>146810.87</v>
      </c>
      <c r="L243" s="22" t="s">
        <v>204</v>
      </c>
      <c r="M243" s="22" t="s">
        <v>205</v>
      </c>
    </row>
    <row r="244" customFormat="false" ht="15" hidden="false" customHeight="false" outlineLevel="0" collapsed="false">
      <c r="A244" s="22" t="s">
        <v>916</v>
      </c>
      <c r="B244" s="22" t="s">
        <v>917</v>
      </c>
      <c r="C244" s="22" t="s">
        <v>17</v>
      </c>
      <c r="D244" s="22" t="s">
        <v>58</v>
      </c>
      <c r="E244" s="22" t="s">
        <v>918</v>
      </c>
      <c r="F244" s="23" t="n">
        <v>60112.56</v>
      </c>
      <c r="G244" s="24" t="n">
        <v>1.2986</v>
      </c>
      <c r="H244" s="24" t="n">
        <v>0.5132</v>
      </c>
      <c r="I244" s="22" t="s">
        <v>203</v>
      </c>
      <c r="J244" s="22"/>
      <c r="K244" s="23" t="n">
        <v>53100.91</v>
      </c>
      <c r="L244" s="22" t="s">
        <v>204</v>
      </c>
      <c r="M244" s="22" t="s">
        <v>205</v>
      </c>
    </row>
    <row r="245" customFormat="false" ht="15" hidden="false" customHeight="false" outlineLevel="0" collapsed="false">
      <c r="A245" s="22" t="s">
        <v>919</v>
      </c>
      <c r="B245" s="22" t="s">
        <v>920</v>
      </c>
      <c r="C245" s="22" t="s">
        <v>19</v>
      </c>
      <c r="D245" s="22" t="s">
        <v>59</v>
      </c>
      <c r="E245" s="22" t="s">
        <v>921</v>
      </c>
      <c r="F245" s="23" t="n">
        <v>54532.4</v>
      </c>
      <c r="G245" s="24" t="n">
        <v>1.1654</v>
      </c>
      <c r="H245" s="24" t="n">
        <v>0.7488</v>
      </c>
      <c r="I245" s="22" t="s">
        <v>203</v>
      </c>
      <c r="J245" s="22"/>
      <c r="K245" s="23" t="n">
        <v>63561.19</v>
      </c>
      <c r="L245" s="22" t="s">
        <v>204</v>
      </c>
      <c r="M245" s="22" t="s">
        <v>205</v>
      </c>
    </row>
    <row r="246" customFormat="false" ht="15" hidden="false" customHeight="false" outlineLevel="0" collapsed="false">
      <c r="A246" s="22" t="s">
        <v>922</v>
      </c>
      <c r="B246" s="22" t="s">
        <v>923</v>
      </c>
      <c r="C246" s="22" t="s">
        <v>17</v>
      </c>
      <c r="D246" s="22" t="s">
        <v>60</v>
      </c>
      <c r="E246" s="22" t="s">
        <v>924</v>
      </c>
      <c r="F246" s="23" t="n">
        <v>32571.04</v>
      </c>
      <c r="G246" s="24" t="n">
        <v>1.0714</v>
      </c>
      <c r="H246" s="24" t="n">
        <v>0.2505</v>
      </c>
      <c r="I246" s="22" t="s">
        <v>203</v>
      </c>
      <c r="J246" s="22"/>
      <c r="K246" s="23" t="n">
        <v>11586.86</v>
      </c>
      <c r="L246" s="22" t="s">
        <v>204</v>
      </c>
      <c r="M246" s="22" t="s">
        <v>205</v>
      </c>
    </row>
    <row r="247" customFormat="false" ht="15" hidden="false" customHeight="false" outlineLevel="0" collapsed="false">
      <c r="A247" s="22" t="s">
        <v>925</v>
      </c>
      <c r="B247" s="22" t="s">
        <v>926</v>
      </c>
      <c r="C247" s="22" t="s">
        <v>15</v>
      </c>
      <c r="D247" s="22" t="s">
        <v>60</v>
      </c>
      <c r="E247" s="22" t="s">
        <v>927</v>
      </c>
      <c r="F247" s="23" t="n">
        <v>32913.1</v>
      </c>
      <c r="G247" s="24" t="n">
        <v>1.2262</v>
      </c>
      <c r="H247" s="24" t="n">
        <v>0.7941</v>
      </c>
      <c r="I247" s="22" t="s">
        <v>203</v>
      </c>
      <c r="J247" s="22"/>
      <c r="K247" s="23" t="n">
        <v>42409.25</v>
      </c>
      <c r="L247" s="22" t="s">
        <v>204</v>
      </c>
      <c r="M247" s="22" t="s">
        <v>205</v>
      </c>
    </row>
    <row r="248" customFormat="false" ht="15" hidden="false" customHeight="false" outlineLevel="0" collapsed="false">
      <c r="A248" s="22" t="s">
        <v>928</v>
      </c>
      <c r="B248" s="22" t="s">
        <v>929</v>
      </c>
      <c r="C248" s="22" t="s">
        <v>15</v>
      </c>
      <c r="D248" s="22" t="s">
        <v>60</v>
      </c>
      <c r="E248" s="22" t="s">
        <v>930</v>
      </c>
      <c r="F248" s="23" t="n">
        <v>16694.49</v>
      </c>
      <c r="G248" s="24" t="n">
        <v>1.0683</v>
      </c>
      <c r="H248" s="24" t="n">
        <v>0.7099</v>
      </c>
      <c r="I248" s="22" t="s">
        <v>203</v>
      </c>
      <c r="J248" s="22"/>
      <c r="K248" s="23" t="n">
        <v>16754.01</v>
      </c>
      <c r="L248" s="22" t="s">
        <v>204</v>
      </c>
      <c r="M248" s="22" t="s">
        <v>205</v>
      </c>
    </row>
    <row r="249" customFormat="false" ht="15" hidden="false" customHeight="false" outlineLevel="0" collapsed="false">
      <c r="A249" s="22" t="s">
        <v>931</v>
      </c>
      <c r="B249" s="22" t="s">
        <v>932</v>
      </c>
      <c r="C249" s="22" t="s">
        <v>15</v>
      </c>
      <c r="D249" s="22" t="s">
        <v>60</v>
      </c>
      <c r="E249" s="22" t="s">
        <v>933</v>
      </c>
      <c r="F249" s="23" t="n">
        <v>23458.17</v>
      </c>
      <c r="G249" s="24" t="n">
        <v>1.1241</v>
      </c>
      <c r="H249" s="24" t="n">
        <v>0.6135</v>
      </c>
      <c r="I249" s="22" t="s">
        <v>203</v>
      </c>
      <c r="J249" s="22"/>
      <c r="K249" s="23" t="n">
        <v>21407.65</v>
      </c>
      <c r="L249" s="22" t="s">
        <v>204</v>
      </c>
      <c r="M249" s="22" t="s">
        <v>205</v>
      </c>
    </row>
    <row r="250" customFormat="false" ht="15" hidden="false" customHeight="false" outlineLevel="0" collapsed="false">
      <c r="A250" s="22" t="s">
        <v>934</v>
      </c>
      <c r="B250" s="22" t="s">
        <v>935</v>
      </c>
      <c r="C250" s="22" t="s">
        <v>19</v>
      </c>
      <c r="D250" s="22" t="s">
        <v>58</v>
      </c>
      <c r="E250" s="22" t="s">
        <v>936</v>
      </c>
      <c r="F250" s="23" t="n">
        <v>57638.36</v>
      </c>
      <c r="G250" s="24" t="n">
        <v>1.2984</v>
      </c>
      <c r="H250" s="24" t="n">
        <v>0.0549</v>
      </c>
      <c r="I250" s="22" t="s">
        <v>203</v>
      </c>
      <c r="J250" s="22"/>
      <c r="K250" s="23" t="n">
        <v>5487.68</v>
      </c>
      <c r="L250" s="22" t="s">
        <v>204</v>
      </c>
      <c r="M250" s="22" t="s">
        <v>205</v>
      </c>
    </row>
    <row r="251" customFormat="false" ht="15" hidden="false" customHeight="false" outlineLevel="0" collapsed="false">
      <c r="A251" s="22" t="s">
        <v>937</v>
      </c>
      <c r="B251" s="22" t="s">
        <v>938</v>
      </c>
      <c r="C251" s="22" t="s">
        <v>15</v>
      </c>
      <c r="D251" s="22" t="s">
        <v>59</v>
      </c>
      <c r="E251" s="22" t="s">
        <v>939</v>
      </c>
      <c r="F251" s="23" t="n">
        <v>134982.62</v>
      </c>
      <c r="G251" s="24" t="n">
        <v>1.0028</v>
      </c>
      <c r="H251" s="24" t="n">
        <v>0.3245</v>
      </c>
      <c r="I251" s="22" t="s">
        <v>203</v>
      </c>
      <c r="J251" s="22"/>
      <c r="K251" s="23" t="n">
        <v>58124.89</v>
      </c>
      <c r="L251" s="22" t="s">
        <v>204</v>
      </c>
      <c r="M251" s="22" t="s">
        <v>205</v>
      </c>
    </row>
    <row r="252" customFormat="false" ht="15" hidden="false" customHeight="false" outlineLevel="0" collapsed="false">
      <c r="A252" s="22" t="s">
        <v>940</v>
      </c>
      <c r="B252" s="22" t="s">
        <v>941</v>
      </c>
      <c r="C252" s="22" t="s">
        <v>17</v>
      </c>
      <c r="D252" s="22" t="s">
        <v>60</v>
      </c>
      <c r="E252" s="22" t="s">
        <v>942</v>
      </c>
      <c r="F252" s="23" t="n">
        <v>16823.77</v>
      </c>
      <c r="G252" s="24" t="n">
        <v>1.0848</v>
      </c>
      <c r="H252" s="24" t="n">
        <v>0.2564</v>
      </c>
      <c r="I252" s="22" t="s">
        <v>203</v>
      </c>
      <c r="J252" s="22"/>
      <c r="K252" s="23" t="n">
        <v>6202.49</v>
      </c>
      <c r="L252" s="22" t="s">
        <v>204</v>
      </c>
      <c r="M252" s="22" t="s">
        <v>205</v>
      </c>
    </row>
    <row r="253" customFormat="false" ht="15" hidden="false" customHeight="false" outlineLevel="0" collapsed="false">
      <c r="A253" s="22" t="s">
        <v>943</v>
      </c>
      <c r="B253" s="22" t="s">
        <v>944</v>
      </c>
      <c r="C253" s="22" t="s">
        <v>15</v>
      </c>
      <c r="D253" s="22" t="s">
        <v>60</v>
      </c>
      <c r="E253" s="22" t="s">
        <v>945</v>
      </c>
      <c r="F253" s="23" t="n">
        <v>32975.6</v>
      </c>
      <c r="G253" s="24" t="n">
        <v>1.1544</v>
      </c>
      <c r="H253" s="24" t="n">
        <v>0.1792</v>
      </c>
      <c r="I253" s="22" t="s">
        <v>203</v>
      </c>
      <c r="J253" s="22"/>
      <c r="K253" s="23" t="n">
        <v>9026.98</v>
      </c>
      <c r="L253" s="22" t="s">
        <v>204</v>
      </c>
      <c r="M253" s="22" t="s">
        <v>205</v>
      </c>
    </row>
    <row r="254" customFormat="false" ht="15" hidden="false" customHeight="false" outlineLevel="0" collapsed="false">
      <c r="A254" s="22" t="s">
        <v>946</v>
      </c>
      <c r="B254" s="22" t="s">
        <v>947</v>
      </c>
      <c r="C254" s="22" t="s">
        <v>19</v>
      </c>
      <c r="D254" s="22" t="s">
        <v>59</v>
      </c>
      <c r="E254" s="22" t="s">
        <v>948</v>
      </c>
      <c r="F254" s="23" t="n">
        <v>99586.88</v>
      </c>
      <c r="G254" s="24" t="n">
        <v>1.294</v>
      </c>
      <c r="H254" s="24" t="n">
        <v>0.7053</v>
      </c>
      <c r="I254" s="22" t="s">
        <v>203</v>
      </c>
      <c r="J254" s="22"/>
      <c r="K254" s="23" t="n">
        <v>121396.69</v>
      </c>
      <c r="L254" s="22" t="s">
        <v>204</v>
      </c>
      <c r="M254" s="22" t="s">
        <v>205</v>
      </c>
    </row>
    <row r="255" customFormat="false" ht="15" hidden="false" customHeight="false" outlineLevel="0" collapsed="false">
      <c r="A255" s="22" t="s">
        <v>949</v>
      </c>
      <c r="B255" s="22" t="s">
        <v>950</v>
      </c>
      <c r="C255" s="22" t="s">
        <v>15</v>
      </c>
      <c r="D255" s="22" t="s">
        <v>60</v>
      </c>
      <c r="E255" s="22" t="s">
        <v>951</v>
      </c>
      <c r="F255" s="23" t="n">
        <v>29488.96</v>
      </c>
      <c r="G255" s="24" t="n">
        <v>1.1485</v>
      </c>
      <c r="H255" s="24" t="n">
        <v>0.9246</v>
      </c>
      <c r="I255" s="22" t="s">
        <v>203</v>
      </c>
      <c r="J255" s="22"/>
      <c r="K255" s="23" t="n">
        <v>41438.08</v>
      </c>
      <c r="L255" s="22" t="s">
        <v>204</v>
      </c>
      <c r="M255" s="22" t="s">
        <v>205</v>
      </c>
    </row>
    <row r="256" customFormat="false" ht="15" hidden="false" customHeight="false" outlineLevel="0" collapsed="false">
      <c r="A256" s="22" t="s">
        <v>952</v>
      </c>
      <c r="B256" s="22" t="s">
        <v>953</v>
      </c>
      <c r="C256" s="22" t="s">
        <v>19</v>
      </c>
      <c r="D256" s="22" t="s">
        <v>58</v>
      </c>
      <c r="E256" s="22" t="s">
        <v>954</v>
      </c>
      <c r="F256" s="23" t="n">
        <v>54337.18</v>
      </c>
      <c r="G256" s="24" t="n">
        <v>1.2314</v>
      </c>
      <c r="H256" s="24" t="n">
        <v>0.2778</v>
      </c>
      <c r="I256" s="22" t="s">
        <v>203</v>
      </c>
      <c r="J256" s="22"/>
      <c r="K256" s="23" t="n">
        <v>24827.05</v>
      </c>
      <c r="L256" s="22" t="s">
        <v>204</v>
      </c>
      <c r="M256" s="22" t="s">
        <v>205</v>
      </c>
    </row>
    <row r="257" customFormat="false" ht="15" hidden="false" customHeight="false" outlineLevel="0" collapsed="false">
      <c r="A257" s="22" t="s">
        <v>955</v>
      </c>
      <c r="B257" s="22" t="s">
        <v>956</v>
      </c>
      <c r="C257" s="22" t="s">
        <v>19</v>
      </c>
      <c r="D257" s="22" t="s">
        <v>61</v>
      </c>
      <c r="E257" s="22" t="s">
        <v>957</v>
      </c>
      <c r="F257" s="23" t="n">
        <v>7661.69</v>
      </c>
      <c r="G257" s="24" t="n">
        <v>1.1055</v>
      </c>
      <c r="H257" s="24" t="n">
        <v>0.787</v>
      </c>
      <c r="I257" s="22" t="s">
        <v>203</v>
      </c>
      <c r="J257" s="22"/>
      <c r="K257" s="23" t="n">
        <v>8903.37</v>
      </c>
      <c r="L257" s="22" t="s">
        <v>204</v>
      </c>
      <c r="M257" s="22" t="s">
        <v>205</v>
      </c>
    </row>
    <row r="258" customFormat="false" ht="15" hidden="false" customHeight="false" outlineLevel="0" collapsed="false">
      <c r="A258" s="22" t="s">
        <v>958</v>
      </c>
      <c r="B258" s="22" t="s">
        <v>959</v>
      </c>
      <c r="C258" s="22" t="s">
        <v>15</v>
      </c>
      <c r="D258" s="22" t="s">
        <v>60</v>
      </c>
      <c r="E258" s="22" t="s">
        <v>960</v>
      </c>
      <c r="F258" s="23" t="n">
        <v>15835.56</v>
      </c>
      <c r="G258" s="24" t="n">
        <v>1.2062</v>
      </c>
      <c r="H258" s="24" t="n">
        <v>0.661</v>
      </c>
      <c r="I258" s="22" t="s">
        <v>203</v>
      </c>
      <c r="J258" s="22"/>
      <c r="K258" s="23" t="n">
        <v>16707.42</v>
      </c>
      <c r="L258" s="22" t="s">
        <v>204</v>
      </c>
      <c r="M258" s="22" t="s">
        <v>205</v>
      </c>
    </row>
    <row r="259" customFormat="false" ht="15" hidden="false" customHeight="false" outlineLevel="0" collapsed="false">
      <c r="A259" s="22" t="s">
        <v>961</v>
      </c>
      <c r="B259" s="22" t="s">
        <v>962</v>
      </c>
      <c r="C259" s="22" t="s">
        <v>17</v>
      </c>
      <c r="D259" s="22" t="s">
        <v>59</v>
      </c>
      <c r="E259" s="22" t="s">
        <v>963</v>
      </c>
      <c r="F259" s="23" t="n">
        <v>115955.13</v>
      </c>
      <c r="G259" s="24" t="n">
        <v>1.1921</v>
      </c>
      <c r="H259" s="24" t="n">
        <v>0.5641</v>
      </c>
      <c r="I259" s="22" t="s">
        <v>203</v>
      </c>
      <c r="J259" s="22"/>
      <c r="K259" s="23" t="n">
        <v>103355.47</v>
      </c>
      <c r="L259" s="22" t="s">
        <v>204</v>
      </c>
      <c r="M259" s="22" t="s">
        <v>205</v>
      </c>
    </row>
    <row r="260" customFormat="false" ht="15" hidden="false" customHeight="false" outlineLevel="0" collapsed="false">
      <c r="A260" s="22" t="s">
        <v>964</v>
      </c>
      <c r="B260" s="22" t="s">
        <v>965</v>
      </c>
      <c r="C260" s="22" t="s">
        <v>19</v>
      </c>
      <c r="D260" s="22" t="s">
        <v>61</v>
      </c>
      <c r="E260" s="22" t="s">
        <v>966</v>
      </c>
      <c r="F260" s="23" t="n">
        <v>2948.45</v>
      </c>
      <c r="G260" s="24" t="n">
        <v>1.1765</v>
      </c>
      <c r="H260" s="24" t="n">
        <v>0.1646</v>
      </c>
      <c r="I260" s="22" t="s">
        <v>203</v>
      </c>
      <c r="J260" s="22"/>
      <c r="K260" s="23" t="n">
        <v>762.63</v>
      </c>
      <c r="L260" s="22" t="s">
        <v>204</v>
      </c>
      <c r="M260" s="22" t="s">
        <v>205</v>
      </c>
    </row>
    <row r="261" customFormat="false" ht="15" hidden="false" customHeight="false" outlineLevel="0" collapsed="false">
      <c r="A261" s="22" t="s">
        <v>967</v>
      </c>
      <c r="B261" s="22" t="s">
        <v>968</v>
      </c>
      <c r="C261" s="22" t="s">
        <v>15</v>
      </c>
      <c r="D261" s="22" t="s">
        <v>61</v>
      </c>
      <c r="E261" s="22" t="s">
        <v>969</v>
      </c>
      <c r="F261" s="23" t="n">
        <v>8548.25</v>
      </c>
      <c r="G261" s="24" t="n">
        <v>1.2613</v>
      </c>
      <c r="H261" s="24" t="n">
        <v>0.8852</v>
      </c>
      <c r="I261" s="22" t="s">
        <v>203</v>
      </c>
      <c r="J261" s="22"/>
      <c r="K261" s="23" t="n">
        <v>12629.68</v>
      </c>
      <c r="L261" s="22" t="s">
        <v>204</v>
      </c>
      <c r="M261" s="22" t="s">
        <v>205</v>
      </c>
    </row>
    <row r="262" customFormat="false" ht="15" hidden="false" customHeight="false" outlineLevel="0" collapsed="false">
      <c r="A262" s="22" t="s">
        <v>970</v>
      </c>
      <c r="B262" s="22" t="s">
        <v>971</v>
      </c>
      <c r="C262" s="22" t="s">
        <v>17</v>
      </c>
      <c r="D262" s="22" t="s">
        <v>61</v>
      </c>
      <c r="E262" s="22" t="s">
        <v>972</v>
      </c>
      <c r="F262" s="23" t="n">
        <v>4477.53</v>
      </c>
      <c r="G262" s="24" t="n">
        <v>1.1675</v>
      </c>
      <c r="H262" s="24" t="n">
        <v>0.5419</v>
      </c>
      <c r="I262" s="22" t="s">
        <v>203</v>
      </c>
      <c r="J262" s="22"/>
      <c r="K262" s="23" t="n">
        <v>3754.82</v>
      </c>
      <c r="L262" s="22" t="s">
        <v>204</v>
      </c>
      <c r="M262" s="22" t="s">
        <v>205</v>
      </c>
    </row>
    <row r="263" customFormat="false" ht="15" hidden="false" customHeight="false" outlineLevel="0" collapsed="false">
      <c r="A263" s="22" t="s">
        <v>973</v>
      </c>
      <c r="B263" s="22" t="s">
        <v>974</v>
      </c>
      <c r="C263" s="22" t="s">
        <v>17</v>
      </c>
      <c r="D263" s="22" t="s">
        <v>58</v>
      </c>
      <c r="E263" s="22" t="s">
        <v>975</v>
      </c>
      <c r="F263" s="23" t="n">
        <v>29059.89</v>
      </c>
      <c r="G263" s="24" t="n">
        <v>1.0216</v>
      </c>
      <c r="H263" s="24" t="n">
        <v>0.4482</v>
      </c>
      <c r="I263" s="22" t="s">
        <v>203</v>
      </c>
      <c r="J263" s="22"/>
      <c r="K263" s="23" t="n">
        <v>17636.87</v>
      </c>
      <c r="L263" s="22" t="s">
        <v>204</v>
      </c>
      <c r="M263" s="22" t="s">
        <v>205</v>
      </c>
    </row>
    <row r="264" customFormat="false" ht="15" hidden="false" customHeight="false" outlineLevel="0" collapsed="false">
      <c r="A264" s="22" t="s">
        <v>976</v>
      </c>
      <c r="B264" s="22" t="s">
        <v>977</v>
      </c>
      <c r="C264" s="22" t="s">
        <v>17</v>
      </c>
      <c r="D264" s="22" t="s">
        <v>61</v>
      </c>
      <c r="E264" s="22" t="s">
        <v>978</v>
      </c>
      <c r="F264" s="23" t="n">
        <v>5841.43</v>
      </c>
      <c r="G264" s="24" t="n">
        <v>1.0052</v>
      </c>
      <c r="H264" s="24" t="n">
        <v>0.8427</v>
      </c>
      <c r="I264" s="22" t="s">
        <v>203</v>
      </c>
      <c r="J264" s="22"/>
      <c r="K264" s="23" t="n">
        <v>6558.72</v>
      </c>
      <c r="L264" s="22" t="s">
        <v>204</v>
      </c>
      <c r="M264" s="22" t="s">
        <v>205</v>
      </c>
    </row>
    <row r="265" customFormat="false" ht="15" hidden="false" customHeight="false" outlineLevel="0" collapsed="false">
      <c r="A265" s="22" t="s">
        <v>979</v>
      </c>
      <c r="B265" s="22" t="s">
        <v>980</v>
      </c>
      <c r="C265" s="22" t="s">
        <v>15</v>
      </c>
      <c r="D265" s="22" t="s">
        <v>60</v>
      </c>
      <c r="E265" s="22" t="s">
        <v>981</v>
      </c>
      <c r="F265" s="23" t="n">
        <v>31624.37</v>
      </c>
      <c r="G265" s="24" t="n">
        <v>1.0442</v>
      </c>
      <c r="H265" s="24" t="n">
        <v>0.3069</v>
      </c>
      <c r="I265" s="22" t="s">
        <v>203</v>
      </c>
      <c r="J265" s="22"/>
      <c r="K265" s="23" t="n">
        <v>13410.89</v>
      </c>
      <c r="L265" s="22" t="s">
        <v>204</v>
      </c>
      <c r="M265" s="22" t="s">
        <v>205</v>
      </c>
    </row>
    <row r="266" customFormat="false" ht="15" hidden="false" customHeight="false" outlineLevel="0" collapsed="false">
      <c r="A266" s="22" t="s">
        <v>982</v>
      </c>
      <c r="B266" s="22" t="s">
        <v>983</v>
      </c>
      <c r="C266" s="22" t="s">
        <v>17</v>
      </c>
      <c r="D266" s="22" t="s">
        <v>58</v>
      </c>
      <c r="E266" s="22" t="s">
        <v>984</v>
      </c>
      <c r="F266" s="23" t="n">
        <v>83248.49</v>
      </c>
      <c r="G266" s="24" t="n">
        <v>1.0025</v>
      </c>
      <c r="H266" s="24" t="n">
        <v>0.687</v>
      </c>
      <c r="I266" s="22" t="s">
        <v>203</v>
      </c>
      <c r="J266" s="22"/>
      <c r="K266" s="23" t="n">
        <v>75996.25</v>
      </c>
      <c r="L266" s="22" t="s">
        <v>204</v>
      </c>
      <c r="M266" s="22" t="s">
        <v>205</v>
      </c>
    </row>
    <row r="267" customFormat="false" ht="15" hidden="false" customHeight="false" outlineLevel="0" collapsed="false">
      <c r="A267" s="22" t="s">
        <v>985</v>
      </c>
      <c r="B267" s="22" t="s">
        <v>986</v>
      </c>
      <c r="C267" s="22" t="s">
        <v>15</v>
      </c>
      <c r="D267" s="22" t="s">
        <v>60</v>
      </c>
      <c r="E267" s="22" t="s">
        <v>987</v>
      </c>
      <c r="F267" s="23" t="n">
        <v>17815.62</v>
      </c>
      <c r="G267" s="24" t="n">
        <v>1.2758</v>
      </c>
      <c r="H267" s="24" t="n">
        <v>0.8255</v>
      </c>
      <c r="I267" s="22" t="s">
        <v>203</v>
      </c>
      <c r="J267" s="22"/>
      <c r="K267" s="23" t="n">
        <v>24828.81</v>
      </c>
      <c r="L267" s="22" t="s">
        <v>204</v>
      </c>
      <c r="M267" s="22" t="s">
        <v>205</v>
      </c>
    </row>
    <row r="268" customFormat="false" ht="15" hidden="false" customHeight="false" outlineLevel="0" collapsed="false">
      <c r="A268" s="22" t="s">
        <v>988</v>
      </c>
      <c r="B268" s="22" t="s">
        <v>989</v>
      </c>
      <c r="C268" s="22" t="s">
        <v>15</v>
      </c>
      <c r="D268" s="22" t="s">
        <v>61</v>
      </c>
      <c r="E268" s="22" t="s">
        <v>990</v>
      </c>
      <c r="F268" s="23" t="n">
        <v>9558.28</v>
      </c>
      <c r="G268" s="24" t="n">
        <v>1.0745</v>
      </c>
      <c r="H268" s="24" t="n">
        <v>0.942</v>
      </c>
      <c r="I268" s="22" t="s">
        <v>203</v>
      </c>
      <c r="J268" s="22"/>
      <c r="K268" s="23" t="n">
        <v>12802.43</v>
      </c>
      <c r="L268" s="22" t="s">
        <v>204</v>
      </c>
      <c r="M268" s="22" t="s">
        <v>205</v>
      </c>
    </row>
    <row r="269" customFormat="false" ht="15" hidden="false" customHeight="false" outlineLevel="0" collapsed="false">
      <c r="A269" s="22" t="s">
        <v>991</v>
      </c>
      <c r="B269" s="22" t="s">
        <v>992</v>
      </c>
      <c r="C269" s="22" t="s">
        <v>17</v>
      </c>
      <c r="D269" s="22" t="s">
        <v>60</v>
      </c>
      <c r="E269" s="22" t="s">
        <v>993</v>
      </c>
      <c r="F269" s="23" t="n">
        <v>19233.53</v>
      </c>
      <c r="G269" s="24" t="n">
        <v>1.1969</v>
      </c>
      <c r="H269" s="24" t="n">
        <v>0.8599</v>
      </c>
      <c r="I269" s="22" t="s">
        <v>203</v>
      </c>
      <c r="J269" s="22"/>
      <c r="K269" s="23" t="n">
        <v>26238.53</v>
      </c>
      <c r="L269" s="22" t="s">
        <v>204</v>
      </c>
      <c r="M269" s="22" t="s">
        <v>205</v>
      </c>
    </row>
    <row r="270" customFormat="false" ht="15" hidden="false" customHeight="false" outlineLevel="0" collapsed="false">
      <c r="A270" s="22" t="s">
        <v>994</v>
      </c>
      <c r="B270" s="22" t="s">
        <v>995</v>
      </c>
      <c r="C270" s="22" t="s">
        <v>17</v>
      </c>
      <c r="D270" s="22" t="s">
        <v>60</v>
      </c>
      <c r="E270" s="22" t="s">
        <v>996</v>
      </c>
      <c r="F270" s="23" t="n">
        <v>6958.16</v>
      </c>
      <c r="G270" s="24" t="n">
        <v>1.1314</v>
      </c>
      <c r="H270" s="24" t="n">
        <v>0.3821</v>
      </c>
      <c r="I270" s="22" t="s">
        <v>203</v>
      </c>
      <c r="J270" s="22"/>
      <c r="K270" s="23" t="n">
        <v>3987.15</v>
      </c>
      <c r="L270" s="22" t="s">
        <v>204</v>
      </c>
      <c r="M270" s="22" t="s">
        <v>205</v>
      </c>
    </row>
    <row r="271" customFormat="false" ht="15" hidden="false" customHeight="false" outlineLevel="0" collapsed="false">
      <c r="A271" s="22" t="s">
        <v>997</v>
      </c>
      <c r="B271" s="22" t="s">
        <v>998</v>
      </c>
      <c r="C271" s="22" t="s">
        <v>19</v>
      </c>
      <c r="D271" s="22" t="s">
        <v>58</v>
      </c>
      <c r="E271" s="22" t="s">
        <v>999</v>
      </c>
      <c r="F271" s="23" t="n">
        <v>33621.95</v>
      </c>
      <c r="G271" s="24" t="n">
        <v>1.1275</v>
      </c>
      <c r="H271" s="24" t="n">
        <v>0.841</v>
      </c>
      <c r="I271" s="22" t="s">
        <v>203</v>
      </c>
      <c r="J271" s="22"/>
      <c r="K271" s="23" t="n">
        <v>42582.58</v>
      </c>
      <c r="L271" s="22" t="s">
        <v>204</v>
      </c>
      <c r="M271" s="22" t="s">
        <v>205</v>
      </c>
    </row>
    <row r="272" customFormat="false" ht="15" hidden="false" customHeight="false" outlineLevel="0" collapsed="false">
      <c r="A272" s="22" t="s">
        <v>1000</v>
      </c>
      <c r="B272" s="22" t="s">
        <v>1001</v>
      </c>
      <c r="C272" s="22" t="s">
        <v>15</v>
      </c>
      <c r="D272" s="22" t="s">
        <v>61</v>
      </c>
      <c r="E272" s="22" t="s">
        <v>1002</v>
      </c>
      <c r="F272" s="23" t="n">
        <v>4173.55</v>
      </c>
      <c r="G272" s="24" t="n">
        <v>1.2238</v>
      </c>
      <c r="H272" s="24" t="n">
        <v>0.6472</v>
      </c>
      <c r="I272" s="22" t="s">
        <v>203</v>
      </c>
      <c r="J272" s="22"/>
      <c r="K272" s="23" t="n">
        <v>4374.31</v>
      </c>
      <c r="L272" s="22" t="s">
        <v>204</v>
      </c>
      <c r="M272" s="22" t="s">
        <v>205</v>
      </c>
    </row>
    <row r="273" customFormat="false" ht="15" hidden="false" customHeight="false" outlineLevel="0" collapsed="false">
      <c r="A273" s="22" t="s">
        <v>1003</v>
      </c>
      <c r="B273" s="22" t="s">
        <v>1004</v>
      </c>
      <c r="C273" s="22" t="s">
        <v>17</v>
      </c>
      <c r="D273" s="22" t="s">
        <v>59</v>
      </c>
      <c r="E273" s="22" t="s">
        <v>1005</v>
      </c>
      <c r="F273" s="23" t="n">
        <v>164682</v>
      </c>
      <c r="G273" s="24" t="n">
        <v>1.1777</v>
      </c>
      <c r="H273" s="24" t="n">
        <v>0.805</v>
      </c>
      <c r="I273" s="22" t="s">
        <v>203</v>
      </c>
      <c r="J273" s="22"/>
      <c r="K273" s="23" t="n">
        <v>206943.31</v>
      </c>
      <c r="L273" s="22" t="s">
        <v>204</v>
      </c>
      <c r="M273" s="22" t="s">
        <v>205</v>
      </c>
    </row>
    <row r="274" customFormat="false" ht="15" hidden="false" customHeight="false" outlineLevel="0" collapsed="false">
      <c r="A274" s="22" t="s">
        <v>1006</v>
      </c>
      <c r="B274" s="22" t="s">
        <v>1007</v>
      </c>
      <c r="C274" s="22" t="s">
        <v>15</v>
      </c>
      <c r="D274" s="22" t="s">
        <v>60</v>
      </c>
      <c r="E274" s="22" t="s">
        <v>1008</v>
      </c>
      <c r="F274" s="23" t="n">
        <v>28951.63</v>
      </c>
      <c r="G274" s="24" t="n">
        <v>1.1061</v>
      </c>
      <c r="H274" s="24" t="n">
        <v>0.0618</v>
      </c>
      <c r="I274" s="22" t="s">
        <v>203</v>
      </c>
      <c r="J274" s="22"/>
      <c r="K274" s="23" t="n">
        <v>2618.85</v>
      </c>
      <c r="L274" s="22" t="s">
        <v>204</v>
      </c>
      <c r="M274" s="22" t="s">
        <v>205</v>
      </c>
    </row>
    <row r="275" customFormat="false" ht="15" hidden="false" customHeight="false" outlineLevel="0" collapsed="false">
      <c r="A275" s="22" t="s">
        <v>1009</v>
      </c>
      <c r="B275" s="22" t="s">
        <v>1010</v>
      </c>
      <c r="C275" s="22" t="s">
        <v>17</v>
      </c>
      <c r="D275" s="22" t="s">
        <v>58</v>
      </c>
      <c r="E275" s="22" t="s">
        <v>1011</v>
      </c>
      <c r="F275" s="23" t="n">
        <v>88670.38</v>
      </c>
      <c r="G275" s="24" t="n">
        <v>1.1626</v>
      </c>
      <c r="H275" s="24" t="n">
        <v>0.7179</v>
      </c>
      <c r="I275" s="22" t="s">
        <v>203</v>
      </c>
      <c r="J275" s="22"/>
      <c r="K275" s="23" t="n">
        <v>98095.15</v>
      </c>
      <c r="L275" s="22" t="s">
        <v>204</v>
      </c>
      <c r="M275" s="22" t="s">
        <v>205</v>
      </c>
    </row>
    <row r="276" customFormat="false" ht="15" hidden="false" customHeight="false" outlineLevel="0" collapsed="false">
      <c r="A276" s="22" t="s">
        <v>1012</v>
      </c>
      <c r="B276" s="22" t="s">
        <v>1013</v>
      </c>
      <c r="C276" s="22" t="s">
        <v>17</v>
      </c>
      <c r="D276" s="22" t="s">
        <v>58</v>
      </c>
      <c r="E276" s="22" t="s">
        <v>1014</v>
      </c>
      <c r="F276" s="23" t="n">
        <v>49297.47</v>
      </c>
      <c r="G276" s="24" t="n">
        <v>1.056</v>
      </c>
      <c r="H276" s="24" t="n">
        <v>0.3777</v>
      </c>
      <c r="I276" s="22" t="s">
        <v>203</v>
      </c>
      <c r="J276" s="22"/>
      <c r="K276" s="23" t="n">
        <v>26062.15</v>
      </c>
      <c r="L276" s="22" t="s">
        <v>204</v>
      </c>
      <c r="M276" s="22" t="s">
        <v>205</v>
      </c>
    </row>
    <row r="277" customFormat="false" ht="15" hidden="false" customHeight="false" outlineLevel="0" collapsed="false">
      <c r="A277" s="22" t="s">
        <v>1015</v>
      </c>
      <c r="B277" s="22" t="s">
        <v>1016</v>
      </c>
      <c r="C277" s="22" t="s">
        <v>17</v>
      </c>
      <c r="D277" s="22" t="s">
        <v>60</v>
      </c>
      <c r="E277" s="22" t="s">
        <v>1017</v>
      </c>
      <c r="F277" s="23" t="n">
        <v>28800.79</v>
      </c>
      <c r="G277" s="24" t="n">
        <v>1.2675</v>
      </c>
      <c r="H277" s="24" t="n">
        <v>0.9567</v>
      </c>
      <c r="I277" s="22" t="s">
        <v>203</v>
      </c>
      <c r="J277" s="22"/>
      <c r="K277" s="23" t="n">
        <v>46291.67</v>
      </c>
      <c r="L277" s="22" t="s">
        <v>204</v>
      </c>
      <c r="M277" s="22" t="s">
        <v>205</v>
      </c>
    </row>
    <row r="278" customFormat="false" ht="15" hidden="false" customHeight="false" outlineLevel="0" collapsed="false">
      <c r="A278" s="22" t="s">
        <v>1018</v>
      </c>
      <c r="B278" s="22" t="s">
        <v>1019</v>
      </c>
      <c r="C278" s="22" t="s">
        <v>17</v>
      </c>
      <c r="D278" s="22" t="s">
        <v>60</v>
      </c>
      <c r="E278" s="22" t="s">
        <v>1020</v>
      </c>
      <c r="F278" s="23" t="n">
        <v>27734.86</v>
      </c>
      <c r="G278" s="24" t="n">
        <v>1.0851</v>
      </c>
      <c r="H278" s="24" t="n">
        <v>0.7749</v>
      </c>
      <c r="I278" s="22" t="s">
        <v>203</v>
      </c>
      <c r="J278" s="22"/>
      <c r="K278" s="23" t="n">
        <v>30911.22</v>
      </c>
      <c r="L278" s="22" t="s">
        <v>204</v>
      </c>
      <c r="M278" s="22" t="s">
        <v>205</v>
      </c>
    </row>
    <row r="279" customFormat="false" ht="15" hidden="false" customHeight="false" outlineLevel="0" collapsed="false">
      <c r="A279" s="22" t="s">
        <v>1021</v>
      </c>
      <c r="B279" s="22" t="s">
        <v>1022</v>
      </c>
      <c r="C279" s="22" t="s">
        <v>19</v>
      </c>
      <c r="D279" s="22" t="s">
        <v>60</v>
      </c>
      <c r="E279" s="22" t="s">
        <v>1023</v>
      </c>
      <c r="F279" s="23" t="n">
        <v>18845.28</v>
      </c>
      <c r="G279" s="24" t="n">
        <v>1.017</v>
      </c>
      <c r="H279" s="24" t="n">
        <v>0.7648</v>
      </c>
      <c r="I279" s="22" t="s">
        <v>203</v>
      </c>
      <c r="J279" s="22"/>
      <c r="K279" s="23" t="n">
        <v>19577.98</v>
      </c>
      <c r="L279" s="22" t="s">
        <v>204</v>
      </c>
      <c r="M279" s="22" t="s">
        <v>205</v>
      </c>
    </row>
    <row r="280" customFormat="false" ht="15" hidden="false" customHeight="false" outlineLevel="0" collapsed="false">
      <c r="A280" s="22" t="s">
        <v>1024</v>
      </c>
      <c r="B280" s="22" t="s">
        <v>1025</v>
      </c>
      <c r="C280" s="22" t="s">
        <v>17</v>
      </c>
      <c r="D280" s="22" t="s">
        <v>58</v>
      </c>
      <c r="E280" s="22" t="s">
        <v>1026</v>
      </c>
      <c r="F280" s="23" t="n">
        <v>81618.32</v>
      </c>
      <c r="G280" s="24" t="n">
        <v>1.02</v>
      </c>
      <c r="H280" s="24" t="n">
        <v>0.5959</v>
      </c>
      <c r="I280" s="22" t="s">
        <v>203</v>
      </c>
      <c r="J280" s="22"/>
      <c r="K280" s="23" t="n">
        <v>65756.08</v>
      </c>
      <c r="L280" s="22" t="s">
        <v>204</v>
      </c>
      <c r="M280" s="22" t="s">
        <v>205</v>
      </c>
    </row>
    <row r="281" customFormat="false" ht="15" hidden="false" customHeight="false" outlineLevel="0" collapsed="false">
      <c r="A281" s="22" t="s">
        <v>1027</v>
      </c>
      <c r="B281" s="22" t="s">
        <v>1028</v>
      </c>
      <c r="C281" s="22" t="s">
        <v>17</v>
      </c>
      <c r="D281" s="22" t="s">
        <v>58</v>
      </c>
      <c r="E281" s="22" t="s">
        <v>1029</v>
      </c>
      <c r="F281" s="23" t="n">
        <v>69527.36</v>
      </c>
      <c r="G281" s="24" t="n">
        <v>1.2215</v>
      </c>
      <c r="H281" s="24" t="n">
        <v>0.648</v>
      </c>
      <c r="I281" s="22" t="s">
        <v>203</v>
      </c>
      <c r="J281" s="22"/>
      <c r="K281" s="23" t="n">
        <v>72945.57</v>
      </c>
      <c r="L281" s="22" t="s">
        <v>204</v>
      </c>
      <c r="M281" s="22" t="s">
        <v>205</v>
      </c>
    </row>
    <row r="282" customFormat="false" ht="15" hidden="false" customHeight="false" outlineLevel="0" collapsed="false">
      <c r="A282" s="22" t="s">
        <v>1030</v>
      </c>
      <c r="B282" s="22" t="s">
        <v>1031</v>
      </c>
      <c r="C282" s="22" t="s">
        <v>15</v>
      </c>
      <c r="D282" s="22" t="s">
        <v>60</v>
      </c>
      <c r="E282" s="22" t="s">
        <v>1032</v>
      </c>
      <c r="F282" s="23" t="n">
        <v>10158.79</v>
      </c>
      <c r="G282" s="24" t="n">
        <v>1.1827</v>
      </c>
      <c r="H282" s="24" t="n">
        <v>0.9895</v>
      </c>
      <c r="I282" s="22" t="s">
        <v>203</v>
      </c>
      <c r="J282" s="22"/>
      <c r="K282" s="23" t="n">
        <v>15732.13</v>
      </c>
      <c r="L282" s="22" t="s">
        <v>204</v>
      </c>
      <c r="M282" s="22" t="s">
        <v>205</v>
      </c>
    </row>
    <row r="283" customFormat="false" ht="15" hidden="false" customHeight="false" outlineLevel="0" collapsed="false">
      <c r="A283" s="22" t="s">
        <v>1033</v>
      </c>
      <c r="B283" s="22" t="s">
        <v>1034</v>
      </c>
      <c r="C283" s="22" t="s">
        <v>15</v>
      </c>
      <c r="D283" s="22" t="s">
        <v>58</v>
      </c>
      <c r="E283" s="22" t="s">
        <v>1035</v>
      </c>
      <c r="F283" s="23" t="n">
        <v>54815.35</v>
      </c>
      <c r="G283" s="24" t="n">
        <v>1.0742</v>
      </c>
      <c r="H283" s="24" t="n">
        <v>0.3273</v>
      </c>
      <c r="I283" s="22" t="s">
        <v>203</v>
      </c>
      <c r="J283" s="22"/>
      <c r="K283" s="23" t="n">
        <v>25502.84</v>
      </c>
      <c r="L283" s="22" t="s">
        <v>204</v>
      </c>
      <c r="M283" s="22" t="s">
        <v>205</v>
      </c>
    </row>
    <row r="284" customFormat="false" ht="15" hidden="false" customHeight="false" outlineLevel="0" collapsed="false">
      <c r="A284" s="22" t="s">
        <v>1036</v>
      </c>
      <c r="B284" s="22" t="s">
        <v>1037</v>
      </c>
      <c r="C284" s="22" t="s">
        <v>19</v>
      </c>
      <c r="D284" s="22" t="s">
        <v>58</v>
      </c>
      <c r="E284" s="22" t="s">
        <v>1038</v>
      </c>
      <c r="F284" s="23" t="n">
        <v>59539.19</v>
      </c>
      <c r="G284" s="24" t="n">
        <v>1.0751</v>
      </c>
      <c r="H284" s="24" t="n">
        <v>0.899</v>
      </c>
      <c r="I284" s="22" t="s">
        <v>203</v>
      </c>
      <c r="J284" s="22"/>
      <c r="K284" s="23" t="n">
        <v>76861.35</v>
      </c>
      <c r="L284" s="22" t="s">
        <v>204</v>
      </c>
      <c r="M284" s="22" t="s">
        <v>205</v>
      </c>
    </row>
    <row r="285" customFormat="false" ht="15" hidden="false" customHeight="false" outlineLevel="0" collapsed="false">
      <c r="A285" s="22" t="s">
        <v>1039</v>
      </c>
      <c r="B285" s="22" t="s">
        <v>1040</v>
      </c>
      <c r="C285" s="22" t="s">
        <v>17</v>
      </c>
      <c r="D285" s="22" t="s">
        <v>60</v>
      </c>
      <c r="E285" s="22" t="s">
        <v>1041</v>
      </c>
      <c r="F285" s="23" t="n">
        <v>26962.2</v>
      </c>
      <c r="G285" s="24" t="n">
        <v>1.0944</v>
      </c>
      <c r="H285" s="24" t="n">
        <v>0.704</v>
      </c>
      <c r="I285" s="22" t="s">
        <v>203</v>
      </c>
      <c r="J285" s="22"/>
      <c r="K285" s="23" t="n">
        <v>27534.6</v>
      </c>
      <c r="L285" s="22" t="s">
        <v>204</v>
      </c>
      <c r="M285" s="22" t="s">
        <v>205</v>
      </c>
    </row>
    <row r="286" customFormat="false" ht="15" hidden="false" customHeight="false" outlineLevel="0" collapsed="false">
      <c r="A286" s="22" t="s">
        <v>1042</v>
      </c>
      <c r="B286" s="22" t="s">
        <v>1043</v>
      </c>
      <c r="C286" s="22" t="s">
        <v>15</v>
      </c>
      <c r="D286" s="22" t="s">
        <v>58</v>
      </c>
      <c r="E286" s="22" t="s">
        <v>1044</v>
      </c>
      <c r="F286" s="23" t="n">
        <v>89276.79</v>
      </c>
      <c r="G286" s="24" t="n">
        <v>1.2422</v>
      </c>
      <c r="H286" s="24" t="n">
        <v>0.7419</v>
      </c>
      <c r="I286" s="22" t="s">
        <v>203</v>
      </c>
      <c r="J286" s="22"/>
      <c r="K286" s="23" t="n">
        <v>108875.64</v>
      </c>
      <c r="L286" s="22" t="s">
        <v>204</v>
      </c>
      <c r="M286" s="22" t="s">
        <v>205</v>
      </c>
    </row>
    <row r="287" customFormat="false" ht="15" hidden="false" customHeight="false" outlineLevel="0" collapsed="false">
      <c r="A287" s="22" t="s">
        <v>1045</v>
      </c>
      <c r="B287" s="22" t="s">
        <v>1046</v>
      </c>
      <c r="C287" s="22" t="s">
        <v>17</v>
      </c>
      <c r="D287" s="22" t="s">
        <v>60</v>
      </c>
      <c r="E287" s="22" t="s">
        <v>1047</v>
      </c>
      <c r="F287" s="23" t="n">
        <v>7906.43</v>
      </c>
      <c r="G287" s="24" t="n">
        <v>1.2941</v>
      </c>
      <c r="H287" s="24" t="n">
        <v>0.9717</v>
      </c>
      <c r="I287" s="22" t="s">
        <v>203</v>
      </c>
      <c r="J287" s="22"/>
      <c r="K287" s="23" t="n">
        <v>13178.17</v>
      </c>
      <c r="L287" s="22" t="s">
        <v>204</v>
      </c>
      <c r="M287" s="22" t="s">
        <v>205</v>
      </c>
    </row>
    <row r="288" customFormat="false" ht="15" hidden="false" customHeight="false" outlineLevel="0" collapsed="false">
      <c r="A288" s="22" t="s">
        <v>1048</v>
      </c>
      <c r="B288" s="22" t="s">
        <v>1049</v>
      </c>
      <c r="C288" s="22" t="s">
        <v>15</v>
      </c>
      <c r="D288" s="22" t="s">
        <v>60</v>
      </c>
      <c r="E288" s="22" t="s">
        <v>1050</v>
      </c>
      <c r="F288" s="23" t="n">
        <v>27871.94</v>
      </c>
      <c r="G288" s="24" t="n">
        <v>1.0553</v>
      </c>
      <c r="H288" s="24" t="n">
        <v>0.4435</v>
      </c>
      <c r="I288" s="22" t="s">
        <v>203</v>
      </c>
      <c r="J288" s="22"/>
      <c r="K288" s="23" t="n">
        <v>17262.04</v>
      </c>
      <c r="L288" s="22" t="s">
        <v>204</v>
      </c>
      <c r="M288" s="22" t="s">
        <v>205</v>
      </c>
    </row>
    <row r="289" customFormat="false" ht="15" hidden="false" customHeight="false" outlineLevel="0" collapsed="false">
      <c r="A289" s="22" t="s">
        <v>1051</v>
      </c>
      <c r="B289" s="22" t="s">
        <v>1052</v>
      </c>
      <c r="C289" s="22" t="s">
        <v>17</v>
      </c>
      <c r="D289" s="22" t="s">
        <v>59</v>
      </c>
      <c r="E289" s="22" t="s">
        <v>1053</v>
      </c>
      <c r="F289" s="23" t="n">
        <v>149263.37</v>
      </c>
      <c r="G289" s="24" t="n">
        <v>1.014</v>
      </c>
      <c r="H289" s="24" t="n">
        <v>0.01</v>
      </c>
      <c r="I289" s="22" t="s">
        <v>203</v>
      </c>
      <c r="J289" s="22"/>
      <c r="K289" s="23" t="n">
        <v>2006.16</v>
      </c>
      <c r="L289" s="22" t="s">
        <v>204</v>
      </c>
      <c r="M289" s="22" t="s">
        <v>205</v>
      </c>
    </row>
    <row r="290" customFormat="false" ht="15" hidden="false" customHeight="false" outlineLevel="0" collapsed="false">
      <c r="A290" s="22" t="s">
        <v>1054</v>
      </c>
      <c r="B290" s="22" t="s">
        <v>1055</v>
      </c>
      <c r="C290" s="22" t="s">
        <v>17</v>
      </c>
      <c r="D290" s="22" t="s">
        <v>61</v>
      </c>
      <c r="E290" s="22" t="s">
        <v>1056</v>
      </c>
      <c r="F290" s="23" t="n">
        <v>3509.49</v>
      </c>
      <c r="G290" s="24" t="n">
        <v>1.0862</v>
      </c>
      <c r="H290" s="24" t="n">
        <v>0.6842</v>
      </c>
      <c r="I290" s="22" t="s">
        <v>203</v>
      </c>
      <c r="J290" s="22"/>
      <c r="K290" s="23" t="n">
        <v>3457.1</v>
      </c>
      <c r="L290" s="22" t="s">
        <v>204</v>
      </c>
      <c r="M290" s="22" t="s">
        <v>205</v>
      </c>
    </row>
    <row r="291" customFormat="false" ht="15" hidden="false" customHeight="false" outlineLevel="0" collapsed="false">
      <c r="A291" s="22" t="s">
        <v>1057</v>
      </c>
      <c r="B291" s="22" t="s">
        <v>1058</v>
      </c>
      <c r="C291" s="22" t="s">
        <v>15</v>
      </c>
      <c r="D291" s="22" t="s">
        <v>60</v>
      </c>
      <c r="E291" s="22" t="s">
        <v>1059</v>
      </c>
      <c r="F291" s="23" t="n">
        <v>25616.06</v>
      </c>
      <c r="G291" s="24" t="n">
        <v>1.1625</v>
      </c>
      <c r="H291" s="24" t="n">
        <v>0.7375</v>
      </c>
      <c r="I291" s="22" t="s">
        <v>203</v>
      </c>
      <c r="J291" s="22"/>
      <c r="K291" s="23" t="n">
        <v>29061.81</v>
      </c>
      <c r="L291" s="22" t="s">
        <v>204</v>
      </c>
      <c r="M291" s="22" t="s">
        <v>205</v>
      </c>
    </row>
    <row r="292" customFormat="false" ht="15" hidden="false" customHeight="false" outlineLevel="0" collapsed="false">
      <c r="A292" s="22" t="s">
        <v>1060</v>
      </c>
      <c r="B292" s="22" t="s">
        <v>1061</v>
      </c>
      <c r="C292" s="22" t="s">
        <v>15</v>
      </c>
      <c r="D292" s="22" t="s">
        <v>61</v>
      </c>
      <c r="E292" s="22" t="s">
        <v>1062</v>
      </c>
      <c r="F292" s="23" t="n">
        <v>7443.49</v>
      </c>
      <c r="G292" s="24" t="n">
        <v>1.1612</v>
      </c>
      <c r="H292" s="24" t="n">
        <v>0.0518</v>
      </c>
      <c r="I292" s="22" t="s">
        <v>203</v>
      </c>
      <c r="J292" s="22"/>
      <c r="K292" s="23" t="n">
        <v>592.47</v>
      </c>
      <c r="L292" s="22" t="s">
        <v>204</v>
      </c>
      <c r="M292" s="22" t="s">
        <v>205</v>
      </c>
    </row>
    <row r="293" customFormat="false" ht="15" hidden="false" customHeight="false" outlineLevel="0" collapsed="false">
      <c r="A293" s="22" t="s">
        <v>1063</v>
      </c>
      <c r="B293" s="22" t="s">
        <v>1064</v>
      </c>
      <c r="C293" s="22" t="s">
        <v>19</v>
      </c>
      <c r="D293" s="22" t="s">
        <v>60</v>
      </c>
      <c r="E293" s="22" t="s">
        <v>1065</v>
      </c>
      <c r="F293" s="23" t="n">
        <v>6856.82</v>
      </c>
      <c r="G293" s="24" t="n">
        <v>1.1445</v>
      </c>
      <c r="H293" s="24" t="n">
        <v>0.1537</v>
      </c>
      <c r="I293" s="22" t="s">
        <v>203</v>
      </c>
      <c r="J293" s="22"/>
      <c r="K293" s="23" t="n">
        <v>1611.05</v>
      </c>
      <c r="L293" s="22" t="s">
        <v>204</v>
      </c>
      <c r="M293" s="22" t="s">
        <v>205</v>
      </c>
    </row>
    <row r="294" customFormat="false" ht="15" hidden="false" customHeight="false" outlineLevel="0" collapsed="false">
      <c r="A294" s="22" t="s">
        <v>1066</v>
      </c>
      <c r="B294" s="22" t="s">
        <v>1067</v>
      </c>
      <c r="C294" s="22" t="s">
        <v>15</v>
      </c>
      <c r="D294" s="22" t="s">
        <v>58</v>
      </c>
      <c r="E294" s="22" t="s">
        <v>1068</v>
      </c>
      <c r="F294" s="23" t="n">
        <v>61906.25</v>
      </c>
      <c r="G294" s="24" t="n">
        <v>1.0506</v>
      </c>
      <c r="H294" s="24" t="n">
        <v>0.4969</v>
      </c>
      <c r="I294" s="22" t="s">
        <v>203</v>
      </c>
      <c r="J294" s="22"/>
      <c r="K294" s="23" t="n">
        <v>42765.76</v>
      </c>
      <c r="L294" s="22" t="s">
        <v>204</v>
      </c>
      <c r="M294" s="22" t="s">
        <v>205</v>
      </c>
    </row>
    <row r="295" customFormat="false" ht="15" hidden="false" customHeight="false" outlineLevel="0" collapsed="false">
      <c r="A295" s="22" t="s">
        <v>1069</v>
      </c>
      <c r="B295" s="22" t="s">
        <v>1070</v>
      </c>
      <c r="C295" s="22" t="s">
        <v>15</v>
      </c>
      <c r="D295" s="22" t="s">
        <v>60</v>
      </c>
      <c r="E295" s="22" t="s">
        <v>1071</v>
      </c>
      <c r="F295" s="23" t="n">
        <v>7203.49</v>
      </c>
      <c r="G295" s="24" t="n">
        <v>1.1335</v>
      </c>
      <c r="H295" s="24" t="n">
        <v>0.5661</v>
      </c>
      <c r="I295" s="22" t="s">
        <v>203</v>
      </c>
      <c r="J295" s="22"/>
      <c r="K295" s="23" t="n">
        <v>6116.64</v>
      </c>
      <c r="L295" s="22" t="s">
        <v>204</v>
      </c>
      <c r="M295" s="22" t="s">
        <v>205</v>
      </c>
    </row>
    <row r="296" customFormat="false" ht="15" hidden="false" customHeight="false" outlineLevel="0" collapsed="false">
      <c r="A296" s="22" t="s">
        <v>1072</v>
      </c>
      <c r="B296" s="22" t="s">
        <v>1073</v>
      </c>
      <c r="C296" s="22" t="s">
        <v>15</v>
      </c>
      <c r="D296" s="22" t="s">
        <v>59</v>
      </c>
      <c r="E296" s="22" t="s">
        <v>1074</v>
      </c>
      <c r="F296" s="23" t="n">
        <v>96899.67</v>
      </c>
      <c r="G296" s="24" t="n">
        <v>1.1384</v>
      </c>
      <c r="H296" s="24" t="n">
        <v>0.4011</v>
      </c>
      <c r="I296" s="22" t="s">
        <v>203</v>
      </c>
      <c r="J296" s="22"/>
      <c r="K296" s="23" t="n">
        <v>58549.76</v>
      </c>
      <c r="L296" s="22" t="s">
        <v>204</v>
      </c>
      <c r="M296" s="22" t="s">
        <v>205</v>
      </c>
    </row>
    <row r="297" customFormat="false" ht="15" hidden="false" customHeight="false" outlineLevel="0" collapsed="false">
      <c r="A297" s="22" t="s">
        <v>1075</v>
      </c>
      <c r="B297" s="22" t="s">
        <v>1076</v>
      </c>
      <c r="C297" s="22" t="s">
        <v>17</v>
      </c>
      <c r="D297" s="22" t="s">
        <v>60</v>
      </c>
      <c r="E297" s="22" t="s">
        <v>1077</v>
      </c>
      <c r="F297" s="23" t="n">
        <v>23377.95</v>
      </c>
      <c r="G297" s="24" t="n">
        <v>1.0783</v>
      </c>
      <c r="H297" s="24" t="n">
        <v>0.4507</v>
      </c>
      <c r="I297" s="22" t="s">
        <v>203</v>
      </c>
      <c r="J297" s="22"/>
      <c r="K297" s="23" t="n">
        <v>15059.42</v>
      </c>
      <c r="L297" s="22" t="s">
        <v>204</v>
      </c>
      <c r="M297" s="22" t="s">
        <v>205</v>
      </c>
    </row>
    <row r="298" customFormat="false" ht="15" hidden="false" customHeight="false" outlineLevel="0" collapsed="false">
      <c r="A298" s="22" t="s">
        <v>1078</v>
      </c>
      <c r="B298" s="22" t="s">
        <v>1079</v>
      </c>
      <c r="C298" s="22" t="s">
        <v>19</v>
      </c>
      <c r="D298" s="22" t="s">
        <v>61</v>
      </c>
      <c r="E298" s="22" t="s">
        <v>1080</v>
      </c>
      <c r="F298" s="23" t="n">
        <v>6149.7</v>
      </c>
      <c r="G298" s="24" t="n">
        <v>1.0264</v>
      </c>
      <c r="H298" s="24" t="n">
        <v>0.9381</v>
      </c>
      <c r="I298" s="22" t="s">
        <v>203</v>
      </c>
      <c r="J298" s="22"/>
      <c r="K298" s="23" t="n">
        <v>7908.9</v>
      </c>
      <c r="L298" s="22" t="s">
        <v>204</v>
      </c>
      <c r="M298" s="22" t="s">
        <v>205</v>
      </c>
    </row>
    <row r="299" customFormat="false" ht="15" hidden="false" customHeight="false" outlineLevel="0" collapsed="false">
      <c r="A299" s="22" t="s">
        <v>1081</v>
      </c>
      <c r="B299" s="22" t="s">
        <v>1082</v>
      </c>
      <c r="C299" s="22" t="s">
        <v>17</v>
      </c>
      <c r="D299" s="22" t="s">
        <v>58</v>
      </c>
      <c r="E299" s="22" t="s">
        <v>1083</v>
      </c>
      <c r="F299" s="23" t="n">
        <v>58576.18</v>
      </c>
      <c r="G299" s="24" t="n">
        <v>1.2317</v>
      </c>
      <c r="H299" s="24" t="n">
        <v>0.5431</v>
      </c>
      <c r="I299" s="22" t="s">
        <v>203</v>
      </c>
      <c r="J299" s="22"/>
      <c r="K299" s="23" t="n">
        <v>51937.43</v>
      </c>
      <c r="L299" s="22" t="s">
        <v>204</v>
      </c>
      <c r="M299" s="22" t="s">
        <v>205</v>
      </c>
    </row>
    <row r="300" customFormat="false" ht="15" hidden="false" customHeight="false" outlineLevel="0" collapsed="false">
      <c r="A300" s="22" t="s">
        <v>1084</v>
      </c>
      <c r="B300" s="22" t="s">
        <v>1085</v>
      </c>
      <c r="C300" s="22" t="s">
        <v>17</v>
      </c>
      <c r="D300" s="22" t="s">
        <v>58</v>
      </c>
      <c r="E300" s="22" t="s">
        <v>1086</v>
      </c>
      <c r="F300" s="23" t="n">
        <v>68759.38</v>
      </c>
      <c r="G300" s="24" t="n">
        <v>1.21</v>
      </c>
      <c r="H300" s="24" t="n">
        <v>0.782</v>
      </c>
      <c r="I300" s="22" t="s">
        <v>203</v>
      </c>
      <c r="J300" s="22"/>
      <c r="K300" s="23" t="n">
        <v>86238.02</v>
      </c>
      <c r="L300" s="22" t="s">
        <v>204</v>
      </c>
      <c r="M300" s="22" t="s">
        <v>205</v>
      </c>
    </row>
    <row r="301" customFormat="false" ht="15" hidden="false" customHeight="false" outlineLevel="0" collapsed="false">
      <c r="A301" s="22" t="s">
        <v>1087</v>
      </c>
      <c r="B301" s="22" t="s">
        <v>1088</v>
      </c>
      <c r="C301" s="22" t="s">
        <v>17</v>
      </c>
      <c r="D301" s="22" t="s">
        <v>61</v>
      </c>
      <c r="E301" s="22" t="s">
        <v>1089</v>
      </c>
      <c r="F301" s="23" t="n">
        <v>5504.9</v>
      </c>
      <c r="G301" s="24" t="n">
        <v>1.189</v>
      </c>
      <c r="H301" s="24" t="n">
        <v>0.2538</v>
      </c>
      <c r="I301" s="22" t="s">
        <v>203</v>
      </c>
      <c r="J301" s="22"/>
      <c r="K301" s="23" t="n">
        <v>2201.9</v>
      </c>
      <c r="L301" s="22" t="s">
        <v>204</v>
      </c>
      <c r="M301" s="22" t="s">
        <v>205</v>
      </c>
    </row>
    <row r="302" customFormat="false" ht="15" hidden="false" customHeight="false" outlineLevel="0" collapsed="false">
      <c r="A302" s="22" t="s">
        <v>1090</v>
      </c>
      <c r="B302" s="22" t="s">
        <v>1091</v>
      </c>
      <c r="C302" s="22" t="s">
        <v>17</v>
      </c>
      <c r="D302" s="22" t="s">
        <v>58</v>
      </c>
      <c r="E302" s="22" t="s">
        <v>1092</v>
      </c>
      <c r="F302" s="23" t="n">
        <v>21994.17</v>
      </c>
      <c r="G302" s="24" t="n">
        <v>1.2675</v>
      </c>
      <c r="H302" s="24" t="n">
        <v>0.7423</v>
      </c>
      <c r="I302" s="22" t="s">
        <v>203</v>
      </c>
      <c r="J302" s="22"/>
      <c r="K302" s="23" t="n">
        <v>27428.98</v>
      </c>
      <c r="L302" s="22" t="s">
        <v>204</v>
      </c>
      <c r="M302" s="22" t="s">
        <v>205</v>
      </c>
    </row>
    <row r="303" customFormat="false" ht="15" hidden="false" customHeight="false" outlineLevel="0" collapsed="false">
      <c r="A303" s="22" t="s">
        <v>1093</v>
      </c>
      <c r="B303" s="22" t="s">
        <v>1094</v>
      </c>
      <c r="C303" s="22" t="s">
        <v>15</v>
      </c>
      <c r="D303" s="22" t="s">
        <v>62</v>
      </c>
      <c r="E303" s="22" t="s">
        <v>1095</v>
      </c>
      <c r="F303" s="23" t="n">
        <v>1264671.88</v>
      </c>
      <c r="G303" s="24" t="n">
        <v>1.1459</v>
      </c>
      <c r="H303" s="24" t="n">
        <v>0.7745</v>
      </c>
      <c r="I303" s="22" t="s">
        <v>203</v>
      </c>
      <c r="J303" s="22"/>
      <c r="K303" s="23" t="n">
        <v>1485255.86</v>
      </c>
      <c r="L303" s="22" t="s">
        <v>204</v>
      </c>
      <c r="M303" s="22" t="s">
        <v>205</v>
      </c>
    </row>
    <row r="304" customFormat="false" ht="15" hidden="false" customHeight="false" outlineLevel="0" collapsed="false">
      <c r="A304" s="22" t="s">
        <v>1096</v>
      </c>
      <c r="B304" s="22" t="s">
        <v>1097</v>
      </c>
      <c r="C304" s="22" t="s">
        <v>17</v>
      </c>
      <c r="D304" s="22" t="s">
        <v>58</v>
      </c>
      <c r="E304" s="22" t="s">
        <v>1098</v>
      </c>
      <c r="F304" s="23" t="n">
        <v>67901.01</v>
      </c>
      <c r="G304" s="24" t="n">
        <v>1.1168</v>
      </c>
      <c r="H304" s="24" t="n">
        <v>0.6642</v>
      </c>
      <c r="I304" s="22" t="s">
        <v>203</v>
      </c>
      <c r="J304" s="22"/>
      <c r="K304" s="23" t="n">
        <v>66761.37</v>
      </c>
      <c r="L304" s="22" t="s">
        <v>204</v>
      </c>
      <c r="M304" s="22" t="s">
        <v>205</v>
      </c>
    </row>
    <row r="305" customFormat="false" ht="15" hidden="false" customHeight="false" outlineLevel="0" collapsed="false">
      <c r="A305" s="22" t="s">
        <v>1099</v>
      </c>
      <c r="B305" s="22" t="s">
        <v>1100</v>
      </c>
      <c r="C305" s="22" t="s">
        <v>15</v>
      </c>
      <c r="D305" s="22" t="s">
        <v>61</v>
      </c>
      <c r="E305" s="22" t="s">
        <v>1101</v>
      </c>
      <c r="F305" s="23" t="n">
        <v>9359.28</v>
      </c>
      <c r="G305" s="24" t="n">
        <v>1.2413</v>
      </c>
      <c r="H305" s="24" t="n">
        <v>0.1009</v>
      </c>
      <c r="I305" s="22" t="s">
        <v>203</v>
      </c>
      <c r="J305" s="22"/>
      <c r="K305" s="23" t="n">
        <v>1551.19</v>
      </c>
      <c r="L305" s="22" t="s">
        <v>204</v>
      </c>
      <c r="M305" s="22" t="s">
        <v>205</v>
      </c>
    </row>
    <row r="306" customFormat="false" ht="15" hidden="false" customHeight="false" outlineLevel="0" collapsed="false">
      <c r="A306" s="22" t="s">
        <v>1102</v>
      </c>
      <c r="B306" s="22" t="s">
        <v>1103</v>
      </c>
      <c r="C306" s="22" t="s">
        <v>15</v>
      </c>
      <c r="D306" s="22" t="s">
        <v>60</v>
      </c>
      <c r="E306" s="22" t="s">
        <v>1104</v>
      </c>
      <c r="F306" s="23" t="n">
        <v>24503.76</v>
      </c>
      <c r="G306" s="24" t="n">
        <v>1.2568</v>
      </c>
      <c r="H306" s="24" t="n">
        <v>0.3814</v>
      </c>
      <c r="I306" s="22" t="s">
        <v>203</v>
      </c>
      <c r="J306" s="22"/>
      <c r="K306" s="23" t="n">
        <v>15543</v>
      </c>
      <c r="L306" s="22" t="s">
        <v>204</v>
      </c>
      <c r="M306" s="22" t="s">
        <v>205</v>
      </c>
    </row>
    <row r="307" customFormat="false" ht="15" hidden="false" customHeight="false" outlineLevel="0" collapsed="false">
      <c r="A307" s="22" t="s">
        <v>1105</v>
      </c>
      <c r="B307" s="22" t="s">
        <v>1106</v>
      </c>
      <c r="C307" s="22" t="s">
        <v>15</v>
      </c>
      <c r="D307" s="22" t="s">
        <v>60</v>
      </c>
      <c r="E307" s="22" t="s">
        <v>1107</v>
      </c>
      <c r="F307" s="23" t="n">
        <v>12484.84</v>
      </c>
      <c r="G307" s="24" t="n">
        <v>1.2125</v>
      </c>
      <c r="H307" s="24" t="n">
        <v>0.9468</v>
      </c>
      <c r="I307" s="22" t="s">
        <v>203</v>
      </c>
      <c r="J307" s="22"/>
      <c r="K307" s="23" t="n">
        <v>18966.11</v>
      </c>
      <c r="L307" s="22" t="s">
        <v>204</v>
      </c>
      <c r="M307" s="22" t="s">
        <v>205</v>
      </c>
    </row>
    <row r="308" customFormat="false" ht="15" hidden="false" customHeight="false" outlineLevel="0" collapsed="false">
      <c r="A308" s="22" t="s">
        <v>1108</v>
      </c>
      <c r="B308" s="22" t="s">
        <v>1109</v>
      </c>
      <c r="C308" s="22" t="s">
        <v>17</v>
      </c>
      <c r="D308" s="22" t="s">
        <v>61</v>
      </c>
      <c r="E308" s="22" t="s">
        <v>1110</v>
      </c>
      <c r="F308" s="23" t="n">
        <v>4651.58</v>
      </c>
      <c r="G308" s="24" t="n">
        <v>1.2526</v>
      </c>
      <c r="H308" s="24" t="n">
        <v>0.6047</v>
      </c>
      <c r="I308" s="22" t="s">
        <v>203</v>
      </c>
      <c r="J308" s="22"/>
      <c r="K308" s="23" t="n">
        <v>4670.12</v>
      </c>
      <c r="L308" s="22" t="s">
        <v>204</v>
      </c>
      <c r="M308" s="22" t="s">
        <v>205</v>
      </c>
    </row>
    <row r="309" customFormat="false" ht="15" hidden="false" customHeight="false" outlineLevel="0" collapsed="false">
      <c r="A309" s="22" t="s">
        <v>1111</v>
      </c>
      <c r="B309" s="22" t="s">
        <v>1112</v>
      </c>
      <c r="C309" s="22" t="s">
        <v>17</v>
      </c>
      <c r="D309" s="22" t="s">
        <v>59</v>
      </c>
      <c r="E309" s="22" t="s">
        <v>1113</v>
      </c>
      <c r="F309" s="23" t="n">
        <v>41624.44</v>
      </c>
      <c r="G309" s="24" t="n">
        <v>1.0507</v>
      </c>
      <c r="H309" s="24" t="n">
        <v>0.8698</v>
      </c>
      <c r="I309" s="22" t="s">
        <v>203</v>
      </c>
      <c r="J309" s="22"/>
      <c r="K309" s="23" t="n">
        <v>50422.14</v>
      </c>
      <c r="L309" s="22" t="s">
        <v>204</v>
      </c>
      <c r="M309" s="22" t="s">
        <v>205</v>
      </c>
    </row>
    <row r="310" customFormat="false" ht="15" hidden="false" customHeight="false" outlineLevel="0" collapsed="false">
      <c r="A310" s="22" t="s">
        <v>1114</v>
      </c>
      <c r="B310" s="22" t="s">
        <v>1115</v>
      </c>
      <c r="C310" s="22" t="s">
        <v>17</v>
      </c>
      <c r="D310" s="22" t="s">
        <v>61</v>
      </c>
      <c r="E310" s="22" t="s">
        <v>1116</v>
      </c>
      <c r="F310" s="23" t="n">
        <v>7648.16</v>
      </c>
      <c r="G310" s="24" t="n">
        <v>1.1983</v>
      </c>
      <c r="H310" s="24" t="n">
        <v>0.8817</v>
      </c>
      <c r="I310" s="22" t="s">
        <v>203</v>
      </c>
      <c r="J310" s="22"/>
      <c r="K310" s="23" t="n">
        <v>10710.71</v>
      </c>
      <c r="L310" s="22" t="s">
        <v>204</v>
      </c>
      <c r="M310" s="22" t="s">
        <v>205</v>
      </c>
    </row>
    <row r="311" customFormat="false" ht="15" hidden="false" customHeight="false" outlineLevel="0" collapsed="false">
      <c r="A311" s="22" t="s">
        <v>1117</v>
      </c>
      <c r="B311" s="22" t="s">
        <v>1118</v>
      </c>
      <c r="C311" s="22" t="s">
        <v>19</v>
      </c>
      <c r="D311" s="22" t="s">
        <v>58</v>
      </c>
      <c r="E311" s="22" t="s">
        <v>1119</v>
      </c>
      <c r="F311" s="23" t="n">
        <v>34746.19</v>
      </c>
      <c r="G311" s="24" t="n">
        <v>1.1415</v>
      </c>
      <c r="H311" s="24" t="n">
        <v>0.4799</v>
      </c>
      <c r="I311" s="22" t="s">
        <v>203</v>
      </c>
      <c r="J311" s="22"/>
      <c r="K311" s="23" t="n">
        <v>25423.21</v>
      </c>
      <c r="L311" s="22" t="s">
        <v>204</v>
      </c>
      <c r="M311" s="22" t="s">
        <v>205</v>
      </c>
    </row>
    <row r="312" customFormat="false" ht="15" hidden="false" customHeight="false" outlineLevel="0" collapsed="false">
      <c r="A312" s="22" t="s">
        <v>1120</v>
      </c>
      <c r="B312" s="22" t="s">
        <v>1121</v>
      </c>
      <c r="C312" s="22" t="s">
        <v>15</v>
      </c>
      <c r="D312" s="22" t="s">
        <v>58</v>
      </c>
      <c r="E312" s="22" t="s">
        <v>1122</v>
      </c>
      <c r="F312" s="23" t="n">
        <v>83421.21</v>
      </c>
      <c r="G312" s="24" t="n">
        <v>1.0225</v>
      </c>
      <c r="H312" s="24" t="n">
        <v>0.2851</v>
      </c>
      <c r="I312" s="22" t="s">
        <v>203</v>
      </c>
      <c r="J312" s="22"/>
      <c r="K312" s="23" t="n">
        <v>32180.46</v>
      </c>
      <c r="L312" s="22" t="s">
        <v>204</v>
      </c>
      <c r="M312" s="22" t="s">
        <v>205</v>
      </c>
    </row>
    <row r="313" customFormat="false" ht="15" hidden="false" customHeight="false" outlineLevel="0" collapsed="false">
      <c r="A313" s="22" t="s">
        <v>1123</v>
      </c>
      <c r="B313" s="22" t="s">
        <v>1124</v>
      </c>
      <c r="C313" s="22" t="s">
        <v>19</v>
      </c>
      <c r="D313" s="22" t="s">
        <v>58</v>
      </c>
      <c r="E313" s="22" t="s">
        <v>1125</v>
      </c>
      <c r="F313" s="23" t="n">
        <v>55705.82</v>
      </c>
      <c r="G313" s="24" t="n">
        <v>1.0275</v>
      </c>
      <c r="H313" s="24" t="n">
        <v>0.8355</v>
      </c>
      <c r="I313" s="22" t="s">
        <v>203</v>
      </c>
      <c r="J313" s="22"/>
      <c r="K313" s="23" t="n">
        <v>63874.19</v>
      </c>
      <c r="L313" s="22" t="s">
        <v>204</v>
      </c>
      <c r="M313" s="22" t="s">
        <v>205</v>
      </c>
    </row>
    <row r="314" customFormat="false" ht="15" hidden="false" customHeight="false" outlineLevel="0" collapsed="false">
      <c r="A314" s="22" t="s">
        <v>1126</v>
      </c>
      <c r="B314" s="22" t="s">
        <v>1127</v>
      </c>
      <c r="C314" s="22" t="s">
        <v>15</v>
      </c>
      <c r="D314" s="22" t="s">
        <v>60</v>
      </c>
      <c r="E314" s="22" t="s">
        <v>1128</v>
      </c>
      <c r="F314" s="23" t="n">
        <v>26435.69</v>
      </c>
      <c r="G314" s="24" t="n">
        <v>1.2952</v>
      </c>
      <c r="H314" s="24" t="n">
        <v>0.9792</v>
      </c>
      <c r="I314" s="22" t="s">
        <v>203</v>
      </c>
      <c r="J314" s="22"/>
      <c r="K314" s="23" t="n">
        <v>44366.4</v>
      </c>
      <c r="L314" s="22" t="s">
        <v>204</v>
      </c>
      <c r="M314" s="22" t="s">
        <v>205</v>
      </c>
    </row>
    <row r="315" customFormat="false" ht="15" hidden="false" customHeight="false" outlineLevel="0" collapsed="false">
      <c r="A315" s="22" t="s">
        <v>1129</v>
      </c>
      <c r="B315" s="22" t="s">
        <v>1130</v>
      </c>
      <c r="C315" s="22" t="s">
        <v>17</v>
      </c>
      <c r="D315" s="22" t="s">
        <v>58</v>
      </c>
      <c r="E315" s="22" t="s">
        <v>1131</v>
      </c>
      <c r="F315" s="23" t="n">
        <v>59706.66</v>
      </c>
      <c r="G315" s="24" t="n">
        <v>1.2966</v>
      </c>
      <c r="H315" s="24" t="n">
        <v>0.2682</v>
      </c>
      <c r="I315" s="22" t="s">
        <v>203</v>
      </c>
      <c r="J315" s="22"/>
      <c r="K315" s="23" t="n">
        <v>27520.88</v>
      </c>
      <c r="L315" s="22" t="s">
        <v>204</v>
      </c>
      <c r="M315" s="22" t="s">
        <v>205</v>
      </c>
    </row>
    <row r="316" customFormat="false" ht="15" hidden="false" customHeight="false" outlineLevel="0" collapsed="false">
      <c r="A316" s="22" t="s">
        <v>1132</v>
      </c>
      <c r="B316" s="22" t="s">
        <v>1133</v>
      </c>
      <c r="C316" s="22" t="s">
        <v>15</v>
      </c>
      <c r="D316" s="22" t="s">
        <v>60</v>
      </c>
      <c r="E316" s="22" t="s">
        <v>1134</v>
      </c>
      <c r="F316" s="23" t="n">
        <v>29541.62</v>
      </c>
      <c r="G316" s="24" t="n">
        <v>1.0866</v>
      </c>
      <c r="H316" s="24" t="n">
        <v>0.4769</v>
      </c>
      <c r="I316" s="22" t="s">
        <v>203</v>
      </c>
      <c r="J316" s="22"/>
      <c r="K316" s="23" t="n">
        <v>20257.54</v>
      </c>
      <c r="L316" s="22" t="s">
        <v>204</v>
      </c>
      <c r="M316" s="22" t="s">
        <v>205</v>
      </c>
    </row>
    <row r="317" customFormat="false" ht="15" hidden="false" customHeight="false" outlineLevel="0" collapsed="false">
      <c r="A317" s="22" t="s">
        <v>1135</v>
      </c>
      <c r="B317" s="22" t="s">
        <v>1136</v>
      </c>
      <c r="C317" s="22" t="s">
        <v>17</v>
      </c>
      <c r="D317" s="22" t="s">
        <v>59</v>
      </c>
      <c r="E317" s="22" t="s">
        <v>1137</v>
      </c>
      <c r="F317" s="23" t="n">
        <v>66223.66</v>
      </c>
      <c r="G317" s="24" t="n">
        <v>1.2891</v>
      </c>
      <c r="H317" s="24" t="n">
        <v>0.1444</v>
      </c>
      <c r="I317" s="22" t="s">
        <v>203</v>
      </c>
      <c r="J317" s="22"/>
      <c r="K317" s="23" t="n">
        <v>16339.61</v>
      </c>
      <c r="L317" s="22" t="s">
        <v>204</v>
      </c>
      <c r="M317" s="22" t="s">
        <v>205</v>
      </c>
    </row>
    <row r="318" customFormat="false" ht="15" hidden="false" customHeight="false" outlineLevel="0" collapsed="false">
      <c r="A318" s="22" t="s">
        <v>1138</v>
      </c>
      <c r="B318" s="22" t="s">
        <v>1139</v>
      </c>
      <c r="C318" s="22" t="s">
        <v>15</v>
      </c>
      <c r="D318" s="22" t="s">
        <v>58</v>
      </c>
      <c r="E318" s="22" t="s">
        <v>1140</v>
      </c>
      <c r="F318" s="23" t="n">
        <v>32177.29</v>
      </c>
      <c r="G318" s="24" t="n">
        <v>1.293</v>
      </c>
      <c r="H318" s="24" t="n">
        <v>0.3552</v>
      </c>
      <c r="I318" s="22" t="s">
        <v>203</v>
      </c>
      <c r="J318" s="22"/>
      <c r="K318" s="23" t="n">
        <v>19555.83</v>
      </c>
      <c r="L318" s="22" t="s">
        <v>204</v>
      </c>
      <c r="M318" s="22" t="s">
        <v>205</v>
      </c>
    </row>
    <row r="319" customFormat="false" ht="15" hidden="false" customHeight="false" outlineLevel="0" collapsed="false">
      <c r="A319" s="22" t="s">
        <v>1141</v>
      </c>
      <c r="B319" s="22" t="s">
        <v>1142</v>
      </c>
      <c r="C319" s="22" t="s">
        <v>17</v>
      </c>
      <c r="D319" s="22" t="s">
        <v>61</v>
      </c>
      <c r="E319" s="22" t="s">
        <v>1143</v>
      </c>
      <c r="F319" s="23" t="n">
        <v>3588.67</v>
      </c>
      <c r="G319" s="24" t="n">
        <v>1.0136</v>
      </c>
      <c r="H319" s="24" t="n">
        <v>0.01</v>
      </c>
      <c r="I319" s="22" t="s">
        <v>203</v>
      </c>
      <c r="J319" s="22"/>
      <c r="K319" s="23" t="n">
        <v>48.21</v>
      </c>
      <c r="L319" s="22" t="s">
        <v>204</v>
      </c>
      <c r="M319" s="22" t="s">
        <v>205</v>
      </c>
    </row>
    <row r="320" customFormat="false" ht="15" hidden="false" customHeight="false" outlineLevel="0" collapsed="false">
      <c r="A320" s="22" t="s">
        <v>1144</v>
      </c>
      <c r="B320" s="22" t="s">
        <v>1145</v>
      </c>
      <c r="C320" s="22" t="s">
        <v>17</v>
      </c>
      <c r="D320" s="22" t="s">
        <v>59</v>
      </c>
      <c r="E320" s="22" t="s">
        <v>1146</v>
      </c>
      <c r="F320" s="23" t="n">
        <v>111432.54</v>
      </c>
      <c r="G320" s="24" t="n">
        <v>1.1177</v>
      </c>
      <c r="H320" s="24" t="n">
        <v>0.5527</v>
      </c>
      <c r="I320" s="22" t="s">
        <v>203</v>
      </c>
      <c r="J320" s="22"/>
      <c r="K320" s="23" t="n">
        <v>91243.4</v>
      </c>
      <c r="L320" s="22" t="s">
        <v>204</v>
      </c>
      <c r="M320" s="22" t="s">
        <v>205</v>
      </c>
    </row>
    <row r="321" customFormat="false" ht="15" hidden="false" customHeight="false" outlineLevel="0" collapsed="false">
      <c r="A321" s="22" t="s">
        <v>1147</v>
      </c>
      <c r="B321" s="22" t="s">
        <v>1148</v>
      </c>
      <c r="C321" s="22" t="s">
        <v>17</v>
      </c>
      <c r="D321" s="22" t="s">
        <v>60</v>
      </c>
      <c r="E321" s="22" t="s">
        <v>1149</v>
      </c>
      <c r="F321" s="23" t="n">
        <v>24420</v>
      </c>
      <c r="G321" s="24" t="n">
        <v>1.0653</v>
      </c>
      <c r="H321" s="24" t="n">
        <v>0.6652</v>
      </c>
      <c r="I321" s="22" t="s">
        <v>203</v>
      </c>
      <c r="J321" s="22"/>
      <c r="K321" s="23" t="n">
        <v>22937.42</v>
      </c>
      <c r="L321" s="22" t="s">
        <v>204</v>
      </c>
      <c r="M321" s="22" t="s">
        <v>205</v>
      </c>
    </row>
    <row r="322" customFormat="false" ht="15" hidden="false" customHeight="false" outlineLevel="0" collapsed="false">
      <c r="A322" s="22" t="s">
        <v>1150</v>
      </c>
      <c r="B322" s="22" t="s">
        <v>1151</v>
      </c>
      <c r="C322" s="22" t="s">
        <v>17</v>
      </c>
      <c r="D322" s="22" t="s">
        <v>58</v>
      </c>
      <c r="E322" s="22" t="s">
        <v>1152</v>
      </c>
      <c r="F322" s="23" t="n">
        <v>50147.04</v>
      </c>
      <c r="G322" s="24" t="n">
        <v>1.2476</v>
      </c>
      <c r="H322" s="24" t="n">
        <v>0.0685</v>
      </c>
      <c r="I322" s="22" t="s">
        <v>203</v>
      </c>
      <c r="J322" s="22"/>
      <c r="K322" s="23" t="n">
        <v>5680.49</v>
      </c>
      <c r="L322" s="22" t="s">
        <v>204</v>
      </c>
      <c r="M322" s="22" t="s">
        <v>205</v>
      </c>
    </row>
    <row r="323" customFormat="false" ht="15" hidden="false" customHeight="false" outlineLevel="0" collapsed="false">
      <c r="A323" s="22" t="s">
        <v>1153</v>
      </c>
      <c r="B323" s="22" t="s">
        <v>1154</v>
      </c>
      <c r="C323" s="22" t="s">
        <v>15</v>
      </c>
      <c r="D323" s="22" t="s">
        <v>61</v>
      </c>
      <c r="E323" s="22" t="s">
        <v>1155</v>
      </c>
      <c r="F323" s="23" t="n">
        <v>7447.55</v>
      </c>
      <c r="G323" s="24" t="n">
        <v>1.0747</v>
      </c>
      <c r="H323" s="24" t="n">
        <v>0.5583</v>
      </c>
      <c r="I323" s="22" t="s">
        <v>203</v>
      </c>
      <c r="J323" s="22"/>
      <c r="K323" s="23" t="n">
        <v>5913.21</v>
      </c>
      <c r="L323" s="22" t="s">
        <v>204</v>
      </c>
      <c r="M323" s="22" t="s">
        <v>205</v>
      </c>
    </row>
    <row r="324" customFormat="false" ht="15" hidden="false" customHeight="false" outlineLevel="0" collapsed="false">
      <c r="A324" s="22" t="s">
        <v>1156</v>
      </c>
      <c r="B324" s="22" t="s">
        <v>1157</v>
      </c>
      <c r="C324" s="22" t="s">
        <v>21</v>
      </c>
      <c r="D324" s="22" t="s">
        <v>58</v>
      </c>
      <c r="E324" s="22" t="s">
        <v>1158</v>
      </c>
      <c r="F324" s="23" t="n">
        <v>53240.39</v>
      </c>
      <c r="G324" s="24" t="n">
        <v>1.0856</v>
      </c>
      <c r="H324" s="24" t="n">
        <v>0.5581</v>
      </c>
      <c r="I324" s="22" t="s">
        <v>203</v>
      </c>
      <c r="J324" s="22"/>
      <c r="K324" s="23" t="n">
        <v>41018.48</v>
      </c>
      <c r="L324" s="22" t="s">
        <v>204</v>
      </c>
      <c r="M324" s="22" t="s">
        <v>205</v>
      </c>
    </row>
    <row r="325" customFormat="false" ht="15" hidden="false" customHeight="false" outlineLevel="0" collapsed="false">
      <c r="A325" s="22" t="s">
        <v>1159</v>
      </c>
      <c r="B325" s="22" t="s">
        <v>1160</v>
      </c>
      <c r="C325" s="22" t="s">
        <v>15</v>
      </c>
      <c r="D325" s="22" t="s">
        <v>59</v>
      </c>
      <c r="E325" s="22" t="s">
        <v>1161</v>
      </c>
      <c r="F325" s="23" t="n">
        <v>123367.51</v>
      </c>
      <c r="G325" s="24" t="n">
        <v>1.2301</v>
      </c>
      <c r="H325" s="24" t="n">
        <v>0.9159</v>
      </c>
      <c r="I325" s="22" t="s">
        <v>203</v>
      </c>
      <c r="J325" s="22"/>
      <c r="K325" s="23" t="n">
        <v>183926.6</v>
      </c>
      <c r="L325" s="22" t="s">
        <v>204</v>
      </c>
      <c r="M325" s="22" t="s">
        <v>205</v>
      </c>
    </row>
    <row r="326" customFormat="false" ht="15" hidden="false" customHeight="false" outlineLevel="0" collapsed="false">
      <c r="A326" s="22" t="s">
        <v>1162</v>
      </c>
      <c r="B326" s="22" t="s">
        <v>1163</v>
      </c>
      <c r="C326" s="22" t="s">
        <v>17</v>
      </c>
      <c r="D326" s="22" t="s">
        <v>58</v>
      </c>
      <c r="E326" s="22" t="s">
        <v>1164</v>
      </c>
      <c r="F326" s="23" t="n">
        <v>48598.16</v>
      </c>
      <c r="G326" s="24" t="n">
        <v>1.0087</v>
      </c>
      <c r="H326" s="24" t="n">
        <v>0.2781</v>
      </c>
      <c r="I326" s="22" t="s">
        <v>203</v>
      </c>
      <c r="J326" s="22"/>
      <c r="K326" s="23" t="n">
        <v>18069.97</v>
      </c>
      <c r="L326" s="22" t="s">
        <v>204</v>
      </c>
      <c r="M326" s="22" t="s">
        <v>205</v>
      </c>
    </row>
    <row r="327" customFormat="false" ht="15" hidden="false" customHeight="false" outlineLevel="0" collapsed="false">
      <c r="A327" s="22" t="s">
        <v>1165</v>
      </c>
      <c r="B327" s="22" t="s">
        <v>1166</v>
      </c>
      <c r="C327" s="22" t="s">
        <v>15</v>
      </c>
      <c r="D327" s="22" t="s">
        <v>60</v>
      </c>
      <c r="E327" s="22" t="s">
        <v>1167</v>
      </c>
      <c r="F327" s="23" t="n">
        <v>12318</v>
      </c>
      <c r="G327" s="24" t="n">
        <v>1.0553</v>
      </c>
      <c r="H327" s="24" t="n">
        <v>0.3558</v>
      </c>
      <c r="I327" s="22" t="s">
        <v>203</v>
      </c>
      <c r="J327" s="22"/>
      <c r="K327" s="23" t="n">
        <v>6120.37</v>
      </c>
      <c r="L327" s="22" t="s">
        <v>204</v>
      </c>
      <c r="M327" s="22" t="s">
        <v>205</v>
      </c>
    </row>
    <row r="328" customFormat="false" ht="15" hidden="false" customHeight="false" outlineLevel="0" collapsed="false">
      <c r="A328" s="22" t="s">
        <v>1168</v>
      </c>
      <c r="B328" s="22" t="s">
        <v>1169</v>
      </c>
      <c r="C328" s="22" t="s">
        <v>15</v>
      </c>
      <c r="D328" s="22" t="s">
        <v>60</v>
      </c>
      <c r="E328" s="22" t="s">
        <v>1170</v>
      </c>
      <c r="F328" s="23" t="n">
        <v>31233.09</v>
      </c>
      <c r="G328" s="24" t="n">
        <v>1.1632</v>
      </c>
      <c r="H328" s="24" t="n">
        <v>0.0244</v>
      </c>
      <c r="I328" s="22" t="s">
        <v>203</v>
      </c>
      <c r="J328" s="22"/>
      <c r="K328" s="23" t="n">
        <v>1173.04</v>
      </c>
      <c r="L328" s="22" t="s">
        <v>204</v>
      </c>
      <c r="M328" s="22" t="s">
        <v>205</v>
      </c>
    </row>
    <row r="329" customFormat="false" ht="15" hidden="false" customHeight="false" outlineLevel="0" collapsed="false">
      <c r="A329" s="22" t="s">
        <v>1171</v>
      </c>
      <c r="B329" s="22" t="s">
        <v>1172</v>
      </c>
      <c r="C329" s="22" t="s">
        <v>17</v>
      </c>
      <c r="D329" s="22" t="s">
        <v>60</v>
      </c>
      <c r="E329" s="22" t="s">
        <v>1173</v>
      </c>
      <c r="F329" s="23" t="n">
        <v>28633.06</v>
      </c>
      <c r="G329" s="24" t="n">
        <v>1.1391</v>
      </c>
      <c r="H329" s="24" t="n">
        <v>0.582</v>
      </c>
      <c r="I329" s="22" t="s">
        <v>203</v>
      </c>
      <c r="J329" s="22"/>
      <c r="K329" s="23" t="n">
        <v>25160.97</v>
      </c>
      <c r="L329" s="22" t="s">
        <v>204</v>
      </c>
      <c r="M329" s="22" t="s">
        <v>205</v>
      </c>
    </row>
    <row r="330" customFormat="false" ht="15" hidden="false" customHeight="false" outlineLevel="0" collapsed="false">
      <c r="A330" s="22" t="s">
        <v>1174</v>
      </c>
      <c r="B330" s="22" t="s">
        <v>1175</v>
      </c>
      <c r="C330" s="22" t="s">
        <v>17</v>
      </c>
      <c r="D330" s="22" t="s">
        <v>60</v>
      </c>
      <c r="E330" s="22" t="s">
        <v>1176</v>
      </c>
      <c r="F330" s="23" t="n">
        <v>32837.04</v>
      </c>
      <c r="G330" s="24" t="n">
        <v>1.1785</v>
      </c>
      <c r="H330" s="24" t="n">
        <v>0.7544</v>
      </c>
      <c r="I330" s="22" t="s">
        <v>203</v>
      </c>
      <c r="J330" s="22"/>
      <c r="K330" s="23" t="n">
        <v>38696.35</v>
      </c>
      <c r="L330" s="22" t="s">
        <v>204</v>
      </c>
      <c r="M330" s="22" t="s">
        <v>205</v>
      </c>
    </row>
    <row r="331" customFormat="false" ht="15" hidden="false" customHeight="false" outlineLevel="0" collapsed="false">
      <c r="A331" s="22" t="s">
        <v>1177</v>
      </c>
      <c r="B331" s="22" t="s">
        <v>1178</v>
      </c>
      <c r="C331" s="22" t="s">
        <v>19</v>
      </c>
      <c r="D331" s="22" t="s">
        <v>60</v>
      </c>
      <c r="E331" s="22" t="s">
        <v>1179</v>
      </c>
      <c r="F331" s="23" t="n">
        <v>14539.89</v>
      </c>
      <c r="G331" s="24" t="n">
        <v>1.1525</v>
      </c>
      <c r="H331" s="24" t="n">
        <v>0.5454</v>
      </c>
      <c r="I331" s="22" t="s">
        <v>203</v>
      </c>
      <c r="J331" s="22"/>
      <c r="K331" s="23" t="n">
        <v>12207.13</v>
      </c>
      <c r="L331" s="22" t="s">
        <v>204</v>
      </c>
      <c r="M331" s="22" t="s">
        <v>205</v>
      </c>
    </row>
    <row r="332" customFormat="false" ht="15" hidden="false" customHeight="false" outlineLevel="0" collapsed="false">
      <c r="A332" s="22" t="s">
        <v>1180</v>
      </c>
      <c r="B332" s="22" t="s">
        <v>1181</v>
      </c>
      <c r="C332" s="22" t="s">
        <v>17</v>
      </c>
      <c r="D332" s="22" t="s">
        <v>59</v>
      </c>
      <c r="E332" s="22" t="s">
        <v>1182</v>
      </c>
      <c r="F332" s="23" t="n">
        <v>112677.28</v>
      </c>
      <c r="G332" s="24" t="n">
        <v>1.283</v>
      </c>
      <c r="H332" s="24" t="n">
        <v>0.7089</v>
      </c>
      <c r="I332" s="22" t="s">
        <v>203</v>
      </c>
      <c r="J332" s="22"/>
      <c r="K332" s="23" t="n">
        <v>135838.44</v>
      </c>
      <c r="L332" s="22" t="s">
        <v>204</v>
      </c>
      <c r="M332" s="22" t="s">
        <v>205</v>
      </c>
    </row>
    <row r="333" customFormat="false" ht="15" hidden="false" customHeight="false" outlineLevel="0" collapsed="false">
      <c r="A333" s="22" t="s">
        <v>1183</v>
      </c>
      <c r="B333" s="22" t="s">
        <v>1184</v>
      </c>
      <c r="C333" s="22" t="s">
        <v>17</v>
      </c>
      <c r="D333" s="22" t="s">
        <v>60</v>
      </c>
      <c r="E333" s="22" t="s">
        <v>1185</v>
      </c>
      <c r="F333" s="23" t="n">
        <v>26447.27</v>
      </c>
      <c r="G333" s="24" t="n">
        <v>1.1689</v>
      </c>
      <c r="H333" s="24" t="n">
        <v>0.4495</v>
      </c>
      <c r="I333" s="22" t="s">
        <v>203</v>
      </c>
      <c r="J333" s="22"/>
      <c r="K333" s="23" t="n">
        <v>18418.85</v>
      </c>
      <c r="L333" s="22" t="s">
        <v>204</v>
      </c>
      <c r="M333" s="22" t="s">
        <v>205</v>
      </c>
    </row>
    <row r="334" customFormat="false" ht="15" hidden="false" customHeight="false" outlineLevel="0" collapsed="false">
      <c r="A334" s="22" t="s">
        <v>1186</v>
      </c>
      <c r="B334" s="22" t="s">
        <v>1187</v>
      </c>
      <c r="C334" s="22" t="s">
        <v>17</v>
      </c>
      <c r="D334" s="22" t="s">
        <v>58</v>
      </c>
      <c r="E334" s="22" t="s">
        <v>1188</v>
      </c>
      <c r="F334" s="23" t="n">
        <v>85212.78</v>
      </c>
      <c r="G334" s="24" t="n">
        <v>1.2349</v>
      </c>
      <c r="H334" s="24" t="n">
        <v>0.569</v>
      </c>
      <c r="I334" s="22" t="s">
        <v>203</v>
      </c>
      <c r="J334" s="22"/>
      <c r="K334" s="23" t="n">
        <v>79363.99</v>
      </c>
      <c r="L334" s="22" t="s">
        <v>204</v>
      </c>
      <c r="M334" s="22" t="s">
        <v>205</v>
      </c>
    </row>
    <row r="335" customFormat="false" ht="15" hidden="false" customHeight="false" outlineLevel="0" collapsed="false">
      <c r="A335" s="22" t="s">
        <v>1189</v>
      </c>
      <c r="B335" s="22" t="s">
        <v>1190</v>
      </c>
      <c r="C335" s="22" t="s">
        <v>15</v>
      </c>
      <c r="D335" s="22" t="s">
        <v>58</v>
      </c>
      <c r="E335" s="22" t="s">
        <v>1191</v>
      </c>
      <c r="F335" s="23" t="n">
        <v>31912.76</v>
      </c>
      <c r="G335" s="24" t="n">
        <v>1.2016</v>
      </c>
      <c r="H335" s="24" t="n">
        <v>0.5634</v>
      </c>
      <c r="I335" s="22" t="s">
        <v>203</v>
      </c>
      <c r="J335" s="22"/>
      <c r="K335" s="23" t="n">
        <v>28588.83</v>
      </c>
      <c r="L335" s="22" t="s">
        <v>204</v>
      </c>
      <c r="M335" s="22" t="s">
        <v>205</v>
      </c>
    </row>
    <row r="336" customFormat="false" ht="15" hidden="false" customHeight="false" outlineLevel="0" collapsed="false">
      <c r="A336" s="22" t="s">
        <v>1192</v>
      </c>
      <c r="B336" s="22" t="s">
        <v>1193</v>
      </c>
      <c r="C336" s="22" t="s">
        <v>15</v>
      </c>
      <c r="D336" s="22" t="s">
        <v>60</v>
      </c>
      <c r="E336" s="22" t="s">
        <v>1194</v>
      </c>
      <c r="F336" s="23" t="n">
        <v>21569.64</v>
      </c>
      <c r="G336" s="24" t="n">
        <v>1.005</v>
      </c>
      <c r="H336" s="24" t="n">
        <v>0.1751</v>
      </c>
      <c r="I336" s="22" t="s">
        <v>203</v>
      </c>
      <c r="J336" s="22"/>
      <c r="K336" s="23" t="n">
        <v>5022.85</v>
      </c>
      <c r="L336" s="22" t="s">
        <v>204</v>
      </c>
      <c r="M336" s="22" t="s">
        <v>205</v>
      </c>
    </row>
    <row r="337" customFormat="false" ht="15" hidden="false" customHeight="false" outlineLevel="0" collapsed="false">
      <c r="A337" s="22" t="s">
        <v>1195</v>
      </c>
      <c r="B337" s="22" t="s">
        <v>1196</v>
      </c>
      <c r="C337" s="22" t="s">
        <v>17</v>
      </c>
      <c r="D337" s="22" t="s">
        <v>60</v>
      </c>
      <c r="E337" s="22" t="s">
        <v>1197</v>
      </c>
      <c r="F337" s="23" t="n">
        <v>21558.16</v>
      </c>
      <c r="G337" s="24" t="n">
        <v>1.2851</v>
      </c>
      <c r="H337" s="24" t="n">
        <v>0.2183</v>
      </c>
      <c r="I337" s="22" t="s">
        <v>203</v>
      </c>
      <c r="J337" s="22"/>
      <c r="K337" s="23" t="n">
        <v>8016.36</v>
      </c>
      <c r="L337" s="22" t="s">
        <v>204</v>
      </c>
      <c r="M337" s="22" t="s">
        <v>205</v>
      </c>
    </row>
    <row r="338" customFormat="false" ht="15" hidden="false" customHeight="false" outlineLevel="0" collapsed="false">
      <c r="A338" s="22" t="s">
        <v>1198</v>
      </c>
      <c r="B338" s="22" t="s">
        <v>1199</v>
      </c>
      <c r="C338" s="22" t="s">
        <v>17</v>
      </c>
      <c r="D338" s="22" t="s">
        <v>59</v>
      </c>
      <c r="E338" s="22" t="s">
        <v>1200</v>
      </c>
      <c r="F338" s="23" t="n">
        <v>153450.63</v>
      </c>
      <c r="G338" s="24" t="n">
        <v>1.0013</v>
      </c>
      <c r="H338" s="24" t="n">
        <v>0.1225</v>
      </c>
      <c r="I338" s="22" t="s">
        <v>203</v>
      </c>
      <c r="J338" s="22"/>
      <c r="K338" s="23" t="n">
        <v>24948.46</v>
      </c>
      <c r="L338" s="22" t="s">
        <v>204</v>
      </c>
      <c r="M338" s="22" t="s">
        <v>205</v>
      </c>
    </row>
    <row r="339" customFormat="false" ht="15" hidden="false" customHeight="false" outlineLevel="0" collapsed="false">
      <c r="A339" s="22" t="s">
        <v>1201</v>
      </c>
      <c r="B339" s="22" t="s">
        <v>1202</v>
      </c>
      <c r="C339" s="22" t="s">
        <v>17</v>
      </c>
      <c r="D339" s="22" t="s">
        <v>58</v>
      </c>
      <c r="E339" s="22" t="s">
        <v>987</v>
      </c>
      <c r="F339" s="23" t="n">
        <v>85035.16</v>
      </c>
      <c r="G339" s="24" t="n">
        <v>1.1896</v>
      </c>
      <c r="H339" s="24" t="n">
        <v>0.7906</v>
      </c>
      <c r="I339" s="22" t="s">
        <v>203</v>
      </c>
      <c r="J339" s="22"/>
      <c r="K339" s="23" t="n">
        <v>106006.14</v>
      </c>
      <c r="L339" s="22" t="s">
        <v>204</v>
      </c>
      <c r="M339" s="22" t="s">
        <v>205</v>
      </c>
    </row>
    <row r="340" customFormat="false" ht="15" hidden="false" customHeight="false" outlineLevel="0" collapsed="false">
      <c r="A340" s="22" t="s">
        <v>1203</v>
      </c>
      <c r="B340" s="22" t="s">
        <v>1204</v>
      </c>
      <c r="C340" s="22" t="s">
        <v>17</v>
      </c>
      <c r="D340" s="22" t="s">
        <v>60</v>
      </c>
      <c r="E340" s="22" t="s">
        <v>1205</v>
      </c>
      <c r="F340" s="23" t="n">
        <v>27982.14</v>
      </c>
      <c r="G340" s="24" t="n">
        <v>1.0925</v>
      </c>
      <c r="H340" s="24" t="n">
        <v>0.7973</v>
      </c>
      <c r="I340" s="22" t="s">
        <v>203</v>
      </c>
      <c r="J340" s="22"/>
      <c r="K340" s="23" t="n">
        <v>32307.16</v>
      </c>
      <c r="L340" s="22" t="s">
        <v>204</v>
      </c>
      <c r="M340" s="22" t="s">
        <v>205</v>
      </c>
    </row>
    <row r="341" customFormat="false" ht="15" hidden="false" customHeight="false" outlineLevel="0" collapsed="false">
      <c r="A341" s="22" t="s">
        <v>1206</v>
      </c>
      <c r="B341" s="22" t="s">
        <v>1207</v>
      </c>
      <c r="C341" s="22" t="s">
        <v>15</v>
      </c>
      <c r="D341" s="22" t="s">
        <v>60</v>
      </c>
      <c r="E341" s="22" t="s">
        <v>1208</v>
      </c>
      <c r="F341" s="23" t="n">
        <v>19625.52</v>
      </c>
      <c r="G341" s="24" t="n">
        <v>1.0176</v>
      </c>
      <c r="H341" s="24" t="n">
        <v>0.1024</v>
      </c>
      <c r="I341" s="22" t="s">
        <v>203</v>
      </c>
      <c r="J341" s="22"/>
      <c r="K341" s="23" t="n">
        <v>2706.16</v>
      </c>
      <c r="L341" s="22" t="s">
        <v>204</v>
      </c>
      <c r="M341" s="22" t="s">
        <v>205</v>
      </c>
    </row>
    <row r="342" customFormat="false" ht="15" hidden="false" customHeight="false" outlineLevel="0" collapsed="false">
      <c r="A342" s="22" t="s">
        <v>1209</v>
      </c>
      <c r="B342" s="22" t="s">
        <v>1210</v>
      </c>
      <c r="C342" s="22" t="s">
        <v>19</v>
      </c>
      <c r="D342" s="22" t="s">
        <v>61</v>
      </c>
      <c r="E342" s="22" t="s">
        <v>1211</v>
      </c>
      <c r="F342" s="23" t="n">
        <v>4814.45</v>
      </c>
      <c r="G342" s="24" t="n">
        <v>1.2892</v>
      </c>
      <c r="H342" s="24" t="n">
        <v>0.3688</v>
      </c>
      <c r="I342" s="22" t="s">
        <v>203</v>
      </c>
      <c r="J342" s="22"/>
      <c r="K342" s="23" t="n">
        <v>3057.42</v>
      </c>
      <c r="L342" s="22" t="s">
        <v>204</v>
      </c>
      <c r="M342" s="22" t="s">
        <v>205</v>
      </c>
    </row>
    <row r="343" customFormat="false" ht="15" hidden="false" customHeight="false" outlineLevel="0" collapsed="false">
      <c r="A343" s="22" t="s">
        <v>1212</v>
      </c>
      <c r="B343" s="22" t="s">
        <v>1213</v>
      </c>
      <c r="C343" s="22" t="s">
        <v>15</v>
      </c>
      <c r="D343" s="22" t="s">
        <v>61</v>
      </c>
      <c r="E343" s="22" t="s">
        <v>1214</v>
      </c>
      <c r="F343" s="23" t="n">
        <v>8589.09</v>
      </c>
      <c r="G343" s="24" t="n">
        <v>1.0959</v>
      </c>
      <c r="H343" s="24" t="n">
        <v>0.1175</v>
      </c>
      <c r="I343" s="22" t="s">
        <v>203</v>
      </c>
      <c r="J343" s="22"/>
      <c r="K343" s="23" t="n">
        <v>1463.56</v>
      </c>
      <c r="L343" s="22" t="s">
        <v>204</v>
      </c>
      <c r="M343" s="22" t="s">
        <v>205</v>
      </c>
    </row>
    <row r="344" customFormat="false" ht="15" hidden="false" customHeight="false" outlineLevel="0" collapsed="false">
      <c r="A344" s="22" t="s">
        <v>1215</v>
      </c>
      <c r="B344" s="22" t="s">
        <v>1216</v>
      </c>
      <c r="C344" s="22" t="s">
        <v>15</v>
      </c>
      <c r="D344" s="22" t="s">
        <v>61</v>
      </c>
      <c r="E344" s="22" t="s">
        <v>1217</v>
      </c>
      <c r="F344" s="23" t="n">
        <v>8013.92</v>
      </c>
      <c r="G344" s="24" t="n">
        <v>1.1834</v>
      </c>
      <c r="H344" s="24" t="n">
        <v>0.6342</v>
      </c>
      <c r="I344" s="22" t="s">
        <v>203</v>
      </c>
      <c r="J344" s="22"/>
      <c r="K344" s="23" t="n">
        <v>7958.99</v>
      </c>
      <c r="L344" s="22" t="s">
        <v>204</v>
      </c>
      <c r="M344" s="22" t="s">
        <v>205</v>
      </c>
    </row>
    <row r="345" customFormat="false" ht="15" hidden="false" customHeight="false" outlineLevel="0" collapsed="false">
      <c r="A345" s="22" t="s">
        <v>1218</v>
      </c>
      <c r="B345" s="22" t="s">
        <v>1219</v>
      </c>
      <c r="C345" s="22" t="s">
        <v>17</v>
      </c>
      <c r="D345" s="22" t="s">
        <v>60</v>
      </c>
      <c r="E345" s="22" t="s">
        <v>1220</v>
      </c>
      <c r="F345" s="23" t="n">
        <v>31750.36</v>
      </c>
      <c r="G345" s="24" t="n">
        <v>1.1759</v>
      </c>
      <c r="H345" s="24" t="n">
        <v>0.5341</v>
      </c>
      <c r="I345" s="22" t="s">
        <v>203</v>
      </c>
      <c r="J345" s="22"/>
      <c r="K345" s="23" t="n">
        <v>26431.17</v>
      </c>
      <c r="L345" s="22" t="s">
        <v>204</v>
      </c>
      <c r="M345" s="22" t="s">
        <v>205</v>
      </c>
    </row>
    <row r="346" customFormat="false" ht="15" hidden="false" customHeight="false" outlineLevel="0" collapsed="false">
      <c r="A346" s="22" t="s">
        <v>1221</v>
      </c>
      <c r="B346" s="22" t="s">
        <v>1222</v>
      </c>
      <c r="C346" s="22" t="s">
        <v>17</v>
      </c>
      <c r="D346" s="22" t="s">
        <v>58</v>
      </c>
      <c r="E346" s="22" t="s">
        <v>1223</v>
      </c>
      <c r="F346" s="23" t="n">
        <v>73290.3</v>
      </c>
      <c r="G346" s="24" t="n">
        <v>1.0041</v>
      </c>
      <c r="H346" s="24" t="n">
        <v>0.9214</v>
      </c>
      <c r="I346" s="22" t="s">
        <v>203</v>
      </c>
      <c r="J346" s="22"/>
      <c r="K346" s="23" t="n">
        <v>89876.55</v>
      </c>
      <c r="L346" s="22" t="s">
        <v>204</v>
      </c>
      <c r="M346" s="22" t="s">
        <v>205</v>
      </c>
    </row>
    <row r="347" customFormat="false" ht="15" hidden="false" customHeight="false" outlineLevel="0" collapsed="false">
      <c r="A347" s="22" t="s">
        <v>1224</v>
      </c>
      <c r="B347" s="22" t="s">
        <v>1225</v>
      </c>
      <c r="C347" s="22" t="s">
        <v>19</v>
      </c>
      <c r="D347" s="22" t="s">
        <v>58</v>
      </c>
      <c r="E347" s="22" t="s">
        <v>1226</v>
      </c>
      <c r="F347" s="23" t="n">
        <v>84112.42</v>
      </c>
      <c r="G347" s="24" t="n">
        <v>1.047</v>
      </c>
      <c r="H347" s="24" t="n">
        <v>0.3294</v>
      </c>
      <c r="I347" s="22" t="s">
        <v>203</v>
      </c>
      <c r="J347" s="22"/>
      <c r="K347" s="23" t="n">
        <v>38746.01</v>
      </c>
      <c r="L347" s="22" t="s">
        <v>204</v>
      </c>
      <c r="M347" s="22" t="s">
        <v>205</v>
      </c>
    </row>
    <row r="348" customFormat="false" ht="15" hidden="false" customHeight="false" outlineLevel="0" collapsed="false">
      <c r="A348" s="22" t="s">
        <v>1227</v>
      </c>
      <c r="B348" s="22" t="s">
        <v>1228</v>
      </c>
      <c r="C348" s="22" t="s">
        <v>19</v>
      </c>
      <c r="D348" s="22" t="s">
        <v>59</v>
      </c>
      <c r="E348" s="22" t="s">
        <v>1229</v>
      </c>
      <c r="F348" s="23" t="n">
        <v>41369.58</v>
      </c>
      <c r="G348" s="24" t="n">
        <v>1.2946</v>
      </c>
      <c r="H348" s="24" t="n">
        <v>0.0542</v>
      </c>
      <c r="I348" s="22" t="s">
        <v>203</v>
      </c>
      <c r="J348" s="22"/>
      <c r="K348" s="23" t="n">
        <v>3877.15</v>
      </c>
      <c r="L348" s="22" t="s">
        <v>204</v>
      </c>
      <c r="M348" s="22" t="s">
        <v>205</v>
      </c>
    </row>
    <row r="349" customFormat="false" ht="15" hidden="false" customHeight="false" outlineLevel="0" collapsed="false">
      <c r="A349" s="22" t="s">
        <v>1230</v>
      </c>
      <c r="B349" s="22" t="s">
        <v>1231</v>
      </c>
      <c r="C349" s="22" t="s">
        <v>17</v>
      </c>
      <c r="D349" s="22" t="s">
        <v>60</v>
      </c>
      <c r="E349" s="22" t="s">
        <v>1232</v>
      </c>
      <c r="F349" s="23" t="n">
        <v>28739.29</v>
      </c>
      <c r="G349" s="24" t="n">
        <v>1.2018</v>
      </c>
      <c r="H349" s="24" t="n">
        <v>0.0666</v>
      </c>
      <c r="I349" s="22" t="s">
        <v>203</v>
      </c>
      <c r="J349" s="22"/>
      <c r="K349" s="23" t="n">
        <v>3049</v>
      </c>
      <c r="L349" s="22" t="s">
        <v>204</v>
      </c>
      <c r="M349" s="22" t="s">
        <v>205</v>
      </c>
    </row>
    <row r="350" customFormat="false" ht="15" hidden="false" customHeight="false" outlineLevel="0" collapsed="false">
      <c r="A350" s="22" t="s">
        <v>1233</v>
      </c>
      <c r="B350" s="22" t="s">
        <v>1234</v>
      </c>
      <c r="C350" s="22" t="s">
        <v>17</v>
      </c>
      <c r="D350" s="22" t="s">
        <v>58</v>
      </c>
      <c r="E350" s="22" t="s">
        <v>1235</v>
      </c>
      <c r="F350" s="23" t="n">
        <v>25004.71</v>
      </c>
      <c r="G350" s="24" t="n">
        <v>1.2226</v>
      </c>
      <c r="H350" s="24" t="n">
        <v>0.3436</v>
      </c>
      <c r="I350" s="22" t="s">
        <v>203</v>
      </c>
      <c r="J350" s="22"/>
      <c r="K350" s="23" t="n">
        <v>13923.04</v>
      </c>
      <c r="L350" s="22" t="s">
        <v>204</v>
      </c>
      <c r="M350" s="22" t="s">
        <v>205</v>
      </c>
    </row>
    <row r="351" customFormat="false" ht="15" hidden="false" customHeight="false" outlineLevel="0" collapsed="false">
      <c r="A351" s="22" t="s">
        <v>1236</v>
      </c>
      <c r="B351" s="22" t="s">
        <v>1237</v>
      </c>
      <c r="C351" s="22" t="s">
        <v>17</v>
      </c>
      <c r="D351" s="22" t="s">
        <v>61</v>
      </c>
      <c r="E351" s="22" t="s">
        <v>1238</v>
      </c>
      <c r="F351" s="23" t="n">
        <v>4431.29</v>
      </c>
      <c r="G351" s="24" t="n">
        <v>1.1745</v>
      </c>
      <c r="H351" s="24" t="n">
        <v>0.2126</v>
      </c>
      <c r="I351" s="22" t="s">
        <v>203</v>
      </c>
      <c r="J351" s="22"/>
      <c r="K351" s="23" t="n">
        <v>1466.63</v>
      </c>
      <c r="L351" s="22" t="s">
        <v>204</v>
      </c>
      <c r="M351" s="22" t="s">
        <v>205</v>
      </c>
    </row>
    <row r="352" customFormat="false" ht="15" hidden="false" customHeight="false" outlineLevel="0" collapsed="false">
      <c r="A352" s="22" t="s">
        <v>1239</v>
      </c>
      <c r="B352" s="22" t="s">
        <v>1240</v>
      </c>
      <c r="C352" s="22" t="s">
        <v>15</v>
      </c>
      <c r="D352" s="22" t="s">
        <v>60</v>
      </c>
      <c r="E352" s="22" t="s">
        <v>1241</v>
      </c>
      <c r="F352" s="23" t="n">
        <v>25631.81</v>
      </c>
      <c r="G352" s="24" t="n">
        <v>1.013</v>
      </c>
      <c r="H352" s="24" t="n">
        <v>0.0949</v>
      </c>
      <c r="I352" s="22" t="s">
        <v>203</v>
      </c>
      <c r="J352" s="22"/>
      <c r="K352" s="23" t="n">
        <v>3260.7</v>
      </c>
      <c r="L352" s="22" t="s">
        <v>204</v>
      </c>
      <c r="M352" s="22" t="s">
        <v>205</v>
      </c>
    </row>
    <row r="353" customFormat="false" ht="15" hidden="false" customHeight="false" outlineLevel="0" collapsed="false">
      <c r="A353" s="22" t="s">
        <v>1242</v>
      </c>
      <c r="B353" s="22" t="s">
        <v>1243</v>
      </c>
      <c r="C353" s="22" t="s">
        <v>17</v>
      </c>
      <c r="D353" s="22" t="s">
        <v>60</v>
      </c>
      <c r="E353" s="22" t="s">
        <v>1244</v>
      </c>
      <c r="F353" s="23" t="n">
        <v>8002.6</v>
      </c>
      <c r="G353" s="24" t="n">
        <v>1.2288</v>
      </c>
      <c r="H353" s="24" t="n">
        <v>0.5323</v>
      </c>
      <c r="I353" s="22" t="s">
        <v>203</v>
      </c>
      <c r="J353" s="22"/>
      <c r="K353" s="23" t="n">
        <v>6938.15</v>
      </c>
      <c r="L353" s="22" t="s">
        <v>204</v>
      </c>
      <c r="M353" s="22" t="s">
        <v>205</v>
      </c>
    </row>
    <row r="354" customFormat="false" ht="15" hidden="false" customHeight="false" outlineLevel="0" collapsed="false">
      <c r="A354" s="22" t="s">
        <v>1245</v>
      </c>
      <c r="B354" s="22" t="s">
        <v>1246</v>
      </c>
      <c r="C354" s="22" t="s">
        <v>15</v>
      </c>
      <c r="D354" s="22" t="s">
        <v>59</v>
      </c>
      <c r="E354" s="22" t="s">
        <v>1247</v>
      </c>
      <c r="F354" s="23" t="n">
        <v>112556.83</v>
      </c>
      <c r="G354" s="24" t="n">
        <v>1.1811</v>
      </c>
      <c r="H354" s="24" t="n">
        <v>0.0489</v>
      </c>
      <c r="I354" s="22" t="s">
        <v>203</v>
      </c>
      <c r="J354" s="22"/>
      <c r="K354" s="23" t="n">
        <v>8602.46</v>
      </c>
      <c r="L354" s="22" t="s">
        <v>204</v>
      </c>
      <c r="M354" s="22" t="s">
        <v>205</v>
      </c>
    </row>
    <row r="355" customFormat="false" ht="15" hidden="false" customHeight="false" outlineLevel="0" collapsed="false">
      <c r="A355" s="22" t="s">
        <v>1248</v>
      </c>
      <c r="B355" s="22" t="s">
        <v>1249</v>
      </c>
      <c r="C355" s="22" t="s">
        <v>15</v>
      </c>
      <c r="D355" s="22" t="s">
        <v>58</v>
      </c>
      <c r="E355" s="22" t="s">
        <v>1250</v>
      </c>
      <c r="F355" s="23" t="n">
        <v>45742.86</v>
      </c>
      <c r="G355" s="24" t="n">
        <v>1.0931</v>
      </c>
      <c r="H355" s="24" t="n">
        <v>0.4835</v>
      </c>
      <c r="I355" s="22" t="s">
        <v>203</v>
      </c>
      <c r="J355" s="22"/>
      <c r="K355" s="23" t="n">
        <v>31991.53</v>
      </c>
      <c r="L355" s="22" t="s">
        <v>204</v>
      </c>
      <c r="M355" s="22" t="s">
        <v>205</v>
      </c>
    </row>
    <row r="356" customFormat="false" ht="15" hidden="false" customHeight="false" outlineLevel="0" collapsed="false">
      <c r="A356" s="22" t="s">
        <v>1251</v>
      </c>
      <c r="B356" s="22" t="s">
        <v>1252</v>
      </c>
      <c r="C356" s="22" t="s">
        <v>15</v>
      </c>
      <c r="D356" s="22" t="s">
        <v>59</v>
      </c>
      <c r="E356" s="22" t="s">
        <v>1253</v>
      </c>
      <c r="F356" s="23" t="n">
        <v>111627.65</v>
      </c>
      <c r="G356" s="24" t="n">
        <v>1.0303</v>
      </c>
      <c r="H356" s="24" t="n">
        <v>0.2229</v>
      </c>
      <c r="I356" s="22" t="s">
        <v>203</v>
      </c>
      <c r="J356" s="22"/>
      <c r="K356" s="23" t="n">
        <v>33923.51</v>
      </c>
      <c r="L356" s="22" t="s">
        <v>204</v>
      </c>
      <c r="M356" s="22" t="s">
        <v>205</v>
      </c>
    </row>
    <row r="357" customFormat="false" ht="15" hidden="false" customHeight="false" outlineLevel="0" collapsed="false">
      <c r="A357" s="22" t="s">
        <v>1254</v>
      </c>
      <c r="B357" s="22" t="s">
        <v>1255</v>
      </c>
      <c r="C357" s="22" t="s">
        <v>19</v>
      </c>
      <c r="D357" s="22" t="s">
        <v>60</v>
      </c>
      <c r="E357" s="22" t="s">
        <v>1256</v>
      </c>
      <c r="F357" s="23" t="n">
        <v>29117.9</v>
      </c>
      <c r="G357" s="24" t="n">
        <v>1.0507</v>
      </c>
      <c r="H357" s="24" t="n">
        <v>0.0733</v>
      </c>
      <c r="I357" s="22" t="s">
        <v>203</v>
      </c>
      <c r="J357" s="22"/>
      <c r="K357" s="23" t="n">
        <v>2995.29</v>
      </c>
      <c r="L357" s="22" t="s">
        <v>204</v>
      </c>
      <c r="M357" s="22" t="s">
        <v>205</v>
      </c>
    </row>
    <row r="358" customFormat="false" ht="15" hidden="false" customHeight="false" outlineLevel="0" collapsed="false">
      <c r="A358" s="22" t="s">
        <v>1257</v>
      </c>
      <c r="B358" s="22" t="s">
        <v>1258</v>
      </c>
      <c r="C358" s="22" t="s">
        <v>15</v>
      </c>
      <c r="D358" s="22" t="s">
        <v>61</v>
      </c>
      <c r="E358" s="22" t="s">
        <v>1259</v>
      </c>
      <c r="F358" s="23" t="n">
        <v>3599</v>
      </c>
      <c r="G358" s="24" t="n">
        <v>1.1017</v>
      </c>
      <c r="H358" s="24" t="n">
        <v>0.2338</v>
      </c>
      <c r="I358" s="22" t="s">
        <v>203</v>
      </c>
      <c r="J358" s="22"/>
      <c r="K358" s="23" t="n">
        <v>1226.72</v>
      </c>
      <c r="L358" s="22" t="s">
        <v>204</v>
      </c>
      <c r="M358" s="22" t="s">
        <v>205</v>
      </c>
    </row>
    <row r="359" customFormat="false" ht="15" hidden="false" customHeight="false" outlineLevel="0" collapsed="false">
      <c r="A359" s="22" t="s">
        <v>1260</v>
      </c>
      <c r="B359" s="22" t="s">
        <v>1261</v>
      </c>
      <c r="C359" s="22" t="s">
        <v>19</v>
      </c>
      <c r="D359" s="22" t="s">
        <v>60</v>
      </c>
      <c r="E359" s="22" t="s">
        <v>1262</v>
      </c>
      <c r="F359" s="23" t="n">
        <v>12736.72</v>
      </c>
      <c r="G359" s="24" t="n">
        <v>1.1369</v>
      </c>
      <c r="H359" s="24" t="n">
        <v>0.4767</v>
      </c>
      <c r="I359" s="22" t="s">
        <v>203</v>
      </c>
      <c r="J359" s="22"/>
      <c r="K359" s="23" t="n">
        <v>9219.8</v>
      </c>
      <c r="L359" s="22" t="s">
        <v>204</v>
      </c>
      <c r="M359" s="22" t="s">
        <v>205</v>
      </c>
    </row>
    <row r="360" customFormat="false" ht="15" hidden="false" customHeight="false" outlineLevel="0" collapsed="false">
      <c r="A360" s="22" t="s">
        <v>1263</v>
      </c>
      <c r="B360" s="22" t="s">
        <v>1264</v>
      </c>
      <c r="C360" s="22" t="s">
        <v>17</v>
      </c>
      <c r="D360" s="22" t="s">
        <v>60</v>
      </c>
      <c r="E360" s="22" t="s">
        <v>1265</v>
      </c>
      <c r="F360" s="23" t="n">
        <v>10019.81</v>
      </c>
      <c r="G360" s="24" t="n">
        <v>1.0729</v>
      </c>
      <c r="H360" s="24" t="n">
        <v>0.5515</v>
      </c>
      <c r="I360" s="22" t="s">
        <v>203</v>
      </c>
      <c r="J360" s="22"/>
      <c r="K360" s="23" t="n">
        <v>7858.49</v>
      </c>
      <c r="L360" s="22" t="s">
        <v>204</v>
      </c>
      <c r="M360" s="22" t="s">
        <v>205</v>
      </c>
    </row>
    <row r="361" customFormat="false" ht="15" hidden="false" customHeight="false" outlineLevel="0" collapsed="false">
      <c r="A361" s="22" t="s">
        <v>1266</v>
      </c>
      <c r="B361" s="22" t="s">
        <v>1267</v>
      </c>
      <c r="C361" s="22" t="s">
        <v>15</v>
      </c>
      <c r="D361" s="22" t="s">
        <v>60</v>
      </c>
      <c r="E361" s="22" t="s">
        <v>1268</v>
      </c>
      <c r="F361" s="23" t="n">
        <v>26452.97</v>
      </c>
      <c r="G361" s="24" t="n">
        <v>1.0386</v>
      </c>
      <c r="H361" s="24" t="n">
        <v>0.7505</v>
      </c>
      <c r="I361" s="22" t="s">
        <v>203</v>
      </c>
      <c r="J361" s="22"/>
      <c r="K361" s="23" t="n">
        <v>27285.3</v>
      </c>
      <c r="L361" s="22" t="s">
        <v>204</v>
      </c>
      <c r="M361" s="22" t="s">
        <v>205</v>
      </c>
    </row>
    <row r="362" customFormat="false" ht="15" hidden="false" customHeight="false" outlineLevel="0" collapsed="false">
      <c r="A362" s="22" t="s">
        <v>1269</v>
      </c>
      <c r="B362" s="22" t="s">
        <v>1270</v>
      </c>
      <c r="C362" s="22" t="s">
        <v>19</v>
      </c>
      <c r="D362" s="22" t="s">
        <v>59</v>
      </c>
      <c r="E362" s="22" t="s">
        <v>1271</v>
      </c>
      <c r="F362" s="23" t="n">
        <v>130084.93</v>
      </c>
      <c r="G362" s="24" t="n">
        <v>1.2188</v>
      </c>
      <c r="H362" s="24" t="n">
        <v>0.3719</v>
      </c>
      <c r="I362" s="22" t="s">
        <v>203</v>
      </c>
      <c r="J362" s="22"/>
      <c r="K362" s="23" t="n">
        <v>78755.73</v>
      </c>
      <c r="L362" s="22" t="s">
        <v>204</v>
      </c>
      <c r="M362" s="22" t="s">
        <v>205</v>
      </c>
    </row>
    <row r="363" customFormat="false" ht="15" hidden="false" customHeight="false" outlineLevel="0" collapsed="false">
      <c r="A363" s="22" t="s">
        <v>1272</v>
      </c>
      <c r="B363" s="22" t="s">
        <v>1273</v>
      </c>
      <c r="C363" s="22" t="s">
        <v>15</v>
      </c>
      <c r="D363" s="22" t="s">
        <v>59</v>
      </c>
      <c r="E363" s="22" t="s">
        <v>1274</v>
      </c>
      <c r="F363" s="23" t="n">
        <v>129531.76</v>
      </c>
      <c r="G363" s="24" t="n">
        <v>1.0529</v>
      </c>
      <c r="H363" s="24" t="n">
        <v>0.9136</v>
      </c>
      <c r="I363" s="22" t="s">
        <v>203</v>
      </c>
      <c r="J363" s="22"/>
      <c r="K363" s="23" t="n">
        <v>164882.57</v>
      </c>
      <c r="L363" s="22" t="s">
        <v>204</v>
      </c>
      <c r="M363" s="22" t="s">
        <v>205</v>
      </c>
    </row>
    <row r="364" customFormat="false" ht="15" hidden="false" customHeight="false" outlineLevel="0" collapsed="false">
      <c r="A364" s="22" t="s">
        <v>1275</v>
      </c>
      <c r="B364" s="22" t="s">
        <v>1276</v>
      </c>
      <c r="C364" s="22" t="s">
        <v>15</v>
      </c>
      <c r="D364" s="22" t="s">
        <v>61</v>
      </c>
      <c r="E364" s="22" t="s">
        <v>1277</v>
      </c>
      <c r="F364" s="23" t="n">
        <v>3224.04</v>
      </c>
      <c r="G364" s="24" t="n">
        <v>1.2401</v>
      </c>
      <c r="H364" s="24" t="n">
        <v>0.0808</v>
      </c>
      <c r="I364" s="22" t="s">
        <v>203</v>
      </c>
      <c r="J364" s="22"/>
      <c r="K364" s="23" t="n">
        <v>427.49</v>
      </c>
      <c r="L364" s="22" t="s">
        <v>204</v>
      </c>
      <c r="M364" s="22" t="s">
        <v>205</v>
      </c>
    </row>
    <row r="365" customFormat="false" ht="15" hidden="false" customHeight="false" outlineLevel="0" collapsed="false">
      <c r="A365" s="22" t="s">
        <v>1278</v>
      </c>
      <c r="B365" s="22" t="s">
        <v>1279</v>
      </c>
      <c r="C365" s="22" t="s">
        <v>15</v>
      </c>
      <c r="D365" s="22" t="s">
        <v>60</v>
      </c>
      <c r="E365" s="22" t="s">
        <v>1280</v>
      </c>
      <c r="F365" s="23" t="n">
        <v>6804.83</v>
      </c>
      <c r="G365" s="24" t="n">
        <v>1.1684</v>
      </c>
      <c r="H365" s="24" t="n">
        <v>0.3301</v>
      </c>
      <c r="I365" s="22" t="s">
        <v>203</v>
      </c>
      <c r="J365" s="22"/>
      <c r="K365" s="23" t="n">
        <v>3473.04</v>
      </c>
      <c r="L365" s="22" t="s">
        <v>204</v>
      </c>
      <c r="M365" s="22" t="s">
        <v>205</v>
      </c>
    </row>
    <row r="366" customFormat="false" ht="15" hidden="false" customHeight="false" outlineLevel="0" collapsed="false">
      <c r="A366" s="22" t="s">
        <v>1281</v>
      </c>
      <c r="B366" s="22" t="s">
        <v>1282</v>
      </c>
      <c r="C366" s="22" t="s">
        <v>15</v>
      </c>
      <c r="D366" s="22" t="s">
        <v>58</v>
      </c>
      <c r="E366" s="22" t="s">
        <v>1283</v>
      </c>
      <c r="F366" s="23" t="n">
        <v>31635.05</v>
      </c>
      <c r="G366" s="24" t="n">
        <v>1.0651</v>
      </c>
      <c r="H366" s="24" t="n">
        <v>0.1574</v>
      </c>
      <c r="I366" s="22" t="s">
        <v>203</v>
      </c>
      <c r="J366" s="22"/>
      <c r="K366" s="23" t="n">
        <v>7018.09</v>
      </c>
      <c r="L366" s="22" t="s">
        <v>204</v>
      </c>
      <c r="M366" s="22" t="s">
        <v>205</v>
      </c>
    </row>
    <row r="367" customFormat="false" ht="15" hidden="false" customHeight="false" outlineLevel="0" collapsed="false">
      <c r="A367" s="22" t="s">
        <v>1284</v>
      </c>
      <c r="B367" s="22" t="s">
        <v>1285</v>
      </c>
      <c r="C367" s="22" t="s">
        <v>15</v>
      </c>
      <c r="D367" s="22" t="s">
        <v>59</v>
      </c>
      <c r="E367" s="22" t="s">
        <v>1286</v>
      </c>
      <c r="F367" s="23" t="n">
        <v>123425.12</v>
      </c>
      <c r="G367" s="24" t="n">
        <v>1.0314</v>
      </c>
      <c r="H367" s="24" t="n">
        <v>0.9973</v>
      </c>
      <c r="I367" s="22" t="s">
        <v>203</v>
      </c>
      <c r="J367" s="22"/>
      <c r="K367" s="23" t="n">
        <v>168000.96</v>
      </c>
      <c r="L367" s="22" t="s">
        <v>204</v>
      </c>
      <c r="M367" s="22" t="s">
        <v>205</v>
      </c>
    </row>
    <row r="368" customFormat="false" ht="15" hidden="false" customHeight="false" outlineLevel="0" collapsed="false">
      <c r="A368" s="22" t="s">
        <v>1287</v>
      </c>
      <c r="B368" s="22" t="s">
        <v>1288</v>
      </c>
      <c r="C368" s="22" t="s">
        <v>15</v>
      </c>
      <c r="D368" s="22" t="s">
        <v>61</v>
      </c>
      <c r="E368" s="22" t="s">
        <v>1289</v>
      </c>
      <c r="F368" s="23" t="n">
        <v>9343.55</v>
      </c>
      <c r="G368" s="24" t="n">
        <v>1.0022</v>
      </c>
      <c r="H368" s="24" t="n">
        <v>0.7989</v>
      </c>
      <c r="I368" s="22" t="s">
        <v>203</v>
      </c>
      <c r="J368" s="22"/>
      <c r="K368" s="23" t="n">
        <v>9899.52</v>
      </c>
      <c r="L368" s="22" t="s">
        <v>204</v>
      </c>
      <c r="M368" s="22" t="s">
        <v>205</v>
      </c>
    </row>
    <row r="369" customFormat="false" ht="15" hidden="false" customHeight="false" outlineLevel="0" collapsed="false">
      <c r="A369" s="22" t="s">
        <v>1290</v>
      </c>
      <c r="B369" s="22" t="s">
        <v>1291</v>
      </c>
      <c r="C369" s="22" t="s">
        <v>15</v>
      </c>
      <c r="D369" s="22" t="s">
        <v>59</v>
      </c>
      <c r="E369" s="22" t="s">
        <v>1292</v>
      </c>
      <c r="F369" s="23" t="n">
        <v>152503.06</v>
      </c>
      <c r="G369" s="24" t="n">
        <v>1.2588</v>
      </c>
      <c r="H369" s="24" t="n">
        <v>0.5856</v>
      </c>
      <c r="I369" s="22" t="s">
        <v>203</v>
      </c>
      <c r="J369" s="22"/>
      <c r="K369" s="23" t="n">
        <v>148761.87</v>
      </c>
      <c r="L369" s="22" t="s">
        <v>204</v>
      </c>
      <c r="M369" s="22" t="s">
        <v>205</v>
      </c>
    </row>
    <row r="370" customFormat="false" ht="15" hidden="false" customHeight="false" outlineLevel="0" collapsed="false">
      <c r="A370" s="22" t="s">
        <v>1293</v>
      </c>
      <c r="B370" s="22" t="s">
        <v>1294</v>
      </c>
      <c r="C370" s="22" t="s">
        <v>17</v>
      </c>
      <c r="D370" s="22" t="s">
        <v>59</v>
      </c>
      <c r="E370" s="22" t="s">
        <v>1295</v>
      </c>
      <c r="F370" s="23" t="n">
        <v>136151.37</v>
      </c>
      <c r="G370" s="24" t="n">
        <v>1.0005</v>
      </c>
      <c r="H370" s="24" t="n">
        <v>0.9123</v>
      </c>
      <c r="I370" s="22" t="s">
        <v>203</v>
      </c>
      <c r="J370" s="22"/>
      <c r="K370" s="23" t="n">
        <v>164721.95</v>
      </c>
      <c r="L370" s="22" t="s">
        <v>204</v>
      </c>
      <c r="M370" s="22" t="s">
        <v>205</v>
      </c>
    </row>
    <row r="371" customFormat="false" ht="15" hidden="false" customHeight="false" outlineLevel="0" collapsed="false">
      <c r="A371" s="22" t="s">
        <v>1296</v>
      </c>
      <c r="B371" s="22" t="s">
        <v>1297</v>
      </c>
      <c r="C371" s="22" t="s">
        <v>17</v>
      </c>
      <c r="D371" s="22" t="s">
        <v>58</v>
      </c>
      <c r="E371" s="22" t="s">
        <v>1298</v>
      </c>
      <c r="F371" s="23" t="n">
        <v>76966.39</v>
      </c>
      <c r="G371" s="24" t="n">
        <v>1.0618</v>
      </c>
      <c r="H371" s="24" t="n">
        <v>0.6997</v>
      </c>
      <c r="I371" s="22" t="s">
        <v>203</v>
      </c>
      <c r="J371" s="22"/>
      <c r="K371" s="23" t="n">
        <v>75793.23</v>
      </c>
      <c r="L371" s="22" t="s">
        <v>204</v>
      </c>
      <c r="M371" s="22" t="s">
        <v>205</v>
      </c>
    </row>
    <row r="372" customFormat="false" ht="15" hidden="false" customHeight="false" outlineLevel="0" collapsed="false">
      <c r="A372" s="22" t="s">
        <v>1299</v>
      </c>
      <c r="B372" s="22" t="s">
        <v>1300</v>
      </c>
      <c r="C372" s="22" t="s">
        <v>15</v>
      </c>
      <c r="D372" s="22" t="s">
        <v>58</v>
      </c>
      <c r="E372" s="22" t="s">
        <v>1301</v>
      </c>
      <c r="F372" s="23" t="n">
        <v>81473.06</v>
      </c>
      <c r="G372" s="24" t="n">
        <v>1.2036</v>
      </c>
      <c r="H372" s="24" t="n">
        <v>0.8076</v>
      </c>
      <c r="I372" s="22" t="s">
        <v>203</v>
      </c>
      <c r="J372" s="22"/>
      <c r="K372" s="23" t="n">
        <v>104796.74</v>
      </c>
      <c r="L372" s="22" t="s">
        <v>204</v>
      </c>
      <c r="M372" s="22" t="s">
        <v>205</v>
      </c>
    </row>
    <row r="373" customFormat="false" ht="15" hidden="false" customHeight="false" outlineLevel="0" collapsed="false">
      <c r="A373" s="22" t="s">
        <v>1302</v>
      </c>
      <c r="B373" s="22" t="s">
        <v>1303</v>
      </c>
      <c r="C373" s="22" t="s">
        <v>17</v>
      </c>
      <c r="D373" s="22" t="s">
        <v>58</v>
      </c>
      <c r="E373" s="22" t="s">
        <v>1304</v>
      </c>
      <c r="F373" s="23" t="n">
        <v>88616.42</v>
      </c>
      <c r="G373" s="24" t="n">
        <v>1.0603</v>
      </c>
      <c r="H373" s="24" t="n">
        <v>0.3195</v>
      </c>
      <c r="I373" s="22" t="s">
        <v>203</v>
      </c>
      <c r="J373" s="22"/>
      <c r="K373" s="23" t="n">
        <v>39791.34</v>
      </c>
      <c r="L373" s="22" t="s">
        <v>204</v>
      </c>
      <c r="M373" s="22" t="s">
        <v>205</v>
      </c>
    </row>
    <row r="374" customFormat="false" ht="15" hidden="false" customHeight="false" outlineLevel="0" collapsed="false">
      <c r="A374" s="22" t="s">
        <v>1305</v>
      </c>
      <c r="B374" s="22" t="s">
        <v>1306</v>
      </c>
      <c r="C374" s="22" t="s">
        <v>17</v>
      </c>
      <c r="D374" s="22" t="s">
        <v>60</v>
      </c>
      <c r="E374" s="22" t="s">
        <v>1307</v>
      </c>
      <c r="F374" s="23" t="n">
        <v>30400.62</v>
      </c>
      <c r="G374" s="24" t="n">
        <v>1.2797</v>
      </c>
      <c r="H374" s="24" t="n">
        <v>0.6747</v>
      </c>
      <c r="I374" s="22" t="s">
        <v>203</v>
      </c>
      <c r="J374" s="22"/>
      <c r="K374" s="23" t="n">
        <v>34791.73</v>
      </c>
      <c r="L374" s="22" t="s">
        <v>204</v>
      </c>
      <c r="M374" s="22" t="s">
        <v>205</v>
      </c>
    </row>
    <row r="375" customFormat="false" ht="15" hidden="false" customHeight="false" outlineLevel="0" collapsed="false">
      <c r="A375" s="22" t="s">
        <v>1308</v>
      </c>
      <c r="B375" s="22" t="s">
        <v>1309</v>
      </c>
      <c r="C375" s="22" t="s">
        <v>17</v>
      </c>
      <c r="D375" s="22" t="s">
        <v>58</v>
      </c>
      <c r="E375" s="22" t="s">
        <v>1310</v>
      </c>
      <c r="F375" s="23" t="n">
        <v>25745.99</v>
      </c>
      <c r="G375" s="24" t="n">
        <v>1.1899</v>
      </c>
      <c r="H375" s="24" t="n">
        <v>0.4756</v>
      </c>
      <c r="I375" s="22" t="s">
        <v>203</v>
      </c>
      <c r="J375" s="22"/>
      <c r="K375" s="23" t="n">
        <v>19312.42</v>
      </c>
      <c r="L375" s="22" t="s">
        <v>204</v>
      </c>
      <c r="M375" s="22" t="s">
        <v>205</v>
      </c>
    </row>
    <row r="376" customFormat="false" ht="15" hidden="false" customHeight="false" outlineLevel="0" collapsed="false">
      <c r="A376" s="22" t="s">
        <v>1311</v>
      </c>
      <c r="B376" s="22" t="s">
        <v>1312</v>
      </c>
      <c r="C376" s="22" t="s">
        <v>17</v>
      </c>
      <c r="D376" s="22" t="s">
        <v>60</v>
      </c>
      <c r="E376" s="22" t="s">
        <v>1313</v>
      </c>
      <c r="F376" s="23" t="n">
        <v>29722.83</v>
      </c>
      <c r="G376" s="24" t="n">
        <v>1.1488</v>
      </c>
      <c r="H376" s="24" t="n">
        <v>0.3213</v>
      </c>
      <c r="I376" s="22" t="s">
        <v>203</v>
      </c>
      <c r="J376" s="22"/>
      <c r="K376" s="23" t="n">
        <v>14541.86</v>
      </c>
      <c r="L376" s="22" t="s">
        <v>204</v>
      </c>
      <c r="M376" s="22" t="s">
        <v>205</v>
      </c>
    </row>
    <row r="377" customFormat="false" ht="15" hidden="false" customHeight="false" outlineLevel="0" collapsed="false">
      <c r="A377" s="22" t="s">
        <v>1314</v>
      </c>
      <c r="B377" s="22" t="s">
        <v>1315</v>
      </c>
      <c r="C377" s="22" t="s">
        <v>15</v>
      </c>
      <c r="D377" s="22" t="s">
        <v>60</v>
      </c>
      <c r="E377" s="22" t="s">
        <v>1316</v>
      </c>
      <c r="F377" s="23" t="n">
        <v>29374.85</v>
      </c>
      <c r="G377" s="24" t="n">
        <v>1.1745</v>
      </c>
      <c r="H377" s="24" t="n">
        <v>0.0265</v>
      </c>
      <c r="I377" s="22" t="s">
        <v>203</v>
      </c>
      <c r="J377" s="22"/>
      <c r="K377" s="23" t="n">
        <v>1209.85</v>
      </c>
      <c r="L377" s="22" t="s">
        <v>204</v>
      </c>
      <c r="M377" s="22" t="s">
        <v>205</v>
      </c>
    </row>
    <row r="378" customFormat="false" ht="15" hidden="false" customHeight="false" outlineLevel="0" collapsed="false">
      <c r="A378" s="22" t="s">
        <v>1317</v>
      </c>
      <c r="B378" s="22" t="s">
        <v>1318</v>
      </c>
      <c r="C378" s="22" t="s">
        <v>17</v>
      </c>
      <c r="D378" s="22" t="s">
        <v>60</v>
      </c>
      <c r="E378" s="22" t="s">
        <v>1319</v>
      </c>
      <c r="F378" s="23" t="n">
        <v>9360.36</v>
      </c>
      <c r="G378" s="24" t="n">
        <v>1.0822</v>
      </c>
      <c r="H378" s="24" t="n">
        <v>0.4389</v>
      </c>
      <c r="I378" s="22" t="s">
        <v>203</v>
      </c>
      <c r="J378" s="22"/>
      <c r="K378" s="23" t="n">
        <v>5893.05</v>
      </c>
      <c r="L378" s="22" t="s">
        <v>204</v>
      </c>
      <c r="M378" s="22" t="s">
        <v>205</v>
      </c>
    </row>
    <row r="379" customFormat="false" ht="15" hidden="false" customHeight="false" outlineLevel="0" collapsed="false">
      <c r="A379" s="22" t="s">
        <v>1320</v>
      </c>
      <c r="B379" s="22" t="s">
        <v>1321</v>
      </c>
      <c r="C379" s="22" t="s">
        <v>19</v>
      </c>
      <c r="D379" s="22" t="s">
        <v>60</v>
      </c>
      <c r="E379" s="22" t="s">
        <v>1322</v>
      </c>
      <c r="F379" s="23" t="n">
        <v>14595.09</v>
      </c>
      <c r="G379" s="24" t="n">
        <v>1.1482</v>
      </c>
      <c r="H379" s="24" t="n">
        <v>0.1022</v>
      </c>
      <c r="I379" s="22" t="s">
        <v>203</v>
      </c>
      <c r="J379" s="22"/>
      <c r="K379" s="23" t="n">
        <v>2287.56</v>
      </c>
      <c r="L379" s="22" t="s">
        <v>204</v>
      </c>
      <c r="M379" s="22" t="s">
        <v>205</v>
      </c>
    </row>
    <row r="380" customFormat="false" ht="15" hidden="false" customHeight="false" outlineLevel="0" collapsed="false">
      <c r="A380" s="22" t="s">
        <v>1323</v>
      </c>
      <c r="B380" s="22" t="s">
        <v>1324</v>
      </c>
      <c r="C380" s="22" t="s">
        <v>15</v>
      </c>
      <c r="D380" s="22" t="s">
        <v>60</v>
      </c>
      <c r="E380" s="22" t="s">
        <v>1325</v>
      </c>
      <c r="F380" s="23" t="n">
        <v>15846.15</v>
      </c>
      <c r="G380" s="24" t="n">
        <v>1.1337</v>
      </c>
      <c r="H380" s="24" t="n">
        <v>0.4514</v>
      </c>
      <c r="I380" s="22" t="s">
        <v>203</v>
      </c>
      <c r="J380" s="22"/>
      <c r="K380" s="23" t="n">
        <v>10730.96</v>
      </c>
      <c r="L380" s="22" t="s">
        <v>204</v>
      </c>
      <c r="M380" s="22" t="s">
        <v>205</v>
      </c>
    </row>
    <row r="381" customFormat="false" ht="15" hidden="false" customHeight="false" outlineLevel="0" collapsed="false">
      <c r="A381" s="22" t="s">
        <v>1326</v>
      </c>
      <c r="B381" s="22" t="s">
        <v>1327</v>
      </c>
      <c r="C381" s="22" t="s">
        <v>15</v>
      </c>
      <c r="D381" s="22" t="s">
        <v>60</v>
      </c>
      <c r="E381" s="22" t="s">
        <v>1328</v>
      </c>
      <c r="F381" s="23" t="n">
        <v>24657.03</v>
      </c>
      <c r="G381" s="24" t="n">
        <v>1.198</v>
      </c>
      <c r="H381" s="24" t="n">
        <v>0.9641</v>
      </c>
      <c r="I381" s="22" t="s">
        <v>203</v>
      </c>
      <c r="J381" s="22"/>
      <c r="K381" s="23" t="n">
        <v>37685.56</v>
      </c>
      <c r="L381" s="22" t="s">
        <v>204</v>
      </c>
      <c r="M381" s="22" t="s">
        <v>205</v>
      </c>
    </row>
    <row r="382" customFormat="false" ht="15" hidden="false" customHeight="false" outlineLevel="0" collapsed="false">
      <c r="A382" s="22" t="s">
        <v>1329</v>
      </c>
      <c r="B382" s="22" t="s">
        <v>1330</v>
      </c>
      <c r="C382" s="22" t="s">
        <v>19</v>
      </c>
      <c r="D382" s="22" t="s">
        <v>61</v>
      </c>
      <c r="E382" s="22" t="s">
        <v>1331</v>
      </c>
      <c r="F382" s="23" t="n">
        <v>3665.56</v>
      </c>
      <c r="G382" s="24" t="n">
        <v>1.0775</v>
      </c>
      <c r="H382" s="24" t="n">
        <v>0.478</v>
      </c>
      <c r="I382" s="22" t="s">
        <v>203</v>
      </c>
      <c r="J382" s="22"/>
      <c r="K382" s="23" t="n">
        <v>2521.63</v>
      </c>
      <c r="L382" s="22" t="s">
        <v>204</v>
      </c>
      <c r="M382" s="22" t="s">
        <v>205</v>
      </c>
    </row>
    <row r="383" customFormat="false" ht="15" hidden="false" customHeight="false" outlineLevel="0" collapsed="false">
      <c r="A383" s="22" t="s">
        <v>1332</v>
      </c>
      <c r="B383" s="22" t="s">
        <v>1333</v>
      </c>
      <c r="C383" s="22" t="s">
        <v>15</v>
      </c>
      <c r="D383" s="22" t="s">
        <v>58</v>
      </c>
      <c r="E383" s="22" t="s">
        <v>1334</v>
      </c>
      <c r="F383" s="23" t="n">
        <v>19034.55</v>
      </c>
      <c r="G383" s="24" t="n">
        <v>1.0932</v>
      </c>
      <c r="H383" s="24" t="n">
        <v>0.1477</v>
      </c>
      <c r="I383" s="22" t="s">
        <v>203</v>
      </c>
      <c r="J383" s="22"/>
      <c r="K383" s="23" t="n">
        <v>4067.04</v>
      </c>
      <c r="L383" s="22" t="s">
        <v>204</v>
      </c>
      <c r="M383" s="22" t="s">
        <v>205</v>
      </c>
    </row>
    <row r="384" customFormat="false" ht="15" hidden="false" customHeight="false" outlineLevel="0" collapsed="false">
      <c r="A384" s="22" t="s">
        <v>1335</v>
      </c>
      <c r="B384" s="22" t="s">
        <v>1336</v>
      </c>
      <c r="C384" s="22" t="s">
        <v>17</v>
      </c>
      <c r="D384" s="22" t="s">
        <v>59</v>
      </c>
      <c r="E384" s="22" t="s">
        <v>1337</v>
      </c>
      <c r="F384" s="23" t="n">
        <v>155564.66</v>
      </c>
      <c r="G384" s="24" t="n">
        <v>1.0268</v>
      </c>
      <c r="H384" s="24" t="n">
        <v>0.6</v>
      </c>
      <c r="I384" s="22" t="s">
        <v>203</v>
      </c>
      <c r="J384" s="22"/>
      <c r="K384" s="23" t="n">
        <v>127034.81</v>
      </c>
      <c r="L384" s="22" t="s">
        <v>204</v>
      </c>
      <c r="M384" s="22" t="s">
        <v>205</v>
      </c>
    </row>
    <row r="385" customFormat="false" ht="15" hidden="false" customHeight="false" outlineLevel="0" collapsed="false">
      <c r="A385" s="22" t="s">
        <v>1338</v>
      </c>
      <c r="B385" s="22" t="s">
        <v>1339</v>
      </c>
      <c r="C385" s="22" t="s">
        <v>15</v>
      </c>
      <c r="D385" s="22" t="s">
        <v>61</v>
      </c>
      <c r="E385" s="22" t="s">
        <v>1340</v>
      </c>
      <c r="F385" s="23" t="n">
        <v>4830.1</v>
      </c>
      <c r="G385" s="24" t="n">
        <v>1.2567</v>
      </c>
      <c r="H385" s="24" t="n">
        <v>0.6247</v>
      </c>
      <c r="I385" s="22" t="s">
        <v>203</v>
      </c>
      <c r="J385" s="22"/>
      <c r="K385" s="23" t="n">
        <v>5017.81</v>
      </c>
      <c r="L385" s="22" t="s">
        <v>204</v>
      </c>
      <c r="M385" s="22" t="s">
        <v>205</v>
      </c>
    </row>
    <row r="386" customFormat="false" ht="15" hidden="false" customHeight="false" outlineLevel="0" collapsed="false">
      <c r="A386" s="22" t="s">
        <v>1341</v>
      </c>
      <c r="B386" s="22" t="s">
        <v>1342</v>
      </c>
      <c r="C386" s="22" t="s">
        <v>15</v>
      </c>
      <c r="D386" s="22" t="s">
        <v>58</v>
      </c>
      <c r="E386" s="22" t="s">
        <v>1343</v>
      </c>
      <c r="F386" s="23" t="n">
        <v>51933.23</v>
      </c>
      <c r="G386" s="24" t="n">
        <v>1.1285</v>
      </c>
      <c r="H386" s="24" t="n">
        <v>0.9512</v>
      </c>
      <c r="I386" s="22" t="s">
        <v>203</v>
      </c>
      <c r="J386" s="22"/>
      <c r="K386" s="23" t="n">
        <v>73769.02</v>
      </c>
      <c r="L386" s="22" t="s">
        <v>204</v>
      </c>
      <c r="M386" s="22" t="s">
        <v>205</v>
      </c>
    </row>
    <row r="387" customFormat="false" ht="15" hidden="false" customHeight="false" outlineLevel="0" collapsed="false">
      <c r="A387" s="22" t="s">
        <v>1344</v>
      </c>
      <c r="B387" s="22" t="s">
        <v>1345</v>
      </c>
      <c r="C387" s="22" t="s">
        <v>19</v>
      </c>
      <c r="D387" s="22" t="s">
        <v>58</v>
      </c>
      <c r="E387" s="22" t="s">
        <v>1346</v>
      </c>
      <c r="F387" s="23" t="n">
        <v>28424.98</v>
      </c>
      <c r="G387" s="24" t="n">
        <v>1.2513</v>
      </c>
      <c r="H387" s="24" t="n">
        <v>0.3091</v>
      </c>
      <c r="I387" s="22" t="s">
        <v>203</v>
      </c>
      <c r="J387" s="22"/>
      <c r="K387" s="23" t="n">
        <v>14684.43</v>
      </c>
      <c r="L387" s="22" t="s">
        <v>204</v>
      </c>
      <c r="M387" s="22" t="s">
        <v>205</v>
      </c>
    </row>
    <row r="388" customFormat="false" ht="15" hidden="false" customHeight="false" outlineLevel="0" collapsed="false">
      <c r="A388" s="22" t="s">
        <v>1347</v>
      </c>
      <c r="B388" s="22" t="s">
        <v>1348</v>
      </c>
      <c r="C388" s="22" t="s">
        <v>15</v>
      </c>
      <c r="D388" s="22" t="s">
        <v>60</v>
      </c>
      <c r="E388" s="22" t="s">
        <v>1349</v>
      </c>
      <c r="F388" s="23" t="n">
        <v>29879.28</v>
      </c>
      <c r="G388" s="24" t="n">
        <v>1.2423</v>
      </c>
      <c r="H388" s="24" t="n">
        <v>0.0487</v>
      </c>
      <c r="I388" s="22" t="s">
        <v>203</v>
      </c>
      <c r="J388" s="22"/>
      <c r="K388" s="23" t="n">
        <v>2392.11</v>
      </c>
      <c r="L388" s="22" t="s">
        <v>204</v>
      </c>
      <c r="M388" s="22" t="s">
        <v>205</v>
      </c>
    </row>
    <row r="389" customFormat="false" ht="15" hidden="false" customHeight="false" outlineLevel="0" collapsed="false">
      <c r="A389" s="22" t="s">
        <v>1350</v>
      </c>
      <c r="B389" s="22" t="s">
        <v>1351</v>
      </c>
      <c r="C389" s="22" t="s">
        <v>17</v>
      </c>
      <c r="D389" s="22" t="s">
        <v>58</v>
      </c>
      <c r="E389" s="22" t="s">
        <v>1352</v>
      </c>
      <c r="F389" s="23" t="n">
        <v>24413.48</v>
      </c>
      <c r="G389" s="24" t="n">
        <v>1.2118</v>
      </c>
      <c r="H389" s="24" t="n">
        <v>0.6745</v>
      </c>
      <c r="I389" s="22" t="s">
        <v>203</v>
      </c>
      <c r="J389" s="22"/>
      <c r="K389" s="23" t="n">
        <v>26449.49</v>
      </c>
      <c r="L389" s="22" t="s">
        <v>204</v>
      </c>
      <c r="M389" s="22" t="s">
        <v>205</v>
      </c>
    </row>
    <row r="390" customFormat="false" ht="15" hidden="false" customHeight="false" outlineLevel="0" collapsed="false">
      <c r="A390" s="22" t="s">
        <v>1353</v>
      </c>
      <c r="B390" s="22" t="s">
        <v>1354</v>
      </c>
      <c r="C390" s="22" t="s">
        <v>17</v>
      </c>
      <c r="D390" s="22" t="s">
        <v>61</v>
      </c>
      <c r="E390" s="22" t="s">
        <v>1355</v>
      </c>
      <c r="F390" s="23" t="n">
        <v>8460.63</v>
      </c>
      <c r="G390" s="24" t="n">
        <v>1.2606</v>
      </c>
      <c r="H390" s="24" t="n">
        <v>0.8923</v>
      </c>
      <c r="I390" s="22" t="s">
        <v>203</v>
      </c>
      <c r="J390" s="22"/>
      <c r="K390" s="23" t="n">
        <v>12614.37</v>
      </c>
      <c r="L390" s="22" t="s">
        <v>204</v>
      </c>
      <c r="M390" s="22" t="s">
        <v>205</v>
      </c>
    </row>
    <row r="391" customFormat="false" ht="15" hidden="false" customHeight="false" outlineLevel="0" collapsed="false">
      <c r="A391" s="22" t="s">
        <v>1356</v>
      </c>
      <c r="B391" s="22" t="s">
        <v>1357</v>
      </c>
      <c r="C391" s="22" t="s">
        <v>19</v>
      </c>
      <c r="D391" s="22" t="s">
        <v>58</v>
      </c>
      <c r="E391" s="22" t="s">
        <v>1358</v>
      </c>
      <c r="F391" s="23" t="n">
        <v>44792.94</v>
      </c>
      <c r="G391" s="24" t="n">
        <v>1.1529</v>
      </c>
      <c r="H391" s="24" t="n">
        <v>0.0255</v>
      </c>
      <c r="I391" s="22" t="s">
        <v>203</v>
      </c>
      <c r="J391" s="22"/>
      <c r="K391" s="23" t="n">
        <v>1758.89</v>
      </c>
      <c r="L391" s="22" t="s">
        <v>204</v>
      </c>
      <c r="M391" s="22" t="s">
        <v>205</v>
      </c>
    </row>
    <row r="392" customFormat="false" ht="15" hidden="false" customHeight="false" outlineLevel="0" collapsed="false">
      <c r="A392" s="22" t="s">
        <v>1359</v>
      </c>
      <c r="B392" s="22" t="s">
        <v>1360</v>
      </c>
      <c r="C392" s="22" t="s">
        <v>17</v>
      </c>
      <c r="D392" s="22" t="s">
        <v>60</v>
      </c>
      <c r="E392" s="22" t="s">
        <v>1361</v>
      </c>
      <c r="F392" s="23" t="n">
        <v>30547.92</v>
      </c>
      <c r="G392" s="24" t="n">
        <v>1.1935</v>
      </c>
      <c r="H392" s="24" t="n">
        <v>0.1037</v>
      </c>
      <c r="I392" s="22" t="s">
        <v>203</v>
      </c>
      <c r="J392" s="22"/>
      <c r="K392" s="23" t="n">
        <v>5011.38</v>
      </c>
      <c r="L392" s="22" t="s">
        <v>204</v>
      </c>
      <c r="M392" s="22" t="s">
        <v>205</v>
      </c>
    </row>
    <row r="393" customFormat="false" ht="15" hidden="false" customHeight="false" outlineLevel="0" collapsed="false">
      <c r="A393" s="22" t="s">
        <v>1362</v>
      </c>
      <c r="B393" s="22" t="s">
        <v>1363</v>
      </c>
      <c r="C393" s="22" t="s">
        <v>19</v>
      </c>
      <c r="D393" s="22" t="s">
        <v>60</v>
      </c>
      <c r="E393" s="22" t="s">
        <v>1364</v>
      </c>
      <c r="F393" s="23" t="n">
        <v>32342.46</v>
      </c>
      <c r="G393" s="24" t="n">
        <v>1.1254</v>
      </c>
      <c r="H393" s="24" t="n">
        <v>0.1105</v>
      </c>
      <c r="I393" s="22" t="s">
        <v>203</v>
      </c>
      <c r="J393" s="22"/>
      <c r="K393" s="23" t="n">
        <v>5372.03</v>
      </c>
      <c r="L393" s="22" t="s">
        <v>204</v>
      </c>
      <c r="M393" s="22" t="s">
        <v>205</v>
      </c>
    </row>
    <row r="394" customFormat="false" ht="15" hidden="false" customHeight="false" outlineLevel="0" collapsed="false">
      <c r="A394" s="22" t="s">
        <v>1365</v>
      </c>
      <c r="B394" s="22" t="s">
        <v>1366</v>
      </c>
      <c r="C394" s="22" t="s">
        <v>17</v>
      </c>
      <c r="D394" s="22" t="s">
        <v>60</v>
      </c>
      <c r="E394" s="22" t="s">
        <v>1367</v>
      </c>
      <c r="F394" s="23" t="n">
        <v>31890.11</v>
      </c>
      <c r="G394" s="24" t="n">
        <v>1.2454</v>
      </c>
      <c r="H394" s="24" t="n">
        <v>0.5414</v>
      </c>
      <c r="I394" s="22" t="s">
        <v>203</v>
      </c>
      <c r="J394" s="22"/>
      <c r="K394" s="23" t="n">
        <v>28500.85</v>
      </c>
      <c r="L394" s="22" t="s">
        <v>204</v>
      </c>
      <c r="M394" s="22" t="s">
        <v>205</v>
      </c>
    </row>
    <row r="395" customFormat="false" ht="15" hidden="false" customHeight="false" outlineLevel="0" collapsed="false">
      <c r="A395" s="22" t="s">
        <v>1368</v>
      </c>
      <c r="B395" s="22" t="s">
        <v>1369</v>
      </c>
      <c r="C395" s="22" t="s">
        <v>15</v>
      </c>
      <c r="D395" s="22" t="s">
        <v>60</v>
      </c>
      <c r="E395" s="22" t="s">
        <v>1370</v>
      </c>
      <c r="F395" s="23" t="n">
        <v>26133.79</v>
      </c>
      <c r="G395" s="24" t="n">
        <v>1.2021</v>
      </c>
      <c r="H395" s="24" t="n">
        <v>0.8468</v>
      </c>
      <c r="I395" s="22" t="s">
        <v>203</v>
      </c>
      <c r="J395" s="22"/>
      <c r="K395" s="23" t="n">
        <v>35202.95</v>
      </c>
      <c r="L395" s="22" t="s">
        <v>204</v>
      </c>
      <c r="M395" s="22" t="s">
        <v>205</v>
      </c>
    </row>
    <row r="396" customFormat="false" ht="15" hidden="false" customHeight="false" outlineLevel="0" collapsed="false">
      <c r="A396" s="22" t="s">
        <v>1371</v>
      </c>
      <c r="B396" s="22" t="s">
        <v>1372</v>
      </c>
      <c r="C396" s="22" t="s">
        <v>17</v>
      </c>
      <c r="D396" s="22" t="s">
        <v>61</v>
      </c>
      <c r="E396" s="22" t="s">
        <v>1373</v>
      </c>
      <c r="F396" s="23" t="n">
        <v>2781.42</v>
      </c>
      <c r="G396" s="24" t="n">
        <v>1.177</v>
      </c>
      <c r="H396" s="24" t="n">
        <v>0.609</v>
      </c>
      <c r="I396" s="22" t="s">
        <v>203</v>
      </c>
      <c r="J396" s="22"/>
      <c r="K396" s="23" t="n">
        <v>2642.62</v>
      </c>
      <c r="L396" s="22" t="s">
        <v>204</v>
      </c>
      <c r="M396" s="22" t="s">
        <v>205</v>
      </c>
    </row>
    <row r="397" customFormat="false" ht="15" hidden="false" customHeight="false" outlineLevel="0" collapsed="false">
      <c r="A397" s="22" t="s">
        <v>1374</v>
      </c>
      <c r="B397" s="22" t="s">
        <v>1375</v>
      </c>
      <c r="C397" s="22" t="s">
        <v>17</v>
      </c>
      <c r="D397" s="22" t="s">
        <v>58</v>
      </c>
      <c r="E397" s="22" t="s">
        <v>1376</v>
      </c>
      <c r="F397" s="23" t="n">
        <v>26304.52</v>
      </c>
      <c r="G397" s="24" t="n">
        <v>1.2829</v>
      </c>
      <c r="H397" s="24" t="n">
        <v>0.9271</v>
      </c>
      <c r="I397" s="22" t="s">
        <v>203</v>
      </c>
      <c r="J397" s="22"/>
      <c r="K397" s="23" t="n">
        <v>41469.09</v>
      </c>
      <c r="L397" s="22" t="s">
        <v>204</v>
      </c>
      <c r="M397" s="22" t="s">
        <v>205</v>
      </c>
    </row>
    <row r="398" customFormat="false" ht="15" hidden="false" customHeight="false" outlineLevel="0" collapsed="false">
      <c r="A398" s="22" t="s">
        <v>1377</v>
      </c>
      <c r="B398" s="22" t="s">
        <v>1378</v>
      </c>
      <c r="C398" s="22" t="s">
        <v>17</v>
      </c>
      <c r="D398" s="22" t="s">
        <v>60</v>
      </c>
      <c r="E398" s="22" t="s">
        <v>1379</v>
      </c>
      <c r="F398" s="23" t="n">
        <v>23960.39</v>
      </c>
      <c r="G398" s="24" t="n">
        <v>1.1359</v>
      </c>
      <c r="H398" s="24" t="n">
        <v>0.5988</v>
      </c>
      <c r="I398" s="22" t="s">
        <v>203</v>
      </c>
      <c r="J398" s="22"/>
      <c r="K398" s="23" t="n">
        <v>21601.83</v>
      </c>
      <c r="L398" s="22" t="s">
        <v>204</v>
      </c>
      <c r="M398" s="22" t="s">
        <v>205</v>
      </c>
    </row>
    <row r="399" customFormat="false" ht="15" hidden="false" customHeight="false" outlineLevel="0" collapsed="false">
      <c r="A399" s="22" t="s">
        <v>1380</v>
      </c>
      <c r="B399" s="22" t="s">
        <v>1381</v>
      </c>
      <c r="C399" s="22" t="s">
        <v>17</v>
      </c>
      <c r="D399" s="22" t="s">
        <v>60</v>
      </c>
      <c r="E399" s="22" t="s">
        <v>1382</v>
      </c>
      <c r="F399" s="23" t="n">
        <v>18870.25</v>
      </c>
      <c r="G399" s="24" t="n">
        <v>1.0976</v>
      </c>
      <c r="H399" s="24" t="n">
        <v>0.5904</v>
      </c>
      <c r="I399" s="22" t="s">
        <v>203</v>
      </c>
      <c r="J399" s="22"/>
      <c r="K399" s="23" t="n">
        <v>16208.5</v>
      </c>
      <c r="L399" s="22" t="s">
        <v>204</v>
      </c>
      <c r="M399" s="22" t="s">
        <v>205</v>
      </c>
    </row>
    <row r="400" customFormat="false" ht="15" hidden="false" customHeight="false" outlineLevel="0" collapsed="false">
      <c r="A400" s="22" t="s">
        <v>1383</v>
      </c>
      <c r="B400" s="22" t="s">
        <v>1384</v>
      </c>
      <c r="C400" s="22" t="s">
        <v>17</v>
      </c>
      <c r="D400" s="22" t="s">
        <v>61</v>
      </c>
      <c r="E400" s="22" t="s">
        <v>1385</v>
      </c>
      <c r="F400" s="23" t="n">
        <v>2421.18</v>
      </c>
      <c r="G400" s="24" t="n">
        <v>1.1953</v>
      </c>
      <c r="H400" s="24" t="n">
        <v>0.2767</v>
      </c>
      <c r="I400" s="22" t="s">
        <v>203</v>
      </c>
      <c r="J400" s="22"/>
      <c r="K400" s="23" t="n">
        <v>1061.42</v>
      </c>
      <c r="L400" s="22" t="s">
        <v>204</v>
      </c>
      <c r="M400" s="22" t="s">
        <v>205</v>
      </c>
    </row>
    <row r="401" customFormat="false" ht="15" hidden="false" customHeight="false" outlineLevel="0" collapsed="false">
      <c r="A401" s="22" t="s">
        <v>1386</v>
      </c>
      <c r="B401" s="22" t="s">
        <v>1387</v>
      </c>
      <c r="C401" s="22" t="s">
        <v>17</v>
      </c>
      <c r="D401" s="22" t="s">
        <v>60</v>
      </c>
      <c r="E401" s="22" t="s">
        <v>1388</v>
      </c>
      <c r="F401" s="23" t="n">
        <v>20256.05</v>
      </c>
      <c r="G401" s="24" t="n">
        <v>1.0446</v>
      </c>
      <c r="H401" s="24" t="n">
        <v>0.01</v>
      </c>
      <c r="I401" s="22" t="s">
        <v>203</v>
      </c>
      <c r="J401" s="22"/>
      <c r="K401" s="23" t="n">
        <v>280.47</v>
      </c>
      <c r="L401" s="22" t="s">
        <v>204</v>
      </c>
      <c r="M401" s="22" t="s">
        <v>205</v>
      </c>
    </row>
    <row r="402" customFormat="false" ht="15" hidden="false" customHeight="false" outlineLevel="0" collapsed="false">
      <c r="A402" s="22" t="s">
        <v>1389</v>
      </c>
      <c r="B402" s="22" t="s">
        <v>1390</v>
      </c>
      <c r="C402" s="22" t="s">
        <v>19</v>
      </c>
      <c r="D402" s="22" t="s">
        <v>58</v>
      </c>
      <c r="E402" s="22" t="s">
        <v>1391</v>
      </c>
      <c r="F402" s="23" t="n">
        <v>85035.36</v>
      </c>
      <c r="G402" s="24" t="n">
        <v>1.03</v>
      </c>
      <c r="H402" s="24" t="n">
        <v>0.6928</v>
      </c>
      <c r="I402" s="22" t="s">
        <v>203</v>
      </c>
      <c r="J402" s="22"/>
      <c r="K402" s="23" t="n">
        <v>81047.8</v>
      </c>
      <c r="L402" s="22" t="s">
        <v>204</v>
      </c>
      <c r="M402" s="22" t="s">
        <v>205</v>
      </c>
    </row>
    <row r="403" customFormat="false" ht="15" hidden="false" customHeight="false" outlineLevel="0" collapsed="false">
      <c r="A403" s="22" t="s">
        <v>1392</v>
      </c>
      <c r="B403" s="22" t="s">
        <v>1393</v>
      </c>
      <c r="C403" s="22" t="s">
        <v>15</v>
      </c>
      <c r="D403" s="22" t="s">
        <v>60</v>
      </c>
      <c r="E403" s="22" t="s">
        <v>1394</v>
      </c>
      <c r="F403" s="23" t="n">
        <v>23470.06</v>
      </c>
      <c r="G403" s="24" t="n">
        <v>1.1573</v>
      </c>
      <c r="H403" s="24" t="n">
        <v>0.6387</v>
      </c>
      <c r="I403" s="22" t="s">
        <v>203</v>
      </c>
      <c r="J403" s="22"/>
      <c r="K403" s="23" t="n">
        <v>22956.85</v>
      </c>
      <c r="L403" s="22" t="s">
        <v>204</v>
      </c>
      <c r="M403" s="22" t="s">
        <v>205</v>
      </c>
    </row>
    <row r="404" customFormat="false" ht="15" hidden="false" customHeight="false" outlineLevel="0" collapsed="false">
      <c r="A404" s="22" t="s">
        <v>1395</v>
      </c>
      <c r="B404" s="22" t="s">
        <v>1396</v>
      </c>
      <c r="C404" s="22" t="s">
        <v>17</v>
      </c>
      <c r="D404" s="22" t="s">
        <v>60</v>
      </c>
      <c r="E404" s="22" t="s">
        <v>1397</v>
      </c>
      <c r="F404" s="23" t="n">
        <v>22435.04</v>
      </c>
      <c r="G404" s="24" t="n">
        <v>1.2101</v>
      </c>
      <c r="H404" s="24" t="n">
        <v>0.6614</v>
      </c>
      <c r="I404" s="22" t="s">
        <v>203</v>
      </c>
      <c r="J404" s="22"/>
      <c r="K404" s="23" t="n">
        <v>23800.55</v>
      </c>
      <c r="L404" s="22" t="s">
        <v>204</v>
      </c>
      <c r="M404" s="22" t="s">
        <v>205</v>
      </c>
    </row>
    <row r="405" customFormat="false" ht="15" hidden="false" customHeight="false" outlineLevel="0" collapsed="false">
      <c r="A405" s="22" t="s">
        <v>1398</v>
      </c>
      <c r="B405" s="22" t="s">
        <v>1399</v>
      </c>
      <c r="C405" s="22" t="s">
        <v>15</v>
      </c>
      <c r="D405" s="22" t="s">
        <v>61</v>
      </c>
      <c r="E405" s="22" t="s">
        <v>1400</v>
      </c>
      <c r="F405" s="23" t="n">
        <v>6333.2</v>
      </c>
      <c r="G405" s="24" t="n">
        <v>1.1705</v>
      </c>
      <c r="H405" s="24" t="n">
        <v>0.3225</v>
      </c>
      <c r="I405" s="22" t="s">
        <v>203</v>
      </c>
      <c r="J405" s="22"/>
      <c r="K405" s="23" t="n">
        <v>3163.59</v>
      </c>
      <c r="L405" s="22" t="s">
        <v>204</v>
      </c>
      <c r="M405" s="22" t="s">
        <v>205</v>
      </c>
    </row>
    <row r="406" customFormat="false" ht="15" hidden="false" customHeight="false" outlineLevel="0" collapsed="false">
      <c r="A406" s="22" t="s">
        <v>1401</v>
      </c>
      <c r="B406" s="22" t="s">
        <v>1402</v>
      </c>
      <c r="C406" s="22" t="s">
        <v>19</v>
      </c>
      <c r="D406" s="22" t="s">
        <v>61</v>
      </c>
      <c r="E406" s="22" t="s">
        <v>1403</v>
      </c>
      <c r="F406" s="23" t="n">
        <v>8960.38</v>
      </c>
      <c r="G406" s="24" t="n">
        <v>1.1515</v>
      </c>
      <c r="H406" s="24" t="n">
        <v>0.4957</v>
      </c>
      <c r="I406" s="22" t="s">
        <v>203</v>
      </c>
      <c r="J406" s="22"/>
      <c r="K406" s="23" t="n">
        <v>6831.34</v>
      </c>
      <c r="L406" s="22" t="s">
        <v>204</v>
      </c>
      <c r="M406" s="22" t="s">
        <v>205</v>
      </c>
    </row>
    <row r="407" customFormat="false" ht="15" hidden="false" customHeight="false" outlineLevel="0" collapsed="false">
      <c r="A407" s="22" t="s">
        <v>1404</v>
      </c>
      <c r="B407" s="22" t="s">
        <v>1405</v>
      </c>
      <c r="C407" s="22" t="s">
        <v>17</v>
      </c>
      <c r="D407" s="22" t="s">
        <v>58</v>
      </c>
      <c r="E407" s="22" t="s">
        <v>1406</v>
      </c>
      <c r="F407" s="23" t="n">
        <v>79997.2</v>
      </c>
      <c r="G407" s="24" t="n">
        <v>1.1665</v>
      </c>
      <c r="H407" s="24" t="n">
        <v>0.0502</v>
      </c>
      <c r="I407" s="22" t="s">
        <v>203</v>
      </c>
      <c r="J407" s="22"/>
      <c r="K407" s="23" t="n">
        <v>6209.23</v>
      </c>
      <c r="L407" s="22" t="s">
        <v>204</v>
      </c>
      <c r="M407" s="22" t="s">
        <v>205</v>
      </c>
    </row>
    <row r="408" customFormat="false" ht="15" hidden="false" customHeight="false" outlineLevel="0" collapsed="false">
      <c r="A408" s="22" t="s">
        <v>1407</v>
      </c>
      <c r="B408" s="22" t="s">
        <v>1408</v>
      </c>
      <c r="C408" s="22" t="s">
        <v>17</v>
      </c>
      <c r="D408" s="22" t="s">
        <v>60</v>
      </c>
      <c r="E408" s="22" t="s">
        <v>1409</v>
      </c>
      <c r="F408" s="23" t="n">
        <v>19645.42</v>
      </c>
      <c r="G408" s="24" t="n">
        <v>1.1572</v>
      </c>
      <c r="H408" s="24" t="n">
        <v>0.481</v>
      </c>
      <c r="I408" s="22" t="s">
        <v>203</v>
      </c>
      <c r="J408" s="22"/>
      <c r="K408" s="23" t="n">
        <v>14494.04</v>
      </c>
      <c r="L408" s="22" t="s">
        <v>204</v>
      </c>
      <c r="M408" s="22" t="s">
        <v>205</v>
      </c>
    </row>
    <row r="409" customFormat="false" ht="15" hidden="false" customHeight="false" outlineLevel="0" collapsed="false">
      <c r="A409" s="22" t="s">
        <v>1410</v>
      </c>
      <c r="B409" s="22" t="s">
        <v>1411</v>
      </c>
      <c r="C409" s="22" t="s">
        <v>15</v>
      </c>
      <c r="D409" s="22" t="s">
        <v>58</v>
      </c>
      <c r="E409" s="22" t="s">
        <v>1412</v>
      </c>
      <c r="F409" s="23" t="n">
        <v>46377.15</v>
      </c>
      <c r="G409" s="24" t="n">
        <v>1.2731</v>
      </c>
      <c r="H409" s="24" t="n">
        <v>0.8428</v>
      </c>
      <c r="I409" s="22" t="s">
        <v>203</v>
      </c>
      <c r="J409" s="22"/>
      <c r="K409" s="23" t="n">
        <v>65848.57</v>
      </c>
      <c r="L409" s="22" t="s">
        <v>204</v>
      </c>
      <c r="M409" s="22" t="s">
        <v>205</v>
      </c>
    </row>
    <row r="410" customFormat="false" ht="15" hidden="false" customHeight="false" outlineLevel="0" collapsed="false">
      <c r="A410" s="22" t="s">
        <v>1413</v>
      </c>
      <c r="B410" s="22" t="s">
        <v>1414</v>
      </c>
      <c r="C410" s="22" t="s">
        <v>17</v>
      </c>
      <c r="D410" s="22" t="s">
        <v>58</v>
      </c>
      <c r="E410" s="22" t="s">
        <v>1415</v>
      </c>
      <c r="F410" s="23" t="n">
        <v>31682.04</v>
      </c>
      <c r="G410" s="24" t="n">
        <v>1.2963</v>
      </c>
      <c r="H410" s="24" t="n">
        <v>0.571</v>
      </c>
      <c r="I410" s="22" t="s">
        <v>203</v>
      </c>
      <c r="J410" s="22"/>
      <c r="K410" s="23" t="n">
        <v>31083.47</v>
      </c>
      <c r="L410" s="22" t="s">
        <v>204</v>
      </c>
      <c r="M410" s="22" t="s">
        <v>205</v>
      </c>
    </row>
    <row r="411" customFormat="false" ht="15" hidden="false" customHeight="false" outlineLevel="0" collapsed="false">
      <c r="A411" s="22" t="s">
        <v>1416</v>
      </c>
      <c r="B411" s="22" t="s">
        <v>1417</v>
      </c>
      <c r="C411" s="22" t="s">
        <v>15</v>
      </c>
      <c r="D411" s="22" t="s">
        <v>61</v>
      </c>
      <c r="E411" s="22" t="s">
        <v>1418</v>
      </c>
      <c r="F411" s="23" t="n">
        <v>8627.78</v>
      </c>
      <c r="G411" s="24" t="n">
        <v>1.0476</v>
      </c>
      <c r="H411" s="24" t="n">
        <v>0.507</v>
      </c>
      <c r="I411" s="22" t="s">
        <v>203</v>
      </c>
      <c r="J411" s="22"/>
      <c r="K411" s="23" t="n">
        <v>6063.98</v>
      </c>
      <c r="L411" s="22" t="s">
        <v>204</v>
      </c>
      <c r="M411" s="22" t="s">
        <v>205</v>
      </c>
    </row>
    <row r="412" customFormat="false" ht="15" hidden="false" customHeight="false" outlineLevel="0" collapsed="false">
      <c r="A412" s="22" t="s">
        <v>1419</v>
      </c>
      <c r="B412" s="22" t="s">
        <v>1420</v>
      </c>
      <c r="C412" s="22" t="s">
        <v>17</v>
      </c>
      <c r="D412" s="22" t="s">
        <v>60</v>
      </c>
      <c r="E412" s="22" t="s">
        <v>1421</v>
      </c>
      <c r="F412" s="23" t="n">
        <v>22442.33</v>
      </c>
      <c r="G412" s="24" t="n">
        <v>1.1248</v>
      </c>
      <c r="H412" s="24" t="n">
        <v>0.4227</v>
      </c>
      <c r="I412" s="22" t="s">
        <v>203</v>
      </c>
      <c r="J412" s="22"/>
      <c r="K412" s="23" t="n">
        <v>14143.28</v>
      </c>
      <c r="L412" s="22" t="s">
        <v>204</v>
      </c>
      <c r="M412" s="22" t="s">
        <v>205</v>
      </c>
    </row>
    <row r="413" customFormat="false" ht="15" hidden="false" customHeight="false" outlineLevel="0" collapsed="false">
      <c r="A413" s="22" t="s">
        <v>1422</v>
      </c>
      <c r="B413" s="22" t="s">
        <v>1423</v>
      </c>
      <c r="C413" s="22" t="s">
        <v>15</v>
      </c>
      <c r="D413" s="22" t="s">
        <v>59</v>
      </c>
      <c r="E413" s="22" t="s">
        <v>1424</v>
      </c>
      <c r="F413" s="23" t="n">
        <v>86753.7</v>
      </c>
      <c r="G413" s="24" t="n">
        <v>1.0003</v>
      </c>
      <c r="H413" s="24" t="n">
        <v>0.7458</v>
      </c>
      <c r="I413" s="22" t="s">
        <v>203</v>
      </c>
      <c r="J413" s="22"/>
      <c r="K413" s="23" t="n">
        <v>85643.8</v>
      </c>
      <c r="L413" s="22" t="s">
        <v>204</v>
      </c>
      <c r="M413" s="22" t="s">
        <v>205</v>
      </c>
    </row>
    <row r="414" customFormat="false" ht="15" hidden="false" customHeight="false" outlineLevel="0" collapsed="false">
      <c r="A414" s="22" t="s">
        <v>1425</v>
      </c>
      <c r="B414" s="22" t="s">
        <v>1426</v>
      </c>
      <c r="C414" s="22" t="s">
        <v>15</v>
      </c>
      <c r="D414" s="22" t="s">
        <v>61</v>
      </c>
      <c r="E414" s="22" t="s">
        <v>1427</v>
      </c>
      <c r="F414" s="23" t="n">
        <v>8692.81</v>
      </c>
      <c r="G414" s="24" t="n">
        <v>1.0219</v>
      </c>
      <c r="H414" s="24" t="n">
        <v>0.829</v>
      </c>
      <c r="I414" s="22" t="s">
        <v>203</v>
      </c>
      <c r="J414" s="22"/>
      <c r="K414" s="23" t="n">
        <v>9744.92</v>
      </c>
      <c r="L414" s="22" t="s">
        <v>204</v>
      </c>
      <c r="M414" s="22" t="s">
        <v>205</v>
      </c>
    </row>
    <row r="415" customFormat="false" ht="15" hidden="false" customHeight="false" outlineLevel="0" collapsed="false">
      <c r="A415" s="22" t="s">
        <v>1428</v>
      </c>
      <c r="B415" s="22" t="s">
        <v>1429</v>
      </c>
      <c r="C415" s="22" t="s">
        <v>17</v>
      </c>
      <c r="D415" s="22" t="s">
        <v>61</v>
      </c>
      <c r="E415" s="22" t="s">
        <v>1430</v>
      </c>
      <c r="F415" s="23" t="n">
        <v>6188.14</v>
      </c>
      <c r="G415" s="24" t="n">
        <v>1.1832</v>
      </c>
      <c r="H415" s="24" t="n">
        <v>0.7919</v>
      </c>
      <c r="I415" s="22" t="s">
        <v>203</v>
      </c>
      <c r="J415" s="22"/>
      <c r="K415" s="23" t="n">
        <v>7685.34</v>
      </c>
      <c r="L415" s="22" t="s">
        <v>204</v>
      </c>
      <c r="M415" s="22" t="s">
        <v>205</v>
      </c>
    </row>
    <row r="416" customFormat="false" ht="15" hidden="false" customHeight="false" outlineLevel="0" collapsed="false">
      <c r="A416" s="22" t="s">
        <v>1431</v>
      </c>
      <c r="B416" s="22" t="s">
        <v>1432</v>
      </c>
      <c r="C416" s="22" t="s">
        <v>15</v>
      </c>
      <c r="D416" s="22" t="s">
        <v>61</v>
      </c>
      <c r="E416" s="22" t="s">
        <v>1433</v>
      </c>
      <c r="F416" s="23" t="n">
        <v>6546.21</v>
      </c>
      <c r="G416" s="24" t="n">
        <v>1.2248</v>
      </c>
      <c r="H416" s="24" t="n">
        <v>0.7883</v>
      </c>
      <c r="I416" s="22" t="s">
        <v>203</v>
      </c>
      <c r="J416" s="22"/>
      <c r="K416" s="23" t="n">
        <v>8363.77</v>
      </c>
      <c r="L416" s="22" t="s">
        <v>204</v>
      </c>
      <c r="M416" s="22" t="s">
        <v>205</v>
      </c>
    </row>
    <row r="417" customFormat="false" ht="15" hidden="false" customHeight="false" outlineLevel="0" collapsed="false">
      <c r="A417" s="22" t="s">
        <v>1434</v>
      </c>
      <c r="B417" s="22" t="s">
        <v>1435</v>
      </c>
      <c r="C417" s="22" t="s">
        <v>15</v>
      </c>
      <c r="D417" s="22" t="s">
        <v>58</v>
      </c>
      <c r="E417" s="22" t="s">
        <v>1436</v>
      </c>
      <c r="F417" s="23" t="n">
        <v>80123.8</v>
      </c>
      <c r="G417" s="24" t="n">
        <v>1.1602</v>
      </c>
      <c r="H417" s="24" t="n">
        <v>0.579</v>
      </c>
      <c r="I417" s="22" t="s">
        <v>203</v>
      </c>
      <c r="J417" s="22"/>
      <c r="K417" s="23" t="n">
        <v>71224.31</v>
      </c>
      <c r="L417" s="22" t="s">
        <v>204</v>
      </c>
      <c r="M417" s="22" t="s">
        <v>205</v>
      </c>
    </row>
    <row r="418" customFormat="false" ht="15" hidden="false" customHeight="false" outlineLevel="0" collapsed="false">
      <c r="A418" s="22" t="s">
        <v>1437</v>
      </c>
      <c r="B418" s="22" t="s">
        <v>1438</v>
      </c>
      <c r="C418" s="22" t="s">
        <v>15</v>
      </c>
      <c r="D418" s="22" t="s">
        <v>60</v>
      </c>
      <c r="E418" s="22" t="s">
        <v>1439</v>
      </c>
      <c r="F418" s="23" t="n">
        <v>29467.98</v>
      </c>
      <c r="G418" s="24" t="n">
        <v>1.1315</v>
      </c>
      <c r="H418" s="24" t="n">
        <v>0.4198</v>
      </c>
      <c r="I418" s="22" t="s">
        <v>203</v>
      </c>
      <c r="J418" s="22"/>
      <c r="K418" s="23" t="n">
        <v>18522.63</v>
      </c>
      <c r="L418" s="22" t="s">
        <v>204</v>
      </c>
      <c r="M418" s="22" t="s">
        <v>205</v>
      </c>
    </row>
    <row r="419" customFormat="false" ht="15" hidden="false" customHeight="false" outlineLevel="0" collapsed="false">
      <c r="A419" s="22" t="s">
        <v>1440</v>
      </c>
      <c r="B419" s="22" t="s">
        <v>1441</v>
      </c>
      <c r="C419" s="22" t="s">
        <v>19</v>
      </c>
      <c r="D419" s="22" t="s">
        <v>58</v>
      </c>
      <c r="E419" s="22" t="s">
        <v>1442</v>
      </c>
      <c r="F419" s="23" t="n">
        <v>85432.84</v>
      </c>
      <c r="G419" s="24" t="n">
        <v>1.2848</v>
      </c>
      <c r="H419" s="24" t="n">
        <v>0.9128</v>
      </c>
      <c r="I419" s="22" t="s">
        <v>203</v>
      </c>
      <c r="J419" s="22"/>
      <c r="K419" s="23" t="n">
        <v>133823.55</v>
      </c>
      <c r="L419" s="22" t="s">
        <v>204</v>
      </c>
      <c r="M419" s="22" t="s">
        <v>205</v>
      </c>
    </row>
    <row r="420" customFormat="false" ht="15" hidden="false" customHeight="false" outlineLevel="0" collapsed="false">
      <c r="A420" s="22" t="s">
        <v>1443</v>
      </c>
      <c r="B420" s="22" t="s">
        <v>1444</v>
      </c>
      <c r="C420" s="22" t="s">
        <v>19</v>
      </c>
      <c r="D420" s="22" t="s">
        <v>60</v>
      </c>
      <c r="E420" s="22" t="s">
        <v>1445</v>
      </c>
      <c r="F420" s="23" t="n">
        <v>25658.13</v>
      </c>
      <c r="G420" s="24" t="n">
        <v>1.0973</v>
      </c>
      <c r="H420" s="24" t="n">
        <v>0.8794</v>
      </c>
      <c r="I420" s="22" t="s">
        <v>203</v>
      </c>
      <c r="J420" s="22"/>
      <c r="K420" s="23" t="n">
        <v>33069.94</v>
      </c>
      <c r="L420" s="22" t="s">
        <v>204</v>
      </c>
      <c r="M420" s="22" t="s">
        <v>205</v>
      </c>
    </row>
    <row r="421" customFormat="false" ht="15" hidden="false" customHeight="false" outlineLevel="0" collapsed="false">
      <c r="A421" s="22" t="s">
        <v>1446</v>
      </c>
      <c r="B421" s="22" t="s">
        <v>1447</v>
      </c>
      <c r="C421" s="22" t="s">
        <v>15</v>
      </c>
      <c r="D421" s="22" t="s">
        <v>60</v>
      </c>
      <c r="E421" s="22" t="s">
        <v>1448</v>
      </c>
      <c r="F421" s="23" t="n">
        <v>30143.36</v>
      </c>
      <c r="G421" s="24" t="n">
        <v>1.0687</v>
      </c>
      <c r="H421" s="24" t="n">
        <v>0.9363</v>
      </c>
      <c r="I421" s="22" t="s">
        <v>203</v>
      </c>
      <c r="J421" s="22"/>
      <c r="K421" s="23" t="n">
        <v>39913.31</v>
      </c>
      <c r="L421" s="22" t="s">
        <v>204</v>
      </c>
      <c r="M421" s="22" t="s">
        <v>205</v>
      </c>
    </row>
    <row r="422" customFormat="false" ht="15" hidden="false" customHeight="false" outlineLevel="0" collapsed="false">
      <c r="A422" s="22" t="s">
        <v>1449</v>
      </c>
      <c r="B422" s="22" t="s">
        <v>1450</v>
      </c>
      <c r="C422" s="22" t="s">
        <v>17</v>
      </c>
      <c r="D422" s="22" t="s">
        <v>60</v>
      </c>
      <c r="E422" s="22" t="s">
        <v>1451</v>
      </c>
      <c r="F422" s="23" t="n">
        <v>9599.69</v>
      </c>
      <c r="G422" s="24" t="n">
        <v>1.1744</v>
      </c>
      <c r="H422" s="24" t="n">
        <v>0.9828</v>
      </c>
      <c r="I422" s="22" t="s">
        <v>203</v>
      </c>
      <c r="J422" s="22"/>
      <c r="K422" s="23" t="n">
        <v>14686.32</v>
      </c>
      <c r="L422" s="22" t="s">
        <v>204</v>
      </c>
      <c r="M422" s="22" t="s">
        <v>205</v>
      </c>
    </row>
    <row r="423" customFormat="false" ht="15" hidden="false" customHeight="false" outlineLevel="0" collapsed="false">
      <c r="A423" s="22" t="s">
        <v>1452</v>
      </c>
      <c r="B423" s="22" t="s">
        <v>1453</v>
      </c>
      <c r="C423" s="22" t="s">
        <v>17</v>
      </c>
      <c r="D423" s="22" t="s">
        <v>60</v>
      </c>
      <c r="E423" s="22" t="s">
        <v>1454</v>
      </c>
      <c r="F423" s="23" t="n">
        <v>14094.72</v>
      </c>
      <c r="G423" s="24" t="n">
        <v>1.0574</v>
      </c>
      <c r="H423" s="24" t="n">
        <v>0.6308</v>
      </c>
      <c r="I423" s="22" t="s">
        <v>203</v>
      </c>
      <c r="J423" s="22"/>
      <c r="K423" s="23" t="n">
        <v>12461.27</v>
      </c>
      <c r="L423" s="22" t="s">
        <v>204</v>
      </c>
      <c r="M423" s="22" t="s">
        <v>205</v>
      </c>
    </row>
    <row r="424" customFormat="false" ht="15" hidden="false" customHeight="false" outlineLevel="0" collapsed="false">
      <c r="A424" s="22" t="s">
        <v>1455</v>
      </c>
      <c r="B424" s="22" t="s">
        <v>1456</v>
      </c>
      <c r="C424" s="22" t="s">
        <v>17</v>
      </c>
      <c r="D424" s="22" t="s">
        <v>59</v>
      </c>
      <c r="E424" s="22" t="s">
        <v>1457</v>
      </c>
      <c r="F424" s="23" t="n">
        <v>52870.01</v>
      </c>
      <c r="G424" s="24" t="n">
        <v>1.2894</v>
      </c>
      <c r="H424" s="24" t="n">
        <v>0.909</v>
      </c>
      <c r="I424" s="22" t="s">
        <v>203</v>
      </c>
      <c r="J424" s="22"/>
      <c r="K424" s="23" t="n">
        <v>82136.4</v>
      </c>
      <c r="L424" s="22" t="s">
        <v>204</v>
      </c>
      <c r="M424" s="22" t="s">
        <v>205</v>
      </c>
    </row>
    <row r="425" customFormat="false" ht="15" hidden="false" customHeight="false" outlineLevel="0" collapsed="false">
      <c r="A425" s="22" t="s">
        <v>1458</v>
      </c>
      <c r="B425" s="22" t="s">
        <v>1459</v>
      </c>
      <c r="C425" s="22" t="s">
        <v>19</v>
      </c>
      <c r="D425" s="22" t="s">
        <v>61</v>
      </c>
      <c r="E425" s="22" t="s">
        <v>1460</v>
      </c>
      <c r="F425" s="23" t="n">
        <v>5222.91</v>
      </c>
      <c r="G425" s="24" t="n">
        <v>1.095</v>
      </c>
      <c r="H425" s="24" t="n">
        <v>0.6771</v>
      </c>
      <c r="I425" s="22" t="s">
        <v>203</v>
      </c>
      <c r="J425" s="22"/>
      <c r="K425" s="23" t="n">
        <v>5172.21</v>
      </c>
      <c r="L425" s="22" t="s">
        <v>204</v>
      </c>
      <c r="M425" s="22" t="s">
        <v>205</v>
      </c>
    </row>
    <row r="426" customFormat="false" ht="15" hidden="false" customHeight="false" outlineLevel="0" collapsed="false">
      <c r="A426" s="22" t="s">
        <v>1461</v>
      </c>
      <c r="B426" s="22" t="s">
        <v>1462</v>
      </c>
      <c r="C426" s="22" t="s">
        <v>15</v>
      </c>
      <c r="D426" s="22" t="s">
        <v>60</v>
      </c>
      <c r="E426" s="22" t="s">
        <v>1463</v>
      </c>
      <c r="F426" s="23" t="n">
        <v>31928.8</v>
      </c>
      <c r="G426" s="24" t="n">
        <v>1.263</v>
      </c>
      <c r="H426" s="24" t="n">
        <v>0.99</v>
      </c>
      <c r="I426" s="22" t="s">
        <v>203</v>
      </c>
      <c r="J426" s="22"/>
      <c r="K426" s="23" t="n">
        <v>52829.49</v>
      </c>
      <c r="L426" s="22" t="s">
        <v>204</v>
      </c>
      <c r="M426" s="22" t="s">
        <v>205</v>
      </c>
    </row>
    <row r="427" customFormat="false" ht="15" hidden="false" customHeight="false" outlineLevel="0" collapsed="false">
      <c r="A427" s="22" t="s">
        <v>1464</v>
      </c>
      <c r="B427" s="22" t="s">
        <v>1465</v>
      </c>
      <c r="C427" s="22" t="s">
        <v>17</v>
      </c>
      <c r="D427" s="22" t="s">
        <v>60</v>
      </c>
      <c r="E427" s="22" t="s">
        <v>1466</v>
      </c>
      <c r="F427" s="23" t="n">
        <v>31689.44</v>
      </c>
      <c r="G427" s="24" t="n">
        <v>1.2853</v>
      </c>
      <c r="H427" s="24" t="n">
        <v>0.0942</v>
      </c>
      <c r="I427" s="22" t="s">
        <v>203</v>
      </c>
      <c r="J427" s="22"/>
      <c r="K427" s="23" t="n">
        <v>5085.63</v>
      </c>
      <c r="L427" s="22" t="s">
        <v>204</v>
      </c>
      <c r="M427" s="22" t="s">
        <v>205</v>
      </c>
    </row>
    <row r="428" customFormat="false" ht="15" hidden="false" customHeight="false" outlineLevel="0" collapsed="false">
      <c r="A428" s="22" t="s">
        <v>1467</v>
      </c>
      <c r="B428" s="22" t="s">
        <v>1468</v>
      </c>
      <c r="C428" s="22" t="s">
        <v>17</v>
      </c>
      <c r="D428" s="22" t="s">
        <v>61</v>
      </c>
      <c r="E428" s="22" t="s">
        <v>1469</v>
      </c>
      <c r="F428" s="23" t="n">
        <v>4723.06</v>
      </c>
      <c r="G428" s="24" t="n">
        <v>1.1524</v>
      </c>
      <c r="H428" s="24" t="n">
        <v>0.7008</v>
      </c>
      <c r="I428" s="22" t="s">
        <v>203</v>
      </c>
      <c r="J428" s="22"/>
      <c r="K428" s="23" t="n">
        <v>5055.87</v>
      </c>
      <c r="L428" s="22" t="s">
        <v>204</v>
      </c>
      <c r="M428" s="22" t="s">
        <v>205</v>
      </c>
    </row>
    <row r="429" customFormat="false" ht="15" hidden="false" customHeight="false" outlineLevel="0" collapsed="false">
      <c r="A429" s="22" t="s">
        <v>1470</v>
      </c>
      <c r="B429" s="22" t="s">
        <v>1471</v>
      </c>
      <c r="C429" s="22" t="s">
        <v>15</v>
      </c>
      <c r="D429" s="22" t="s">
        <v>61</v>
      </c>
      <c r="E429" s="22" t="s">
        <v>1472</v>
      </c>
      <c r="F429" s="23" t="n">
        <v>9364.93</v>
      </c>
      <c r="G429" s="24" t="n">
        <v>1.1713</v>
      </c>
      <c r="H429" s="24" t="n">
        <v>0.5324</v>
      </c>
      <c r="I429" s="22" t="s">
        <v>203</v>
      </c>
      <c r="J429" s="22"/>
      <c r="K429" s="23" t="n">
        <v>7727.98</v>
      </c>
      <c r="L429" s="22" t="s">
        <v>204</v>
      </c>
      <c r="M429" s="22" t="s">
        <v>205</v>
      </c>
    </row>
    <row r="430" customFormat="false" ht="15" hidden="false" customHeight="false" outlineLevel="0" collapsed="false">
      <c r="A430" s="22" t="s">
        <v>1473</v>
      </c>
      <c r="B430" s="22" t="s">
        <v>1474</v>
      </c>
      <c r="C430" s="22" t="s">
        <v>15</v>
      </c>
      <c r="D430" s="22" t="s">
        <v>59</v>
      </c>
      <c r="E430" s="22" t="s">
        <v>1475</v>
      </c>
      <c r="F430" s="23" t="n">
        <v>87534.87</v>
      </c>
      <c r="G430" s="24" t="n">
        <v>1.1097</v>
      </c>
      <c r="H430" s="24" t="n">
        <v>0.1334</v>
      </c>
      <c r="I430" s="22" t="s">
        <v>203</v>
      </c>
      <c r="J430" s="22"/>
      <c r="K430" s="23" t="n">
        <v>17147.38</v>
      </c>
      <c r="L430" s="22" t="s">
        <v>204</v>
      </c>
      <c r="M430" s="22" t="s">
        <v>205</v>
      </c>
    </row>
    <row r="431" customFormat="false" ht="15" hidden="false" customHeight="false" outlineLevel="0" collapsed="false">
      <c r="A431" s="22" t="s">
        <v>1476</v>
      </c>
      <c r="B431" s="22" t="s">
        <v>1477</v>
      </c>
      <c r="C431" s="22" t="s">
        <v>17</v>
      </c>
      <c r="D431" s="22" t="s">
        <v>60</v>
      </c>
      <c r="E431" s="22" t="s">
        <v>1478</v>
      </c>
      <c r="F431" s="23" t="n">
        <v>17732.46</v>
      </c>
      <c r="G431" s="24" t="n">
        <v>1.1355</v>
      </c>
      <c r="H431" s="24" t="n">
        <v>0.7418</v>
      </c>
      <c r="I431" s="22" t="s">
        <v>203</v>
      </c>
      <c r="J431" s="22"/>
      <c r="K431" s="23" t="n">
        <v>19797.83</v>
      </c>
      <c r="L431" s="22" t="s">
        <v>204</v>
      </c>
      <c r="M431" s="22" t="s">
        <v>205</v>
      </c>
    </row>
    <row r="432" customFormat="false" ht="15" hidden="false" customHeight="false" outlineLevel="0" collapsed="false">
      <c r="A432" s="22" t="s">
        <v>1479</v>
      </c>
      <c r="B432" s="22" t="s">
        <v>1480</v>
      </c>
      <c r="C432" s="22" t="s">
        <v>17</v>
      </c>
      <c r="D432" s="22" t="s">
        <v>62</v>
      </c>
      <c r="E432" s="22" t="s">
        <v>1481</v>
      </c>
      <c r="F432" s="23" t="n">
        <v>1083976.3</v>
      </c>
      <c r="G432" s="24" t="n">
        <v>1.2159</v>
      </c>
      <c r="H432" s="24" t="n">
        <v>0.627</v>
      </c>
      <c r="I432" s="22" t="s">
        <v>203</v>
      </c>
      <c r="J432" s="22"/>
      <c r="K432" s="23" t="n">
        <v>1095367.6</v>
      </c>
      <c r="L432" s="22" t="s">
        <v>204</v>
      </c>
      <c r="M432" s="22" t="s">
        <v>205</v>
      </c>
    </row>
    <row r="433" customFormat="false" ht="15" hidden="false" customHeight="false" outlineLevel="0" collapsed="false">
      <c r="A433" s="22" t="s">
        <v>1482</v>
      </c>
      <c r="B433" s="22" t="s">
        <v>1483</v>
      </c>
      <c r="C433" s="22" t="s">
        <v>17</v>
      </c>
      <c r="D433" s="22" t="s">
        <v>60</v>
      </c>
      <c r="E433" s="22" t="s">
        <v>1484</v>
      </c>
      <c r="F433" s="23" t="n">
        <v>21710.73</v>
      </c>
      <c r="G433" s="24" t="n">
        <v>1.15</v>
      </c>
      <c r="H433" s="24" t="n">
        <v>0.0135</v>
      </c>
      <c r="I433" s="22" t="s">
        <v>203</v>
      </c>
      <c r="J433" s="22"/>
      <c r="K433" s="23" t="n">
        <v>446.77</v>
      </c>
      <c r="L433" s="22" t="s">
        <v>204</v>
      </c>
      <c r="M433" s="22" t="s">
        <v>205</v>
      </c>
    </row>
    <row r="434" customFormat="false" ht="15" hidden="false" customHeight="false" outlineLevel="0" collapsed="false">
      <c r="A434" s="22" t="s">
        <v>1485</v>
      </c>
      <c r="B434" s="22" t="s">
        <v>1486</v>
      </c>
      <c r="C434" s="22" t="s">
        <v>17</v>
      </c>
      <c r="D434" s="22" t="s">
        <v>58</v>
      </c>
      <c r="E434" s="22" t="s">
        <v>1487</v>
      </c>
      <c r="F434" s="23" t="n">
        <v>63533.8</v>
      </c>
      <c r="G434" s="24" t="n">
        <v>1.0609</v>
      </c>
      <c r="H434" s="24" t="n">
        <v>0.967</v>
      </c>
      <c r="I434" s="22" t="s">
        <v>203</v>
      </c>
      <c r="J434" s="22"/>
      <c r="K434" s="23" t="n">
        <v>86393.38</v>
      </c>
      <c r="L434" s="22" t="s">
        <v>204</v>
      </c>
      <c r="M434" s="22" t="s">
        <v>205</v>
      </c>
    </row>
    <row r="435" customFormat="false" ht="15" hidden="false" customHeight="false" outlineLevel="0" collapsed="false">
      <c r="A435" s="22" t="s">
        <v>1488</v>
      </c>
      <c r="B435" s="22" t="s">
        <v>1489</v>
      </c>
      <c r="C435" s="22" t="s">
        <v>15</v>
      </c>
      <c r="D435" s="22" t="s">
        <v>60</v>
      </c>
      <c r="E435" s="22" t="s">
        <v>1490</v>
      </c>
      <c r="F435" s="23" t="n">
        <v>32785.33</v>
      </c>
      <c r="G435" s="24" t="n">
        <v>1.0405</v>
      </c>
      <c r="H435" s="24" t="n">
        <v>0.1732</v>
      </c>
      <c r="I435" s="22" t="s">
        <v>203</v>
      </c>
      <c r="J435" s="22"/>
      <c r="K435" s="23" t="n">
        <v>7818.52</v>
      </c>
      <c r="L435" s="22" t="s">
        <v>204</v>
      </c>
      <c r="M435" s="22" t="s">
        <v>205</v>
      </c>
    </row>
    <row r="436" customFormat="false" ht="15" hidden="false" customHeight="false" outlineLevel="0" collapsed="false">
      <c r="A436" s="22" t="s">
        <v>1491</v>
      </c>
      <c r="B436" s="22" t="s">
        <v>1492</v>
      </c>
      <c r="C436" s="22" t="s">
        <v>15</v>
      </c>
      <c r="D436" s="22" t="s">
        <v>58</v>
      </c>
      <c r="E436" s="22" t="s">
        <v>1493</v>
      </c>
      <c r="F436" s="23" t="n">
        <v>22572.47</v>
      </c>
      <c r="G436" s="24" t="n">
        <v>1.0222</v>
      </c>
      <c r="H436" s="24" t="n">
        <v>0.6015</v>
      </c>
      <c r="I436" s="22" t="s">
        <v>203</v>
      </c>
      <c r="J436" s="22"/>
      <c r="K436" s="23" t="n">
        <v>18365.63</v>
      </c>
      <c r="L436" s="22" t="s">
        <v>204</v>
      </c>
      <c r="M436" s="22" t="s">
        <v>205</v>
      </c>
    </row>
    <row r="437" customFormat="false" ht="15" hidden="false" customHeight="false" outlineLevel="0" collapsed="false">
      <c r="A437" s="22" t="s">
        <v>1494</v>
      </c>
      <c r="B437" s="22" t="s">
        <v>1495</v>
      </c>
      <c r="C437" s="22" t="s">
        <v>17</v>
      </c>
      <c r="D437" s="22" t="s">
        <v>58</v>
      </c>
      <c r="E437" s="22" t="s">
        <v>1496</v>
      </c>
      <c r="F437" s="23" t="n">
        <v>32505.9</v>
      </c>
      <c r="G437" s="24" t="n">
        <v>1.1568</v>
      </c>
      <c r="H437" s="24" t="n">
        <v>0.2185</v>
      </c>
      <c r="I437" s="22" t="s">
        <v>203</v>
      </c>
      <c r="J437" s="22"/>
      <c r="K437" s="23" t="n">
        <v>10890.47</v>
      </c>
      <c r="L437" s="22" t="s">
        <v>204</v>
      </c>
      <c r="M437" s="22" t="s">
        <v>205</v>
      </c>
    </row>
    <row r="438" customFormat="false" ht="15" hidden="false" customHeight="false" outlineLevel="0" collapsed="false">
      <c r="A438" s="22" t="s">
        <v>1497</v>
      </c>
      <c r="B438" s="22" t="s">
        <v>1498</v>
      </c>
      <c r="C438" s="22" t="s">
        <v>15</v>
      </c>
      <c r="D438" s="22" t="s">
        <v>58</v>
      </c>
      <c r="E438" s="22" t="s">
        <v>1499</v>
      </c>
      <c r="F438" s="23" t="n">
        <v>84839.18</v>
      </c>
      <c r="G438" s="24" t="n">
        <v>1.0071</v>
      </c>
      <c r="H438" s="24" t="n">
        <v>0.4842</v>
      </c>
      <c r="I438" s="22" t="s">
        <v>203</v>
      </c>
      <c r="J438" s="22"/>
      <c r="K438" s="23" t="n">
        <v>54745.59</v>
      </c>
      <c r="L438" s="22" t="s">
        <v>204</v>
      </c>
      <c r="M438" s="22" t="s">
        <v>205</v>
      </c>
    </row>
    <row r="439" customFormat="false" ht="15" hidden="false" customHeight="false" outlineLevel="0" collapsed="false">
      <c r="A439" s="22" t="s">
        <v>1500</v>
      </c>
      <c r="B439" s="22" t="s">
        <v>1501</v>
      </c>
      <c r="C439" s="22" t="s">
        <v>17</v>
      </c>
      <c r="D439" s="22" t="s">
        <v>58</v>
      </c>
      <c r="E439" s="22" t="s">
        <v>1502</v>
      </c>
      <c r="F439" s="23" t="n">
        <v>54503.73</v>
      </c>
      <c r="G439" s="24" t="n">
        <v>1.19</v>
      </c>
      <c r="H439" s="24" t="n">
        <v>0.1059</v>
      </c>
      <c r="I439" s="22" t="s">
        <v>203</v>
      </c>
      <c r="J439" s="22"/>
      <c r="K439" s="23" t="n">
        <v>9104.24</v>
      </c>
      <c r="L439" s="22" t="s">
        <v>204</v>
      </c>
      <c r="M439" s="22" t="s">
        <v>205</v>
      </c>
    </row>
    <row r="440" customFormat="false" ht="15" hidden="false" customHeight="false" outlineLevel="0" collapsed="false">
      <c r="A440" s="22" t="s">
        <v>1503</v>
      </c>
      <c r="B440" s="22" t="s">
        <v>1504</v>
      </c>
      <c r="C440" s="22" t="s">
        <v>15</v>
      </c>
      <c r="D440" s="22" t="s">
        <v>58</v>
      </c>
      <c r="E440" s="22" t="s">
        <v>1505</v>
      </c>
      <c r="F440" s="23" t="n">
        <v>60778.95</v>
      </c>
      <c r="G440" s="24" t="n">
        <v>1.0041</v>
      </c>
      <c r="H440" s="24" t="n">
        <v>0.7199</v>
      </c>
      <c r="I440" s="22" t="s">
        <v>203</v>
      </c>
      <c r="J440" s="22"/>
      <c r="K440" s="23" t="n">
        <v>58137.67</v>
      </c>
      <c r="L440" s="22" t="s">
        <v>204</v>
      </c>
      <c r="M440" s="22" t="s">
        <v>205</v>
      </c>
    </row>
    <row r="441" customFormat="false" ht="15" hidden="false" customHeight="false" outlineLevel="0" collapsed="false">
      <c r="A441" s="22" t="s">
        <v>1506</v>
      </c>
      <c r="B441" s="22" t="s">
        <v>1507</v>
      </c>
      <c r="C441" s="22" t="s">
        <v>19</v>
      </c>
      <c r="D441" s="22" t="s">
        <v>61</v>
      </c>
      <c r="E441" s="22" t="s">
        <v>1508</v>
      </c>
      <c r="F441" s="23" t="n">
        <v>9497.97</v>
      </c>
      <c r="G441" s="24" t="n">
        <v>1.2489</v>
      </c>
      <c r="H441" s="24" t="n">
        <v>0.2352</v>
      </c>
      <c r="I441" s="22" t="s">
        <v>203</v>
      </c>
      <c r="J441" s="22"/>
      <c r="K441" s="23" t="n">
        <v>3726.42</v>
      </c>
      <c r="L441" s="22" t="s">
        <v>204</v>
      </c>
      <c r="M441" s="22" t="s">
        <v>205</v>
      </c>
    </row>
    <row r="442" customFormat="false" ht="15" hidden="false" customHeight="false" outlineLevel="0" collapsed="false">
      <c r="A442" s="22" t="s">
        <v>1509</v>
      </c>
      <c r="B442" s="22" t="s">
        <v>1510</v>
      </c>
      <c r="C442" s="22" t="s">
        <v>17</v>
      </c>
      <c r="D442" s="22" t="s">
        <v>60</v>
      </c>
      <c r="E442" s="22" t="s">
        <v>1511</v>
      </c>
      <c r="F442" s="23" t="n">
        <v>17181.67</v>
      </c>
      <c r="G442" s="24" t="n">
        <v>1.1444</v>
      </c>
      <c r="H442" s="24" t="n">
        <v>0.7356</v>
      </c>
      <c r="I442" s="22" t="s">
        <v>203</v>
      </c>
      <c r="J442" s="22"/>
      <c r="K442" s="23" t="n">
        <v>19171.66</v>
      </c>
      <c r="L442" s="22" t="s">
        <v>204</v>
      </c>
      <c r="M442" s="22" t="s">
        <v>205</v>
      </c>
    </row>
    <row r="443" customFormat="false" ht="15" hidden="false" customHeight="false" outlineLevel="0" collapsed="false">
      <c r="A443" s="22" t="s">
        <v>1512</v>
      </c>
      <c r="B443" s="22" t="s">
        <v>1513</v>
      </c>
      <c r="C443" s="22" t="s">
        <v>15</v>
      </c>
      <c r="D443" s="22" t="s">
        <v>60</v>
      </c>
      <c r="E443" s="22" t="s">
        <v>1514</v>
      </c>
      <c r="F443" s="23" t="n">
        <v>31985.88</v>
      </c>
      <c r="G443" s="24" t="n">
        <v>1.198</v>
      </c>
      <c r="H443" s="24" t="n">
        <v>0.8302</v>
      </c>
      <c r="I443" s="22" t="s">
        <v>203</v>
      </c>
      <c r="J443" s="22"/>
      <c r="K443" s="23" t="n">
        <v>48395.21</v>
      </c>
      <c r="L443" s="22" t="s">
        <v>204</v>
      </c>
      <c r="M443" s="22" t="s">
        <v>205</v>
      </c>
    </row>
    <row r="444" customFormat="false" ht="15" hidden="false" customHeight="false" outlineLevel="0" collapsed="false">
      <c r="A444" s="22" t="s">
        <v>1515</v>
      </c>
      <c r="B444" s="22" t="s">
        <v>1516</v>
      </c>
      <c r="C444" s="22" t="s">
        <v>15</v>
      </c>
      <c r="D444" s="22" t="s">
        <v>59</v>
      </c>
      <c r="E444" s="22" t="s">
        <v>1517</v>
      </c>
      <c r="F444" s="23" t="n">
        <v>140772.95</v>
      </c>
      <c r="G444" s="24" t="n">
        <v>1.1721</v>
      </c>
      <c r="H444" s="24" t="n">
        <v>0.6773</v>
      </c>
      <c r="I444" s="22" t="s">
        <v>203</v>
      </c>
      <c r="J444" s="22"/>
      <c r="K444" s="23" t="n">
        <v>147883.67</v>
      </c>
      <c r="L444" s="22" t="s">
        <v>204</v>
      </c>
      <c r="M444" s="22" t="s">
        <v>205</v>
      </c>
    </row>
    <row r="445" customFormat="false" ht="15" hidden="false" customHeight="false" outlineLevel="0" collapsed="false">
      <c r="A445" s="22" t="s">
        <v>1518</v>
      </c>
      <c r="B445" s="22" t="s">
        <v>1519</v>
      </c>
      <c r="C445" s="22" t="s">
        <v>17</v>
      </c>
      <c r="D445" s="22" t="s">
        <v>61</v>
      </c>
      <c r="E445" s="22" t="s">
        <v>531</v>
      </c>
      <c r="F445" s="23" t="n">
        <v>6339.1</v>
      </c>
      <c r="G445" s="24" t="n">
        <v>1.0556</v>
      </c>
      <c r="H445" s="24" t="n">
        <v>0.8445</v>
      </c>
      <c r="I445" s="22" t="s">
        <v>203</v>
      </c>
      <c r="J445" s="22"/>
      <c r="K445" s="23" t="n">
        <v>7490.34</v>
      </c>
      <c r="L445" s="22" t="s">
        <v>204</v>
      </c>
      <c r="M445" s="22" t="s">
        <v>205</v>
      </c>
    </row>
    <row r="446" customFormat="false" ht="15" hidden="false" customHeight="false" outlineLevel="0" collapsed="false">
      <c r="A446" s="22" t="s">
        <v>1520</v>
      </c>
      <c r="B446" s="22" t="s">
        <v>1521</v>
      </c>
      <c r="C446" s="22" t="s">
        <v>15</v>
      </c>
      <c r="D446" s="22" t="s">
        <v>60</v>
      </c>
      <c r="E446" s="22" t="s">
        <v>1522</v>
      </c>
      <c r="F446" s="23" t="n">
        <v>26000.23</v>
      </c>
      <c r="G446" s="24" t="n">
        <v>1.1214</v>
      </c>
      <c r="H446" s="24" t="n">
        <v>0.2292</v>
      </c>
      <c r="I446" s="22" t="s">
        <v>203</v>
      </c>
      <c r="J446" s="22"/>
      <c r="K446" s="23" t="n">
        <v>8843.16</v>
      </c>
      <c r="L446" s="22" t="s">
        <v>204</v>
      </c>
      <c r="M446" s="22" t="s">
        <v>205</v>
      </c>
    </row>
    <row r="447" customFormat="false" ht="15" hidden="false" customHeight="false" outlineLevel="0" collapsed="false">
      <c r="A447" s="22" t="s">
        <v>1523</v>
      </c>
      <c r="B447" s="22" t="s">
        <v>1524</v>
      </c>
      <c r="C447" s="22" t="s">
        <v>15</v>
      </c>
      <c r="D447" s="22" t="s">
        <v>61</v>
      </c>
      <c r="E447" s="22" t="s">
        <v>1525</v>
      </c>
      <c r="F447" s="23" t="n">
        <v>4360.15</v>
      </c>
      <c r="G447" s="24" t="n">
        <v>1.2347</v>
      </c>
      <c r="H447" s="24" t="n">
        <v>0.6945</v>
      </c>
      <c r="I447" s="22" t="s">
        <v>203</v>
      </c>
      <c r="J447" s="22"/>
      <c r="K447" s="23" t="n">
        <v>4947.55</v>
      </c>
      <c r="L447" s="22" t="s">
        <v>204</v>
      </c>
      <c r="M447" s="22" t="s">
        <v>205</v>
      </c>
    </row>
    <row r="448" customFormat="false" ht="15" hidden="false" customHeight="false" outlineLevel="0" collapsed="false">
      <c r="A448" s="22" t="s">
        <v>1526</v>
      </c>
      <c r="B448" s="22" t="s">
        <v>1527</v>
      </c>
      <c r="C448" s="22" t="s">
        <v>17</v>
      </c>
      <c r="D448" s="22" t="s">
        <v>60</v>
      </c>
      <c r="E448" s="22" t="s">
        <v>1528</v>
      </c>
      <c r="F448" s="23" t="n">
        <v>9678</v>
      </c>
      <c r="G448" s="24" t="n">
        <v>1.278</v>
      </c>
      <c r="H448" s="24" t="n">
        <v>0.4298</v>
      </c>
      <c r="I448" s="22" t="s">
        <v>203</v>
      </c>
      <c r="J448" s="22"/>
      <c r="K448" s="23" t="n">
        <v>7046.24</v>
      </c>
      <c r="L448" s="22" t="s">
        <v>204</v>
      </c>
      <c r="M448" s="22" t="s">
        <v>205</v>
      </c>
    </row>
    <row r="449" customFormat="false" ht="15" hidden="false" customHeight="false" outlineLevel="0" collapsed="false">
      <c r="A449" s="22" t="s">
        <v>1529</v>
      </c>
      <c r="B449" s="22" t="s">
        <v>1530</v>
      </c>
      <c r="C449" s="22" t="s">
        <v>17</v>
      </c>
      <c r="D449" s="22" t="s">
        <v>62</v>
      </c>
      <c r="E449" s="22" t="s">
        <v>1531</v>
      </c>
      <c r="F449" s="23" t="n">
        <v>1627453.78</v>
      </c>
      <c r="G449" s="24" t="n">
        <v>1.2903</v>
      </c>
      <c r="H449" s="24" t="n">
        <v>0.7794</v>
      </c>
      <c r="I449" s="22" t="s">
        <v>203</v>
      </c>
      <c r="J449" s="22"/>
      <c r="K449" s="23" t="n">
        <v>2169374.18</v>
      </c>
      <c r="L449" s="22" t="s">
        <v>204</v>
      </c>
      <c r="M449" s="22" t="s">
        <v>205</v>
      </c>
    </row>
    <row r="450" customFormat="false" ht="15" hidden="false" customHeight="false" outlineLevel="0" collapsed="false">
      <c r="A450" s="22" t="s">
        <v>1532</v>
      </c>
      <c r="B450" s="22" t="s">
        <v>1533</v>
      </c>
      <c r="C450" s="22" t="s">
        <v>15</v>
      </c>
      <c r="D450" s="22" t="s">
        <v>58</v>
      </c>
      <c r="E450" s="22" t="s">
        <v>1534</v>
      </c>
      <c r="F450" s="23" t="n">
        <v>65014.9</v>
      </c>
      <c r="G450" s="24" t="n">
        <v>1.1326</v>
      </c>
      <c r="H450" s="24" t="n">
        <v>0.8447</v>
      </c>
      <c r="I450" s="22" t="s">
        <v>203</v>
      </c>
      <c r="J450" s="22"/>
      <c r="K450" s="23" t="n">
        <v>82308.98</v>
      </c>
      <c r="L450" s="22" t="s">
        <v>204</v>
      </c>
      <c r="M450" s="22" t="s">
        <v>205</v>
      </c>
    </row>
    <row r="451" customFormat="false" ht="15" hidden="false" customHeight="false" outlineLevel="0" collapsed="false">
      <c r="A451" s="22" t="s">
        <v>1535</v>
      </c>
      <c r="B451" s="22" t="s">
        <v>1536</v>
      </c>
      <c r="C451" s="22" t="s">
        <v>15</v>
      </c>
      <c r="D451" s="22" t="s">
        <v>58</v>
      </c>
      <c r="E451" s="22" t="s">
        <v>1537</v>
      </c>
      <c r="F451" s="23" t="n">
        <v>52412.29</v>
      </c>
      <c r="G451" s="24" t="n">
        <v>1.0042</v>
      </c>
      <c r="H451" s="24" t="n">
        <v>0.4588</v>
      </c>
      <c r="I451" s="22" t="s">
        <v>203</v>
      </c>
      <c r="J451" s="22"/>
      <c r="K451" s="23" t="n">
        <v>31954.5</v>
      </c>
      <c r="L451" s="22" t="s">
        <v>204</v>
      </c>
      <c r="M451" s="22" t="s">
        <v>205</v>
      </c>
    </row>
    <row r="452" customFormat="false" ht="15" hidden="false" customHeight="false" outlineLevel="0" collapsed="false">
      <c r="A452" s="22" t="s">
        <v>1538</v>
      </c>
      <c r="B452" s="22" t="s">
        <v>1539</v>
      </c>
      <c r="C452" s="22" t="s">
        <v>15</v>
      </c>
      <c r="D452" s="22" t="s">
        <v>58</v>
      </c>
      <c r="E452" s="22" t="s">
        <v>1540</v>
      </c>
      <c r="F452" s="23" t="n">
        <v>61751.51</v>
      </c>
      <c r="G452" s="24" t="n">
        <v>1.0202</v>
      </c>
      <c r="H452" s="24" t="n">
        <v>0.2362</v>
      </c>
      <c r="I452" s="22" t="s">
        <v>203</v>
      </c>
      <c r="J452" s="22"/>
      <c r="K452" s="23" t="n">
        <v>19691.01</v>
      </c>
      <c r="L452" s="22" t="s">
        <v>204</v>
      </c>
      <c r="M452" s="22" t="s">
        <v>205</v>
      </c>
    </row>
    <row r="453" customFormat="false" ht="15" hidden="false" customHeight="false" outlineLevel="0" collapsed="false">
      <c r="A453" s="22" t="s">
        <v>1541</v>
      </c>
      <c r="B453" s="22" t="s">
        <v>1542</v>
      </c>
      <c r="C453" s="22" t="s">
        <v>17</v>
      </c>
      <c r="D453" s="22" t="s">
        <v>59</v>
      </c>
      <c r="E453" s="22" t="s">
        <v>1543</v>
      </c>
      <c r="F453" s="23" t="n">
        <v>77957.12</v>
      </c>
      <c r="G453" s="24" t="n">
        <v>1.1738</v>
      </c>
      <c r="H453" s="24" t="n">
        <v>0.3201</v>
      </c>
      <c r="I453" s="22" t="s">
        <v>203</v>
      </c>
      <c r="J453" s="22"/>
      <c r="K453" s="23" t="n">
        <v>38824.89</v>
      </c>
      <c r="L453" s="22" t="s">
        <v>204</v>
      </c>
      <c r="M453" s="22" t="s">
        <v>205</v>
      </c>
    </row>
    <row r="454" customFormat="false" ht="15" hidden="false" customHeight="false" outlineLevel="0" collapsed="false">
      <c r="A454" s="22" t="s">
        <v>1544</v>
      </c>
      <c r="B454" s="22" t="s">
        <v>1545</v>
      </c>
      <c r="C454" s="22" t="s">
        <v>15</v>
      </c>
      <c r="D454" s="22" t="s">
        <v>60</v>
      </c>
      <c r="E454" s="22" t="s">
        <v>1546</v>
      </c>
      <c r="F454" s="23" t="n">
        <v>22720.55</v>
      </c>
      <c r="G454" s="24" t="n">
        <v>1.2797</v>
      </c>
      <c r="H454" s="24" t="n">
        <v>0.1774</v>
      </c>
      <c r="I454" s="22" t="s">
        <v>203</v>
      </c>
      <c r="J454" s="22"/>
      <c r="K454" s="23" t="n">
        <v>6825.52</v>
      </c>
      <c r="L454" s="22" t="s">
        <v>204</v>
      </c>
      <c r="M454" s="22" t="s">
        <v>205</v>
      </c>
    </row>
    <row r="455" customFormat="false" ht="15" hidden="false" customHeight="false" outlineLevel="0" collapsed="false">
      <c r="A455" s="22" t="s">
        <v>1547</v>
      </c>
      <c r="B455" s="22" t="s">
        <v>1548</v>
      </c>
      <c r="C455" s="22" t="s">
        <v>19</v>
      </c>
      <c r="D455" s="22" t="s">
        <v>61</v>
      </c>
      <c r="E455" s="22" t="s">
        <v>1549</v>
      </c>
      <c r="F455" s="23" t="n">
        <v>7814.62</v>
      </c>
      <c r="G455" s="24" t="n">
        <v>1.0373</v>
      </c>
      <c r="H455" s="24" t="n">
        <v>0.0752</v>
      </c>
      <c r="I455" s="22" t="s">
        <v>203</v>
      </c>
      <c r="J455" s="22"/>
      <c r="K455" s="23" t="n">
        <v>814.19</v>
      </c>
      <c r="L455" s="22" t="s">
        <v>204</v>
      </c>
      <c r="M455" s="22" t="s">
        <v>205</v>
      </c>
    </row>
    <row r="456" customFormat="false" ht="15" hidden="false" customHeight="false" outlineLevel="0" collapsed="false">
      <c r="A456" s="22" t="s">
        <v>1550</v>
      </c>
      <c r="B456" s="22" t="s">
        <v>1551</v>
      </c>
      <c r="C456" s="22" t="s">
        <v>21</v>
      </c>
      <c r="D456" s="22" t="s">
        <v>60</v>
      </c>
      <c r="E456" s="22" t="s">
        <v>1552</v>
      </c>
      <c r="F456" s="23" t="n">
        <v>22237.99</v>
      </c>
      <c r="G456" s="24" t="n">
        <v>1.2828</v>
      </c>
      <c r="H456" s="24" t="n">
        <v>0.8979</v>
      </c>
      <c r="I456" s="22" t="s">
        <v>203</v>
      </c>
      <c r="J456" s="22"/>
      <c r="K456" s="23" t="n">
        <v>32571.58</v>
      </c>
      <c r="L456" s="22" t="s">
        <v>204</v>
      </c>
      <c r="M456" s="22" t="s">
        <v>205</v>
      </c>
    </row>
    <row r="457" customFormat="false" ht="15" hidden="false" customHeight="false" outlineLevel="0" collapsed="false">
      <c r="A457" s="22" t="s">
        <v>1553</v>
      </c>
      <c r="B457" s="22" t="s">
        <v>1554</v>
      </c>
      <c r="C457" s="22" t="s">
        <v>15</v>
      </c>
      <c r="D457" s="22" t="s">
        <v>59</v>
      </c>
      <c r="E457" s="22" t="s">
        <v>1511</v>
      </c>
      <c r="F457" s="23" t="n">
        <v>95787.46</v>
      </c>
      <c r="G457" s="24" t="n">
        <v>1.1351</v>
      </c>
      <c r="H457" s="24" t="n">
        <v>0.6035</v>
      </c>
      <c r="I457" s="22" t="s">
        <v>203</v>
      </c>
      <c r="J457" s="22"/>
      <c r="K457" s="23" t="n">
        <v>86831.1</v>
      </c>
      <c r="L457" s="22" t="s">
        <v>204</v>
      </c>
      <c r="M457" s="22" t="s">
        <v>205</v>
      </c>
    </row>
    <row r="458" customFormat="false" ht="15" hidden="false" customHeight="false" outlineLevel="0" collapsed="false">
      <c r="A458" s="22" t="s">
        <v>1555</v>
      </c>
      <c r="B458" s="22" t="s">
        <v>1556</v>
      </c>
      <c r="C458" s="22" t="s">
        <v>15</v>
      </c>
      <c r="D458" s="22" t="s">
        <v>58</v>
      </c>
      <c r="E458" s="22" t="s">
        <v>1557</v>
      </c>
      <c r="F458" s="23" t="n">
        <v>78963.6</v>
      </c>
      <c r="G458" s="24" t="n">
        <v>1.0076</v>
      </c>
      <c r="H458" s="24" t="n">
        <v>0.7873</v>
      </c>
      <c r="I458" s="22" t="s">
        <v>203</v>
      </c>
      <c r="J458" s="22"/>
      <c r="K458" s="23" t="n">
        <v>82891.62</v>
      </c>
      <c r="L458" s="22" t="s">
        <v>204</v>
      </c>
      <c r="M458" s="22" t="s">
        <v>205</v>
      </c>
    </row>
    <row r="459" customFormat="false" ht="15" hidden="false" customHeight="false" outlineLevel="0" collapsed="false">
      <c r="A459" s="22" t="s">
        <v>1558</v>
      </c>
      <c r="B459" s="22" t="s">
        <v>1559</v>
      </c>
      <c r="C459" s="22" t="s">
        <v>21</v>
      </c>
      <c r="D459" s="22" t="s">
        <v>59</v>
      </c>
      <c r="E459" s="22" t="s">
        <v>1560</v>
      </c>
      <c r="F459" s="23" t="n">
        <v>42926.84</v>
      </c>
      <c r="G459" s="24" t="n">
        <v>1.1371</v>
      </c>
      <c r="H459" s="24" t="n">
        <v>0.7945</v>
      </c>
      <c r="I459" s="22" t="s">
        <v>203</v>
      </c>
      <c r="J459" s="22"/>
      <c r="K459" s="23" t="n">
        <v>49314.87</v>
      </c>
      <c r="L459" s="22" t="s">
        <v>204</v>
      </c>
      <c r="M459" s="22" t="s">
        <v>205</v>
      </c>
    </row>
    <row r="460" customFormat="false" ht="15" hidden="false" customHeight="false" outlineLevel="0" collapsed="false">
      <c r="A460" s="22" t="s">
        <v>1561</v>
      </c>
      <c r="B460" s="22" t="s">
        <v>1562</v>
      </c>
      <c r="C460" s="22" t="s">
        <v>17</v>
      </c>
      <c r="D460" s="22" t="s">
        <v>61</v>
      </c>
      <c r="E460" s="22" t="s">
        <v>1385</v>
      </c>
      <c r="F460" s="23" t="n">
        <v>6403.86</v>
      </c>
      <c r="G460" s="24" t="n">
        <v>1.2904</v>
      </c>
      <c r="H460" s="24" t="n">
        <v>0.2767</v>
      </c>
      <c r="I460" s="22" t="s">
        <v>203</v>
      </c>
      <c r="J460" s="22"/>
      <c r="K460" s="23" t="n">
        <v>3030.75</v>
      </c>
      <c r="L460" s="22" t="s">
        <v>204</v>
      </c>
      <c r="M460" s="22" t="s">
        <v>205</v>
      </c>
    </row>
    <row r="461" customFormat="false" ht="15" hidden="false" customHeight="false" outlineLevel="0" collapsed="false">
      <c r="A461" s="22" t="s">
        <v>1563</v>
      </c>
      <c r="B461" s="22" t="s">
        <v>1564</v>
      </c>
      <c r="C461" s="22" t="s">
        <v>17</v>
      </c>
      <c r="D461" s="22" t="s">
        <v>58</v>
      </c>
      <c r="E461" s="22" t="s">
        <v>1565</v>
      </c>
      <c r="F461" s="23" t="n">
        <v>69345.58</v>
      </c>
      <c r="G461" s="24" t="n">
        <v>1.13</v>
      </c>
      <c r="H461" s="24" t="n">
        <v>0.2325</v>
      </c>
      <c r="I461" s="22" t="s">
        <v>203</v>
      </c>
      <c r="J461" s="22"/>
      <c r="K461" s="23" t="n">
        <v>24148.76</v>
      </c>
      <c r="L461" s="22" t="s">
        <v>204</v>
      </c>
      <c r="M461" s="22" t="s">
        <v>205</v>
      </c>
    </row>
    <row r="462" customFormat="false" ht="15" hidden="false" customHeight="false" outlineLevel="0" collapsed="false">
      <c r="A462" s="22" t="s">
        <v>1566</v>
      </c>
      <c r="B462" s="22" t="s">
        <v>1567</v>
      </c>
      <c r="C462" s="22" t="s">
        <v>17</v>
      </c>
      <c r="D462" s="22" t="s">
        <v>60</v>
      </c>
      <c r="E462" s="22" t="s">
        <v>1568</v>
      </c>
      <c r="F462" s="23" t="n">
        <v>28014.73</v>
      </c>
      <c r="G462" s="24" t="n">
        <v>1.0266</v>
      </c>
      <c r="H462" s="24" t="n">
        <v>0.3331</v>
      </c>
      <c r="I462" s="22" t="s">
        <v>203</v>
      </c>
      <c r="J462" s="22"/>
      <c r="K462" s="23" t="n">
        <v>12698.05</v>
      </c>
      <c r="L462" s="22" t="s">
        <v>204</v>
      </c>
      <c r="M462" s="22" t="s">
        <v>205</v>
      </c>
    </row>
    <row r="463" customFormat="false" ht="15" hidden="false" customHeight="false" outlineLevel="0" collapsed="false">
      <c r="A463" s="22" t="s">
        <v>1569</v>
      </c>
      <c r="B463" s="22" t="s">
        <v>1570</v>
      </c>
      <c r="C463" s="22" t="s">
        <v>19</v>
      </c>
      <c r="D463" s="22" t="s">
        <v>58</v>
      </c>
      <c r="E463" s="22" t="s">
        <v>1571</v>
      </c>
      <c r="F463" s="23" t="n">
        <v>50071.96</v>
      </c>
      <c r="G463" s="24" t="n">
        <v>1.2687</v>
      </c>
      <c r="H463" s="24" t="n">
        <v>0.4853</v>
      </c>
      <c r="I463" s="22" t="s">
        <v>203</v>
      </c>
      <c r="J463" s="22"/>
      <c r="K463" s="23" t="n">
        <v>41177.54</v>
      </c>
      <c r="L463" s="22" t="s">
        <v>204</v>
      </c>
      <c r="M463" s="22" t="s">
        <v>205</v>
      </c>
    </row>
    <row r="464" customFormat="false" ht="15" hidden="false" customHeight="false" outlineLevel="0" collapsed="false">
      <c r="A464" s="22" t="s">
        <v>1572</v>
      </c>
      <c r="B464" s="22" t="s">
        <v>1573</v>
      </c>
      <c r="C464" s="22" t="s">
        <v>15</v>
      </c>
      <c r="D464" s="22" t="s">
        <v>60</v>
      </c>
      <c r="E464" s="22" t="s">
        <v>1574</v>
      </c>
      <c r="F464" s="23" t="n">
        <v>31140.56</v>
      </c>
      <c r="G464" s="24" t="n">
        <v>1.262</v>
      </c>
      <c r="H464" s="24" t="n">
        <v>0.0959</v>
      </c>
      <c r="I464" s="22" t="s">
        <v>203</v>
      </c>
      <c r="J464" s="22"/>
      <c r="K464" s="23" t="n">
        <v>5694.14</v>
      </c>
      <c r="L464" s="22" t="s">
        <v>204</v>
      </c>
      <c r="M464" s="22" t="s">
        <v>205</v>
      </c>
    </row>
    <row r="465" customFormat="false" ht="15" hidden="false" customHeight="false" outlineLevel="0" collapsed="false">
      <c r="A465" s="22" t="s">
        <v>1575</v>
      </c>
      <c r="B465" s="22" t="s">
        <v>1576</v>
      </c>
      <c r="C465" s="22" t="s">
        <v>15</v>
      </c>
      <c r="D465" s="22" t="s">
        <v>58</v>
      </c>
      <c r="E465" s="22" t="s">
        <v>1577</v>
      </c>
      <c r="F465" s="23" t="n">
        <v>59302.97</v>
      </c>
      <c r="G465" s="24" t="n">
        <v>1.2666</v>
      </c>
      <c r="H465" s="24" t="n">
        <v>0.4651</v>
      </c>
      <c r="I465" s="22" t="s">
        <v>203</v>
      </c>
      <c r="J465" s="22"/>
      <c r="K465" s="23" t="n">
        <v>46229.32</v>
      </c>
      <c r="L465" s="22" t="s">
        <v>204</v>
      </c>
      <c r="M465" s="22" t="s">
        <v>205</v>
      </c>
    </row>
    <row r="466" customFormat="false" ht="15" hidden="false" customHeight="false" outlineLevel="0" collapsed="false">
      <c r="A466" s="22" t="s">
        <v>1578</v>
      </c>
      <c r="B466" s="22" t="s">
        <v>1579</v>
      </c>
      <c r="C466" s="22" t="s">
        <v>15</v>
      </c>
      <c r="D466" s="22" t="s">
        <v>61</v>
      </c>
      <c r="E466" s="22" t="s">
        <v>1580</v>
      </c>
      <c r="F466" s="23" t="n">
        <v>8022.77</v>
      </c>
      <c r="G466" s="24" t="n">
        <v>1.0568</v>
      </c>
      <c r="H466" s="24" t="n">
        <v>0.0293</v>
      </c>
      <c r="I466" s="22" t="s">
        <v>203</v>
      </c>
      <c r="J466" s="22"/>
      <c r="K466" s="23" t="n">
        <v>328.73</v>
      </c>
      <c r="L466" s="22" t="s">
        <v>204</v>
      </c>
      <c r="M466" s="22" t="s">
        <v>205</v>
      </c>
    </row>
    <row r="467" customFormat="false" ht="15" hidden="false" customHeight="false" outlineLevel="0" collapsed="false">
      <c r="A467" s="22" t="s">
        <v>1581</v>
      </c>
      <c r="B467" s="22" t="s">
        <v>1582</v>
      </c>
      <c r="C467" s="22" t="s">
        <v>17</v>
      </c>
      <c r="D467" s="22" t="s">
        <v>61</v>
      </c>
      <c r="E467" s="22" t="s">
        <v>1583</v>
      </c>
      <c r="F467" s="23" t="n">
        <v>9978.2</v>
      </c>
      <c r="G467" s="24" t="n">
        <v>1.0835</v>
      </c>
      <c r="H467" s="24" t="n">
        <v>0.8591</v>
      </c>
      <c r="I467" s="22" t="s">
        <v>203</v>
      </c>
      <c r="J467" s="22"/>
      <c r="K467" s="23" t="n">
        <v>12311.18</v>
      </c>
      <c r="L467" s="22" t="s">
        <v>204</v>
      </c>
      <c r="M467" s="22" t="s">
        <v>205</v>
      </c>
    </row>
    <row r="468" customFormat="false" ht="15" hidden="false" customHeight="false" outlineLevel="0" collapsed="false">
      <c r="A468" s="22" t="s">
        <v>1584</v>
      </c>
      <c r="B468" s="22" t="s">
        <v>1585</v>
      </c>
      <c r="C468" s="22" t="s">
        <v>15</v>
      </c>
      <c r="D468" s="22" t="s">
        <v>58</v>
      </c>
      <c r="E468" s="22" t="s">
        <v>1586</v>
      </c>
      <c r="F468" s="23" t="n">
        <v>22991.7</v>
      </c>
      <c r="G468" s="24" t="n">
        <v>1.0361</v>
      </c>
      <c r="H468" s="24" t="n">
        <v>0.9399</v>
      </c>
      <c r="I468" s="22" t="s">
        <v>203</v>
      </c>
      <c r="J468" s="22"/>
      <c r="K468" s="23" t="n">
        <v>29628.5</v>
      </c>
      <c r="L468" s="22" t="s">
        <v>204</v>
      </c>
      <c r="M468" s="22" t="s">
        <v>205</v>
      </c>
    </row>
    <row r="469" customFormat="false" ht="15" hidden="false" customHeight="false" outlineLevel="0" collapsed="false">
      <c r="A469" s="22" t="s">
        <v>1587</v>
      </c>
      <c r="B469" s="22" t="s">
        <v>1588</v>
      </c>
      <c r="C469" s="22" t="s">
        <v>17</v>
      </c>
      <c r="D469" s="22" t="s">
        <v>58</v>
      </c>
      <c r="E469" s="22" t="s">
        <v>1589</v>
      </c>
      <c r="F469" s="23" t="n">
        <v>56458.85</v>
      </c>
      <c r="G469" s="24" t="n">
        <v>1.1438</v>
      </c>
      <c r="H469" s="24" t="n">
        <v>0.746</v>
      </c>
      <c r="I469" s="22" t="s">
        <v>203</v>
      </c>
      <c r="J469" s="22"/>
      <c r="K469" s="23" t="n">
        <v>63855.11</v>
      </c>
      <c r="L469" s="22" t="s">
        <v>204</v>
      </c>
      <c r="M469" s="22" t="s">
        <v>205</v>
      </c>
    </row>
    <row r="470" customFormat="false" ht="15" hidden="false" customHeight="false" outlineLevel="0" collapsed="false">
      <c r="A470" s="22" t="s">
        <v>1590</v>
      </c>
      <c r="B470" s="22" t="s">
        <v>1591</v>
      </c>
      <c r="C470" s="22" t="s">
        <v>19</v>
      </c>
      <c r="D470" s="22" t="s">
        <v>61</v>
      </c>
      <c r="E470" s="22" t="s">
        <v>1592</v>
      </c>
      <c r="F470" s="23" t="n">
        <v>6060.67</v>
      </c>
      <c r="G470" s="24" t="n">
        <v>1.2412</v>
      </c>
      <c r="H470" s="24" t="n">
        <v>0.6205</v>
      </c>
      <c r="I470" s="22" t="s">
        <v>203</v>
      </c>
      <c r="J470" s="22"/>
      <c r="K470" s="23" t="n">
        <v>6234.49</v>
      </c>
      <c r="L470" s="22" t="s">
        <v>204</v>
      </c>
      <c r="M470" s="22" t="s">
        <v>205</v>
      </c>
    </row>
    <row r="471" customFormat="false" ht="15" hidden="false" customHeight="false" outlineLevel="0" collapsed="false">
      <c r="A471" s="22" t="s">
        <v>1593</v>
      </c>
      <c r="B471" s="22" t="s">
        <v>1594</v>
      </c>
      <c r="C471" s="22" t="s">
        <v>17</v>
      </c>
      <c r="D471" s="22" t="s">
        <v>61</v>
      </c>
      <c r="E471" s="22" t="s">
        <v>1595</v>
      </c>
      <c r="F471" s="23" t="n">
        <v>6961.59</v>
      </c>
      <c r="G471" s="24" t="n">
        <v>1.0646</v>
      </c>
      <c r="H471" s="24" t="n">
        <v>0.6408</v>
      </c>
      <c r="I471" s="22" t="s">
        <v>203</v>
      </c>
      <c r="J471" s="22"/>
      <c r="K471" s="23" t="n">
        <v>6294.95</v>
      </c>
      <c r="L471" s="22" t="s">
        <v>204</v>
      </c>
      <c r="M471" s="22" t="s">
        <v>205</v>
      </c>
    </row>
    <row r="472" customFormat="false" ht="15" hidden="false" customHeight="false" outlineLevel="0" collapsed="false">
      <c r="A472" s="22" t="s">
        <v>1596</v>
      </c>
      <c r="B472" s="22" t="s">
        <v>1597</v>
      </c>
      <c r="C472" s="22" t="s">
        <v>19</v>
      </c>
      <c r="D472" s="22" t="s">
        <v>58</v>
      </c>
      <c r="E472" s="22" t="s">
        <v>1598</v>
      </c>
      <c r="F472" s="23" t="n">
        <v>50711.77</v>
      </c>
      <c r="G472" s="24" t="n">
        <v>1.1998</v>
      </c>
      <c r="H472" s="24" t="n">
        <v>0.689</v>
      </c>
      <c r="I472" s="22" t="s">
        <v>203</v>
      </c>
      <c r="J472" s="22"/>
      <c r="K472" s="23" t="n">
        <v>55992.96</v>
      </c>
      <c r="L472" s="22" t="s">
        <v>204</v>
      </c>
      <c r="M472" s="22" t="s">
        <v>205</v>
      </c>
    </row>
    <row r="473" customFormat="false" ht="15" hidden="false" customHeight="false" outlineLevel="0" collapsed="false">
      <c r="A473" s="22" t="s">
        <v>1599</v>
      </c>
      <c r="B473" s="22" t="s">
        <v>1600</v>
      </c>
      <c r="C473" s="22" t="s">
        <v>17</v>
      </c>
      <c r="D473" s="22" t="s">
        <v>58</v>
      </c>
      <c r="E473" s="22" t="s">
        <v>1601</v>
      </c>
      <c r="F473" s="23" t="n">
        <v>18210.84</v>
      </c>
      <c r="G473" s="24" t="n">
        <v>1.1201</v>
      </c>
      <c r="H473" s="24" t="n">
        <v>0.6746</v>
      </c>
      <c r="I473" s="22" t="s">
        <v>203</v>
      </c>
      <c r="J473" s="22"/>
      <c r="K473" s="23" t="n">
        <v>18239.29</v>
      </c>
      <c r="L473" s="22" t="s">
        <v>204</v>
      </c>
      <c r="M473" s="22" t="s">
        <v>205</v>
      </c>
    </row>
    <row r="474" customFormat="false" ht="15" hidden="false" customHeight="false" outlineLevel="0" collapsed="false">
      <c r="A474" s="22" t="s">
        <v>1602</v>
      </c>
      <c r="B474" s="22" t="s">
        <v>1603</v>
      </c>
      <c r="C474" s="22" t="s">
        <v>15</v>
      </c>
      <c r="D474" s="22" t="s">
        <v>61</v>
      </c>
      <c r="E474" s="22" t="s">
        <v>1604</v>
      </c>
      <c r="F474" s="23" t="n">
        <v>3130.02</v>
      </c>
      <c r="G474" s="24" t="n">
        <v>1.1319</v>
      </c>
      <c r="H474" s="24" t="n">
        <v>0.4581</v>
      </c>
      <c r="I474" s="22" t="s">
        <v>203</v>
      </c>
      <c r="J474" s="22"/>
      <c r="K474" s="23" t="n">
        <v>2147.69</v>
      </c>
      <c r="L474" s="22" t="s">
        <v>204</v>
      </c>
      <c r="M474" s="22" t="s">
        <v>205</v>
      </c>
    </row>
    <row r="475" customFormat="false" ht="15" hidden="false" customHeight="false" outlineLevel="0" collapsed="false">
      <c r="A475" s="22" t="s">
        <v>1605</v>
      </c>
      <c r="B475" s="22" t="s">
        <v>1606</v>
      </c>
      <c r="C475" s="22" t="s">
        <v>17</v>
      </c>
      <c r="D475" s="22" t="s">
        <v>58</v>
      </c>
      <c r="E475" s="22" t="s">
        <v>1607</v>
      </c>
      <c r="F475" s="23" t="n">
        <v>76107</v>
      </c>
      <c r="G475" s="24" t="n">
        <v>1.1158</v>
      </c>
      <c r="H475" s="24" t="n">
        <v>0.793</v>
      </c>
      <c r="I475" s="22" t="s">
        <v>203</v>
      </c>
      <c r="J475" s="22"/>
      <c r="K475" s="23" t="n">
        <v>89260.4</v>
      </c>
      <c r="L475" s="22" t="s">
        <v>204</v>
      </c>
      <c r="M475" s="22" t="s">
        <v>205</v>
      </c>
    </row>
    <row r="476" customFormat="false" ht="15" hidden="false" customHeight="false" outlineLevel="0" collapsed="false">
      <c r="A476" s="22" t="s">
        <v>1608</v>
      </c>
      <c r="B476" s="22" t="s">
        <v>1609</v>
      </c>
      <c r="C476" s="22" t="s">
        <v>17</v>
      </c>
      <c r="D476" s="22" t="s">
        <v>60</v>
      </c>
      <c r="E476" s="22" t="s">
        <v>1610</v>
      </c>
      <c r="F476" s="23" t="n">
        <v>24260.75</v>
      </c>
      <c r="G476" s="24" t="n">
        <v>1.2275</v>
      </c>
      <c r="H476" s="24" t="n">
        <v>0.3627</v>
      </c>
      <c r="I476" s="22" t="s">
        <v>203</v>
      </c>
      <c r="J476" s="22"/>
      <c r="K476" s="23" t="n">
        <v>14316.87</v>
      </c>
      <c r="L476" s="22" t="s">
        <v>204</v>
      </c>
      <c r="M476" s="22" t="s">
        <v>205</v>
      </c>
    </row>
    <row r="477" customFormat="false" ht="15" hidden="false" customHeight="false" outlineLevel="0" collapsed="false">
      <c r="A477" s="22" t="s">
        <v>1611</v>
      </c>
      <c r="B477" s="22" t="s">
        <v>1612</v>
      </c>
      <c r="C477" s="22" t="s">
        <v>17</v>
      </c>
      <c r="D477" s="22" t="s">
        <v>58</v>
      </c>
      <c r="E477" s="22" t="s">
        <v>1005</v>
      </c>
      <c r="F477" s="23" t="n">
        <v>88203.4</v>
      </c>
      <c r="G477" s="24" t="n">
        <v>1.2008</v>
      </c>
      <c r="H477" s="24" t="n">
        <v>0.844</v>
      </c>
      <c r="I477" s="22" t="s">
        <v>203</v>
      </c>
      <c r="J477" s="22"/>
      <c r="K477" s="23" t="n">
        <v>118487.67</v>
      </c>
      <c r="L477" s="22" t="s">
        <v>204</v>
      </c>
      <c r="M477" s="22" t="s">
        <v>205</v>
      </c>
    </row>
    <row r="478" customFormat="false" ht="15" hidden="false" customHeight="false" outlineLevel="0" collapsed="false">
      <c r="A478" s="22" t="s">
        <v>1613</v>
      </c>
      <c r="B478" s="22" t="s">
        <v>1614</v>
      </c>
      <c r="C478" s="22" t="s">
        <v>19</v>
      </c>
      <c r="D478" s="22" t="s">
        <v>60</v>
      </c>
      <c r="E478" s="22" t="s">
        <v>1615</v>
      </c>
      <c r="F478" s="23" t="n">
        <v>18306.68</v>
      </c>
      <c r="G478" s="24" t="n">
        <v>1.1005</v>
      </c>
      <c r="H478" s="24" t="n">
        <v>0.5064</v>
      </c>
      <c r="I478" s="22" t="s">
        <v>203</v>
      </c>
      <c r="J478" s="22"/>
      <c r="K478" s="23" t="n">
        <v>13626.67</v>
      </c>
      <c r="L478" s="22" t="s">
        <v>204</v>
      </c>
      <c r="M478" s="22" t="s">
        <v>205</v>
      </c>
    </row>
    <row r="479" customFormat="false" ht="15" hidden="false" customHeight="false" outlineLevel="0" collapsed="false">
      <c r="A479" s="22" t="s">
        <v>1616</v>
      </c>
      <c r="B479" s="22" t="s">
        <v>1617</v>
      </c>
      <c r="C479" s="22" t="s">
        <v>15</v>
      </c>
      <c r="D479" s="22" t="s">
        <v>61</v>
      </c>
      <c r="E479" s="22" t="s">
        <v>1618</v>
      </c>
      <c r="F479" s="23" t="n">
        <v>5181.35</v>
      </c>
      <c r="G479" s="24" t="n">
        <v>1.2804</v>
      </c>
      <c r="H479" s="24" t="n">
        <v>0.6512</v>
      </c>
      <c r="I479" s="22" t="s">
        <v>203</v>
      </c>
      <c r="J479" s="22"/>
      <c r="K479" s="23" t="n">
        <v>5716.87</v>
      </c>
      <c r="L479" s="22" t="s">
        <v>204</v>
      </c>
      <c r="M479" s="22" t="s">
        <v>205</v>
      </c>
    </row>
    <row r="480" customFormat="false" ht="15" hidden="false" customHeight="false" outlineLevel="0" collapsed="false">
      <c r="A480" s="22" t="s">
        <v>1619</v>
      </c>
      <c r="B480" s="22" t="s">
        <v>1620</v>
      </c>
      <c r="C480" s="22" t="s">
        <v>15</v>
      </c>
      <c r="D480" s="22" t="s">
        <v>62</v>
      </c>
      <c r="E480" s="22" t="s">
        <v>1621</v>
      </c>
      <c r="F480" s="23" t="n">
        <v>1048629.1</v>
      </c>
      <c r="G480" s="24" t="n">
        <v>1.1702</v>
      </c>
      <c r="H480" s="24" t="n">
        <v>0.7072</v>
      </c>
      <c r="I480" s="22" t="s">
        <v>203</v>
      </c>
      <c r="J480" s="22"/>
      <c r="K480" s="23" t="n">
        <v>1148363.87</v>
      </c>
      <c r="L480" s="22" t="s">
        <v>204</v>
      </c>
      <c r="M480" s="22" t="s">
        <v>205</v>
      </c>
    </row>
    <row r="481" customFormat="false" ht="15" hidden="false" customHeight="false" outlineLevel="0" collapsed="false">
      <c r="A481" s="22" t="s">
        <v>1622</v>
      </c>
      <c r="B481" s="22" t="s">
        <v>1623</v>
      </c>
      <c r="C481" s="22" t="s">
        <v>17</v>
      </c>
      <c r="D481" s="22" t="s">
        <v>58</v>
      </c>
      <c r="E481" s="22" t="s">
        <v>1624</v>
      </c>
      <c r="F481" s="23" t="n">
        <v>89080.67</v>
      </c>
      <c r="G481" s="24" t="n">
        <v>1.0681</v>
      </c>
      <c r="H481" s="24" t="n">
        <v>0.4574</v>
      </c>
      <c r="I481" s="22" t="s">
        <v>203</v>
      </c>
      <c r="J481" s="22"/>
      <c r="K481" s="23" t="n">
        <v>57685.45</v>
      </c>
      <c r="L481" s="22" t="s">
        <v>204</v>
      </c>
      <c r="M481" s="22" t="s">
        <v>205</v>
      </c>
    </row>
    <row r="482" customFormat="false" ht="15" hidden="false" customHeight="false" outlineLevel="0" collapsed="false">
      <c r="A482" s="22" t="s">
        <v>1625</v>
      </c>
      <c r="B482" s="22" t="s">
        <v>1626</v>
      </c>
      <c r="C482" s="22" t="s">
        <v>17</v>
      </c>
      <c r="D482" s="22" t="s">
        <v>61</v>
      </c>
      <c r="E482" s="22" t="s">
        <v>1627</v>
      </c>
      <c r="F482" s="23" t="n">
        <v>2233.31</v>
      </c>
      <c r="G482" s="24" t="n">
        <v>1.1069</v>
      </c>
      <c r="H482" s="24" t="n">
        <v>0.3453</v>
      </c>
      <c r="I482" s="22" t="s">
        <v>203</v>
      </c>
      <c r="J482" s="22"/>
      <c r="K482" s="23" t="n">
        <v>1131.43</v>
      </c>
      <c r="L482" s="22" t="s">
        <v>204</v>
      </c>
      <c r="M482" s="22" t="s">
        <v>205</v>
      </c>
    </row>
    <row r="483" customFormat="false" ht="15" hidden="false" customHeight="false" outlineLevel="0" collapsed="false">
      <c r="A483" s="22" t="s">
        <v>1628</v>
      </c>
      <c r="B483" s="22" t="s">
        <v>1629</v>
      </c>
      <c r="C483" s="22" t="s">
        <v>17</v>
      </c>
      <c r="D483" s="22" t="s">
        <v>61</v>
      </c>
      <c r="E483" s="22" t="s">
        <v>1630</v>
      </c>
      <c r="F483" s="23" t="n">
        <v>6248.84</v>
      </c>
      <c r="G483" s="24" t="n">
        <v>1.0936</v>
      </c>
      <c r="H483" s="24" t="n">
        <v>0.2407</v>
      </c>
      <c r="I483" s="22" t="s">
        <v>203</v>
      </c>
      <c r="J483" s="22"/>
      <c r="K483" s="23" t="n">
        <v>2180.26</v>
      </c>
      <c r="L483" s="22" t="s">
        <v>204</v>
      </c>
      <c r="M483" s="22" t="s">
        <v>205</v>
      </c>
    </row>
    <row r="484" customFormat="false" ht="15" hidden="false" customHeight="false" outlineLevel="0" collapsed="false">
      <c r="A484" s="22" t="s">
        <v>1631</v>
      </c>
      <c r="B484" s="22" t="s">
        <v>1632</v>
      </c>
      <c r="C484" s="22" t="s">
        <v>15</v>
      </c>
      <c r="D484" s="22" t="s">
        <v>61</v>
      </c>
      <c r="E484" s="22" t="s">
        <v>1633</v>
      </c>
      <c r="F484" s="23" t="n">
        <v>2036.3</v>
      </c>
      <c r="G484" s="24" t="n">
        <v>1.2493</v>
      </c>
      <c r="H484" s="24" t="n">
        <v>0.0109</v>
      </c>
      <c r="I484" s="22" t="s">
        <v>203</v>
      </c>
      <c r="J484" s="22"/>
      <c r="K484" s="23" t="n">
        <v>36.69</v>
      </c>
      <c r="L484" s="22" t="s">
        <v>204</v>
      </c>
      <c r="M484" s="22" t="s">
        <v>205</v>
      </c>
    </row>
    <row r="485" customFormat="false" ht="15" hidden="false" customHeight="false" outlineLevel="0" collapsed="false">
      <c r="A485" s="22" t="s">
        <v>1634</v>
      </c>
      <c r="B485" s="22" t="s">
        <v>1635</v>
      </c>
      <c r="C485" s="22" t="s">
        <v>15</v>
      </c>
      <c r="D485" s="22" t="s">
        <v>60</v>
      </c>
      <c r="E485" s="22" t="s">
        <v>1636</v>
      </c>
      <c r="F485" s="23" t="n">
        <v>33077.44</v>
      </c>
      <c r="G485" s="24" t="n">
        <v>1.0189</v>
      </c>
      <c r="H485" s="24" t="n">
        <v>0.5171</v>
      </c>
      <c r="I485" s="22" t="s">
        <v>203</v>
      </c>
      <c r="J485" s="22"/>
      <c r="K485" s="23" t="n">
        <v>23061.8</v>
      </c>
      <c r="L485" s="22" t="s">
        <v>204</v>
      </c>
      <c r="M485" s="22" t="s">
        <v>205</v>
      </c>
    </row>
    <row r="486" customFormat="false" ht="15" hidden="false" customHeight="false" outlineLevel="0" collapsed="false">
      <c r="A486" s="22" t="s">
        <v>1637</v>
      </c>
      <c r="B486" s="22" t="s">
        <v>1638</v>
      </c>
      <c r="C486" s="22" t="s">
        <v>17</v>
      </c>
      <c r="D486" s="22" t="s">
        <v>61</v>
      </c>
      <c r="E486" s="22" t="s">
        <v>1639</v>
      </c>
      <c r="F486" s="23" t="n">
        <v>9198.89</v>
      </c>
      <c r="G486" s="24" t="n">
        <v>1.0368</v>
      </c>
      <c r="H486" s="24" t="n">
        <v>0.3238</v>
      </c>
      <c r="I486" s="22" t="s">
        <v>203</v>
      </c>
      <c r="J486" s="22"/>
      <c r="K486" s="23" t="n">
        <v>4093.38</v>
      </c>
      <c r="L486" s="22" t="s">
        <v>204</v>
      </c>
      <c r="M486" s="22" t="s">
        <v>205</v>
      </c>
    </row>
    <row r="487" customFormat="false" ht="15" hidden="false" customHeight="false" outlineLevel="0" collapsed="false">
      <c r="A487" s="22" t="s">
        <v>1640</v>
      </c>
      <c r="B487" s="22" t="s">
        <v>1641</v>
      </c>
      <c r="C487" s="22" t="s">
        <v>21</v>
      </c>
      <c r="D487" s="22" t="s">
        <v>58</v>
      </c>
      <c r="E487" s="22" t="s">
        <v>1642</v>
      </c>
      <c r="F487" s="23" t="n">
        <v>34204.04</v>
      </c>
      <c r="G487" s="24" t="n">
        <v>1.1085</v>
      </c>
      <c r="H487" s="24" t="n">
        <v>0.8264</v>
      </c>
      <c r="I487" s="22" t="s">
        <v>203</v>
      </c>
      <c r="J487" s="22"/>
      <c r="K487" s="23" t="n">
        <v>39843.72</v>
      </c>
      <c r="L487" s="22" t="s">
        <v>204</v>
      </c>
      <c r="M487" s="22" t="s">
        <v>205</v>
      </c>
    </row>
    <row r="488" customFormat="false" ht="15" hidden="false" customHeight="false" outlineLevel="0" collapsed="false">
      <c r="A488" s="22" t="s">
        <v>1643</v>
      </c>
      <c r="B488" s="22" t="s">
        <v>1644</v>
      </c>
      <c r="C488" s="22" t="s">
        <v>17</v>
      </c>
      <c r="D488" s="22" t="s">
        <v>59</v>
      </c>
      <c r="E488" s="22" t="s">
        <v>1645</v>
      </c>
      <c r="F488" s="23" t="n">
        <v>92939.73</v>
      </c>
      <c r="G488" s="24" t="n">
        <v>1.084</v>
      </c>
      <c r="H488" s="24" t="n">
        <v>0.5848</v>
      </c>
      <c r="I488" s="22" t="s">
        <v>203</v>
      </c>
      <c r="J488" s="22"/>
      <c r="K488" s="23" t="n">
        <v>78093.12</v>
      </c>
      <c r="L488" s="22" t="s">
        <v>204</v>
      </c>
      <c r="M488" s="22" t="s">
        <v>205</v>
      </c>
    </row>
    <row r="489" customFormat="false" ht="15" hidden="false" customHeight="false" outlineLevel="0" collapsed="false">
      <c r="A489" s="22" t="s">
        <v>1646</v>
      </c>
      <c r="B489" s="22" t="s">
        <v>1647</v>
      </c>
      <c r="C489" s="22" t="s">
        <v>17</v>
      </c>
      <c r="D489" s="22" t="s">
        <v>60</v>
      </c>
      <c r="E489" s="22" t="s">
        <v>1648</v>
      </c>
      <c r="F489" s="23" t="n">
        <v>10390.44</v>
      </c>
      <c r="G489" s="24" t="n">
        <v>1.1101</v>
      </c>
      <c r="H489" s="24" t="n">
        <v>0.1723</v>
      </c>
      <c r="I489" s="22" t="s">
        <v>203</v>
      </c>
      <c r="J489" s="22"/>
      <c r="K489" s="23" t="n">
        <v>2634.24</v>
      </c>
      <c r="L489" s="22" t="s">
        <v>204</v>
      </c>
      <c r="M489" s="22" t="s">
        <v>205</v>
      </c>
    </row>
    <row r="490" customFormat="false" ht="15" hidden="false" customHeight="false" outlineLevel="0" collapsed="false">
      <c r="A490" s="22" t="s">
        <v>1649</v>
      </c>
      <c r="B490" s="22" t="s">
        <v>1650</v>
      </c>
      <c r="C490" s="22" t="s">
        <v>17</v>
      </c>
      <c r="D490" s="22" t="s">
        <v>58</v>
      </c>
      <c r="E490" s="22" t="s">
        <v>1651</v>
      </c>
      <c r="F490" s="23" t="n">
        <v>40046.69</v>
      </c>
      <c r="G490" s="24" t="n">
        <v>1.2352</v>
      </c>
      <c r="H490" s="24" t="n">
        <v>0.2993</v>
      </c>
      <c r="I490" s="22" t="s">
        <v>203</v>
      </c>
      <c r="J490" s="22"/>
      <c r="K490" s="23" t="n">
        <v>19623.9</v>
      </c>
      <c r="L490" s="22" t="s">
        <v>204</v>
      </c>
      <c r="M490" s="22" t="s">
        <v>205</v>
      </c>
    </row>
    <row r="491" customFormat="false" ht="15" hidden="false" customHeight="false" outlineLevel="0" collapsed="false">
      <c r="A491" s="22" t="s">
        <v>1652</v>
      </c>
      <c r="B491" s="22" t="s">
        <v>1653</v>
      </c>
      <c r="C491" s="22" t="s">
        <v>17</v>
      </c>
      <c r="D491" s="22" t="s">
        <v>60</v>
      </c>
      <c r="E491" s="22" t="s">
        <v>1654</v>
      </c>
      <c r="F491" s="23" t="n">
        <v>24970.94</v>
      </c>
      <c r="G491" s="24" t="n">
        <v>1.2956</v>
      </c>
      <c r="H491" s="24" t="n">
        <v>0.1491</v>
      </c>
      <c r="I491" s="22" t="s">
        <v>203</v>
      </c>
      <c r="J491" s="22"/>
      <c r="K491" s="23" t="n">
        <v>6393.79</v>
      </c>
      <c r="L491" s="22" t="s">
        <v>204</v>
      </c>
      <c r="M491" s="22" t="s">
        <v>205</v>
      </c>
    </row>
    <row r="492" customFormat="false" ht="15" hidden="false" customHeight="false" outlineLevel="0" collapsed="false">
      <c r="A492" s="22" t="s">
        <v>1655</v>
      </c>
      <c r="B492" s="22" t="s">
        <v>1656</v>
      </c>
      <c r="C492" s="22" t="s">
        <v>17</v>
      </c>
      <c r="D492" s="22" t="s">
        <v>59</v>
      </c>
      <c r="E492" s="22" t="s">
        <v>1657</v>
      </c>
      <c r="F492" s="23" t="n">
        <v>114841.7</v>
      </c>
      <c r="G492" s="24" t="n">
        <v>1.2324</v>
      </c>
      <c r="H492" s="24" t="n">
        <v>0.929</v>
      </c>
      <c r="I492" s="22" t="s">
        <v>203</v>
      </c>
      <c r="J492" s="22"/>
      <c r="K492" s="23" t="n">
        <v>174277.66</v>
      </c>
      <c r="L492" s="22" t="s">
        <v>204</v>
      </c>
      <c r="M492" s="22" t="s">
        <v>205</v>
      </c>
    </row>
    <row r="493" customFormat="false" ht="15" hidden="false" customHeight="false" outlineLevel="0" collapsed="false">
      <c r="A493" s="22" t="s">
        <v>1658</v>
      </c>
      <c r="B493" s="22" t="s">
        <v>1659</v>
      </c>
      <c r="C493" s="22" t="s">
        <v>15</v>
      </c>
      <c r="D493" s="22" t="s">
        <v>61</v>
      </c>
      <c r="E493" s="22" t="s">
        <v>1660</v>
      </c>
      <c r="F493" s="23" t="n">
        <v>9949</v>
      </c>
      <c r="G493" s="24" t="n">
        <v>1.2478</v>
      </c>
      <c r="H493" s="24" t="n">
        <v>0.5736</v>
      </c>
      <c r="I493" s="22" t="s">
        <v>203</v>
      </c>
      <c r="J493" s="22"/>
      <c r="K493" s="23" t="n">
        <v>9422.99</v>
      </c>
      <c r="L493" s="22" t="s">
        <v>204</v>
      </c>
      <c r="M493" s="22" t="s">
        <v>205</v>
      </c>
    </row>
    <row r="494" customFormat="false" ht="15" hidden="false" customHeight="false" outlineLevel="0" collapsed="false">
      <c r="A494" s="22" t="s">
        <v>1661</v>
      </c>
      <c r="B494" s="22" t="s">
        <v>1662</v>
      </c>
      <c r="C494" s="22" t="s">
        <v>15</v>
      </c>
      <c r="D494" s="22" t="s">
        <v>61</v>
      </c>
      <c r="E494" s="22" t="s">
        <v>1663</v>
      </c>
      <c r="F494" s="23" t="n">
        <v>5634.18</v>
      </c>
      <c r="G494" s="24" t="n">
        <v>1.1497</v>
      </c>
      <c r="H494" s="24" t="n">
        <v>0.7293</v>
      </c>
      <c r="I494" s="22" t="s">
        <v>203</v>
      </c>
      <c r="J494" s="22"/>
      <c r="K494" s="23" t="n">
        <v>6251.39</v>
      </c>
      <c r="L494" s="22" t="s">
        <v>204</v>
      </c>
      <c r="M494" s="22" t="s">
        <v>205</v>
      </c>
    </row>
    <row r="495" customFormat="false" ht="15" hidden="false" customHeight="false" outlineLevel="0" collapsed="false">
      <c r="A495" s="22" t="s">
        <v>1664</v>
      </c>
      <c r="B495" s="22" t="s">
        <v>1665</v>
      </c>
      <c r="C495" s="22" t="s">
        <v>15</v>
      </c>
      <c r="D495" s="22" t="s">
        <v>58</v>
      </c>
      <c r="E495" s="22" t="s">
        <v>1666</v>
      </c>
      <c r="F495" s="23" t="n">
        <v>79858.11</v>
      </c>
      <c r="G495" s="24" t="n">
        <v>1.0779</v>
      </c>
      <c r="H495" s="24" t="n">
        <v>0.2183</v>
      </c>
      <c r="I495" s="22" t="s">
        <v>203</v>
      </c>
      <c r="J495" s="22"/>
      <c r="K495" s="23" t="n">
        <v>24866.03</v>
      </c>
      <c r="L495" s="22" t="s">
        <v>204</v>
      </c>
      <c r="M495" s="22" t="s">
        <v>205</v>
      </c>
    </row>
    <row r="496" customFormat="false" ht="15" hidden="false" customHeight="false" outlineLevel="0" collapsed="false">
      <c r="A496" s="22" t="s">
        <v>1667</v>
      </c>
      <c r="B496" s="22" t="s">
        <v>1668</v>
      </c>
      <c r="C496" s="22" t="s">
        <v>17</v>
      </c>
      <c r="D496" s="22" t="s">
        <v>61</v>
      </c>
      <c r="E496" s="22" t="s">
        <v>1669</v>
      </c>
      <c r="F496" s="23" t="n">
        <v>7821.62</v>
      </c>
      <c r="G496" s="24" t="n">
        <v>1.0362</v>
      </c>
      <c r="H496" s="24" t="n">
        <v>0.766</v>
      </c>
      <c r="I496" s="22" t="s">
        <v>203</v>
      </c>
      <c r="J496" s="22"/>
      <c r="K496" s="23" t="n">
        <v>8228.94</v>
      </c>
      <c r="L496" s="22" t="s">
        <v>204</v>
      </c>
      <c r="M496" s="22" t="s">
        <v>205</v>
      </c>
    </row>
    <row r="497" customFormat="false" ht="15" hidden="false" customHeight="false" outlineLevel="0" collapsed="false">
      <c r="A497" s="22" t="s">
        <v>1670</v>
      </c>
      <c r="B497" s="22" t="s">
        <v>1671</v>
      </c>
      <c r="C497" s="22" t="s">
        <v>17</v>
      </c>
      <c r="D497" s="22" t="s">
        <v>58</v>
      </c>
      <c r="E497" s="22" t="s">
        <v>1672</v>
      </c>
      <c r="F497" s="23" t="n">
        <v>62942.86</v>
      </c>
      <c r="G497" s="24" t="n">
        <v>1.1162</v>
      </c>
      <c r="H497" s="24" t="n">
        <v>0.7645</v>
      </c>
      <c r="I497" s="22" t="s">
        <v>203</v>
      </c>
      <c r="J497" s="22"/>
      <c r="K497" s="23" t="n">
        <v>71193.56</v>
      </c>
      <c r="L497" s="22" t="s">
        <v>204</v>
      </c>
      <c r="M497" s="22" t="s">
        <v>205</v>
      </c>
    </row>
    <row r="498" customFormat="false" ht="15" hidden="false" customHeight="false" outlineLevel="0" collapsed="false">
      <c r="A498" s="22" t="s">
        <v>1673</v>
      </c>
      <c r="B498" s="22" t="s">
        <v>1674</v>
      </c>
      <c r="C498" s="22" t="s">
        <v>19</v>
      </c>
      <c r="D498" s="22" t="s">
        <v>61</v>
      </c>
      <c r="E498" s="22" t="s">
        <v>1675</v>
      </c>
      <c r="F498" s="23" t="n">
        <v>4464.77</v>
      </c>
      <c r="G498" s="24" t="n">
        <v>1.2863</v>
      </c>
      <c r="H498" s="24" t="n">
        <v>0.2953</v>
      </c>
      <c r="I498" s="22" t="s">
        <v>203</v>
      </c>
      <c r="J498" s="22"/>
      <c r="K498" s="23" t="n">
        <v>2265.17</v>
      </c>
      <c r="L498" s="22" t="s">
        <v>204</v>
      </c>
      <c r="M498" s="22" t="s">
        <v>205</v>
      </c>
    </row>
    <row r="499" customFormat="false" ht="15" hidden="false" customHeight="false" outlineLevel="0" collapsed="false">
      <c r="A499" s="22" t="s">
        <v>1676</v>
      </c>
      <c r="B499" s="22" t="s">
        <v>1677</v>
      </c>
      <c r="C499" s="22" t="s">
        <v>15</v>
      </c>
      <c r="D499" s="22" t="s">
        <v>60</v>
      </c>
      <c r="E499" s="22" t="s">
        <v>1678</v>
      </c>
      <c r="F499" s="23" t="n">
        <v>31503.17</v>
      </c>
      <c r="G499" s="24" t="n">
        <v>1.2003</v>
      </c>
      <c r="H499" s="24" t="n">
        <v>0.3654</v>
      </c>
      <c r="I499" s="22" t="s">
        <v>203</v>
      </c>
      <c r="J499" s="22"/>
      <c r="K499" s="23" t="n">
        <v>18283.86</v>
      </c>
      <c r="L499" s="22" t="s">
        <v>204</v>
      </c>
      <c r="M499" s="22" t="s">
        <v>205</v>
      </c>
    </row>
    <row r="500" customFormat="false" ht="15" hidden="false" customHeight="false" outlineLevel="0" collapsed="false">
      <c r="A500" s="22" t="s">
        <v>1679</v>
      </c>
      <c r="B500" s="22" t="s">
        <v>1680</v>
      </c>
      <c r="C500" s="22" t="s">
        <v>15</v>
      </c>
      <c r="D500" s="22" t="s">
        <v>58</v>
      </c>
      <c r="E500" s="22" t="s">
        <v>1681</v>
      </c>
      <c r="F500" s="23" t="n">
        <v>37398.07</v>
      </c>
      <c r="G500" s="24" t="n">
        <v>1.1412</v>
      </c>
      <c r="H500" s="24" t="n">
        <v>0.7279</v>
      </c>
      <c r="I500" s="22" t="s">
        <v>203</v>
      </c>
      <c r="J500" s="22"/>
      <c r="K500" s="23" t="n">
        <v>41109.1</v>
      </c>
      <c r="L500" s="22" t="s">
        <v>204</v>
      </c>
      <c r="M500" s="22" t="s">
        <v>205</v>
      </c>
    </row>
    <row r="501" customFormat="false" ht="15" hidden="false" customHeight="false" outlineLevel="0" collapsed="false">
      <c r="A501" s="22" t="s">
        <v>1682</v>
      </c>
      <c r="B501" s="22" t="s">
        <v>1683</v>
      </c>
      <c r="C501" s="22" t="s">
        <v>17</v>
      </c>
      <c r="D501" s="22" t="s">
        <v>60</v>
      </c>
      <c r="E501" s="22" t="s">
        <v>1684</v>
      </c>
      <c r="F501" s="23" t="n">
        <v>8525.48</v>
      </c>
      <c r="G501" s="24" t="n">
        <v>1.1294</v>
      </c>
      <c r="H501" s="24" t="n">
        <v>0.0684</v>
      </c>
      <c r="I501" s="22" t="s">
        <v>203</v>
      </c>
      <c r="J501" s="22"/>
      <c r="K501" s="23" t="n">
        <v>872.97</v>
      </c>
      <c r="L501" s="22" t="s">
        <v>204</v>
      </c>
      <c r="M501" s="22" t="s">
        <v>205</v>
      </c>
    </row>
    <row r="502" customFormat="false" ht="15" hidden="false" customHeight="false" outlineLevel="0" collapsed="false">
      <c r="A502" s="22" t="s">
        <v>1685</v>
      </c>
      <c r="B502" s="22" t="s">
        <v>1686</v>
      </c>
      <c r="C502" s="22" t="s">
        <v>17</v>
      </c>
      <c r="D502" s="22" t="s">
        <v>61</v>
      </c>
      <c r="E502" s="22" t="s">
        <v>1687</v>
      </c>
      <c r="F502" s="23" t="n">
        <v>7144.11</v>
      </c>
      <c r="G502" s="24" t="n">
        <v>1.1945</v>
      </c>
      <c r="H502" s="24" t="n">
        <v>0.4508</v>
      </c>
      <c r="I502" s="22" t="s">
        <v>203</v>
      </c>
      <c r="J502" s="22"/>
      <c r="K502" s="23" t="n">
        <v>4322.82</v>
      </c>
      <c r="L502" s="22" t="s">
        <v>204</v>
      </c>
      <c r="M502" s="22" t="s">
        <v>205</v>
      </c>
    </row>
    <row r="503" customFormat="false" ht="15" hidden="false" customHeight="false" outlineLevel="0" collapsed="false">
      <c r="A503" s="22" t="s">
        <v>1688</v>
      </c>
      <c r="B503" s="22" t="s">
        <v>1689</v>
      </c>
      <c r="C503" s="22" t="s">
        <v>17</v>
      </c>
      <c r="D503" s="22" t="s">
        <v>60</v>
      </c>
      <c r="E503" s="22" t="s">
        <v>1690</v>
      </c>
      <c r="F503" s="23" t="n">
        <v>18503.48</v>
      </c>
      <c r="G503" s="24" t="n">
        <v>1.2837</v>
      </c>
      <c r="H503" s="24" t="n">
        <v>0.1078</v>
      </c>
      <c r="I503" s="22" t="s">
        <v>203</v>
      </c>
      <c r="J503" s="22"/>
      <c r="K503" s="23" t="n">
        <v>3393.99</v>
      </c>
      <c r="L503" s="22" t="s">
        <v>204</v>
      </c>
      <c r="M503" s="22" t="s">
        <v>205</v>
      </c>
    </row>
    <row r="504" customFormat="false" ht="15" hidden="false" customHeight="false" outlineLevel="0" collapsed="false">
      <c r="A504" s="22" t="s">
        <v>1691</v>
      </c>
      <c r="B504" s="22" t="s">
        <v>1692</v>
      </c>
      <c r="C504" s="22" t="s">
        <v>17</v>
      </c>
      <c r="D504" s="22" t="s">
        <v>61</v>
      </c>
      <c r="E504" s="22" t="s">
        <v>1693</v>
      </c>
      <c r="F504" s="23" t="n">
        <v>3103.9</v>
      </c>
      <c r="G504" s="24" t="n">
        <v>1.2747</v>
      </c>
      <c r="H504" s="24" t="n">
        <v>0.528</v>
      </c>
      <c r="I504" s="22" t="s">
        <v>203</v>
      </c>
      <c r="J504" s="22"/>
      <c r="K504" s="23" t="n">
        <v>2769.01</v>
      </c>
      <c r="L504" s="22" t="s">
        <v>204</v>
      </c>
      <c r="M504" s="22" t="s">
        <v>205</v>
      </c>
    </row>
    <row r="505" customFormat="false" ht="15" hidden="false" customHeight="false" outlineLevel="0" collapsed="false">
      <c r="A505" s="22" t="s">
        <v>1694</v>
      </c>
      <c r="B505" s="22" t="s">
        <v>1695</v>
      </c>
      <c r="C505" s="22" t="s">
        <v>15</v>
      </c>
      <c r="D505" s="22" t="s">
        <v>60</v>
      </c>
      <c r="E505" s="22" t="s">
        <v>1696</v>
      </c>
      <c r="F505" s="23" t="n">
        <v>24047</v>
      </c>
      <c r="G505" s="24" t="n">
        <v>1.0286</v>
      </c>
      <c r="H505" s="24" t="n">
        <v>0.7779</v>
      </c>
      <c r="I505" s="22" t="s">
        <v>203</v>
      </c>
      <c r="J505" s="22"/>
      <c r="K505" s="23" t="n">
        <v>25461.65</v>
      </c>
      <c r="L505" s="22" t="s">
        <v>204</v>
      </c>
      <c r="M505" s="22" t="s">
        <v>205</v>
      </c>
    </row>
    <row r="506" customFormat="false" ht="15" hidden="false" customHeight="false" outlineLevel="0" collapsed="false">
      <c r="A506" s="22" t="s">
        <v>1697</v>
      </c>
      <c r="B506" s="22" t="s">
        <v>1698</v>
      </c>
      <c r="C506" s="22" t="s">
        <v>15</v>
      </c>
      <c r="D506" s="22" t="s">
        <v>60</v>
      </c>
      <c r="E506" s="22" t="s">
        <v>1699</v>
      </c>
      <c r="F506" s="23" t="n">
        <v>16447.7</v>
      </c>
      <c r="G506" s="24" t="n">
        <v>1.2969</v>
      </c>
      <c r="H506" s="24" t="n">
        <v>0.741</v>
      </c>
      <c r="I506" s="22" t="s">
        <v>203</v>
      </c>
      <c r="J506" s="22"/>
      <c r="K506" s="23" t="n">
        <v>20916.31</v>
      </c>
      <c r="L506" s="22" t="s">
        <v>204</v>
      </c>
      <c r="M506" s="22" t="s">
        <v>205</v>
      </c>
    </row>
    <row r="507" customFormat="false" ht="15" hidden="false" customHeight="false" outlineLevel="0" collapsed="false">
      <c r="A507" s="22" t="s">
        <v>1700</v>
      </c>
      <c r="B507" s="22" t="s">
        <v>1701</v>
      </c>
      <c r="C507" s="22" t="s">
        <v>15</v>
      </c>
      <c r="D507" s="22" t="s">
        <v>59</v>
      </c>
      <c r="E507" s="22" t="s">
        <v>1702</v>
      </c>
      <c r="F507" s="23" t="n">
        <v>110811.07</v>
      </c>
      <c r="G507" s="24" t="n">
        <v>1.1151</v>
      </c>
      <c r="H507" s="24" t="n">
        <v>0.0624</v>
      </c>
      <c r="I507" s="22" t="s">
        <v>203</v>
      </c>
      <c r="J507" s="22"/>
      <c r="K507" s="23" t="n">
        <v>10203.21</v>
      </c>
      <c r="L507" s="22" t="s">
        <v>204</v>
      </c>
      <c r="M507" s="22" t="s">
        <v>205</v>
      </c>
    </row>
    <row r="508" customFormat="false" ht="15" hidden="false" customHeight="false" outlineLevel="0" collapsed="false">
      <c r="A508" s="22" t="s">
        <v>1703</v>
      </c>
      <c r="B508" s="22" t="s">
        <v>1704</v>
      </c>
      <c r="C508" s="22" t="s">
        <v>15</v>
      </c>
      <c r="D508" s="22" t="s">
        <v>61</v>
      </c>
      <c r="E508" s="22" t="s">
        <v>1705</v>
      </c>
      <c r="F508" s="23" t="n">
        <v>8540.43</v>
      </c>
      <c r="G508" s="24" t="n">
        <v>1.1923</v>
      </c>
      <c r="H508" s="24" t="n">
        <v>0.9036</v>
      </c>
      <c r="I508" s="22" t="s">
        <v>203</v>
      </c>
      <c r="J508" s="22"/>
      <c r="K508" s="23" t="n">
        <v>12175.78</v>
      </c>
      <c r="L508" s="22" t="s">
        <v>204</v>
      </c>
      <c r="M508" s="22" t="s">
        <v>205</v>
      </c>
    </row>
    <row r="509" customFormat="false" ht="15" hidden="false" customHeight="false" outlineLevel="0" collapsed="false">
      <c r="A509" s="22" t="s">
        <v>1706</v>
      </c>
      <c r="B509" s="22" t="s">
        <v>1707</v>
      </c>
      <c r="C509" s="22" t="s">
        <v>17</v>
      </c>
      <c r="D509" s="22" t="s">
        <v>58</v>
      </c>
      <c r="E509" s="22" t="s">
        <v>1708</v>
      </c>
      <c r="F509" s="23" t="n">
        <v>71273.24</v>
      </c>
      <c r="G509" s="24" t="n">
        <v>1.2268</v>
      </c>
      <c r="H509" s="24" t="n">
        <v>0.7233</v>
      </c>
      <c r="I509" s="22" t="s">
        <v>203</v>
      </c>
      <c r="J509" s="22"/>
      <c r="K509" s="23" t="n">
        <v>83828.84</v>
      </c>
      <c r="L509" s="22" t="s">
        <v>204</v>
      </c>
      <c r="M509" s="22" t="s">
        <v>205</v>
      </c>
    </row>
    <row r="510" customFormat="false" ht="15" hidden="false" customHeight="false" outlineLevel="0" collapsed="false">
      <c r="A510" s="22" t="s">
        <v>1709</v>
      </c>
      <c r="B510" s="22" t="s">
        <v>1710</v>
      </c>
      <c r="C510" s="22" t="s">
        <v>17</v>
      </c>
      <c r="D510" s="22" t="s">
        <v>58</v>
      </c>
      <c r="E510" s="22" t="s">
        <v>1595</v>
      </c>
      <c r="F510" s="23" t="n">
        <v>19708.07</v>
      </c>
      <c r="G510" s="24" t="n">
        <v>1.2901</v>
      </c>
      <c r="H510" s="24" t="n">
        <v>0.8204</v>
      </c>
      <c r="I510" s="22" t="s">
        <v>203</v>
      </c>
      <c r="J510" s="22"/>
      <c r="K510" s="23" t="n">
        <v>27648.26</v>
      </c>
      <c r="L510" s="22" t="s">
        <v>204</v>
      </c>
      <c r="M510" s="22" t="s">
        <v>205</v>
      </c>
    </row>
    <row r="511" customFormat="false" ht="15" hidden="false" customHeight="false" outlineLevel="0" collapsed="false">
      <c r="A511" s="22" t="s">
        <v>1711</v>
      </c>
      <c r="B511" s="22" t="s">
        <v>1712</v>
      </c>
      <c r="C511" s="22" t="s">
        <v>15</v>
      </c>
      <c r="D511" s="22" t="s">
        <v>61</v>
      </c>
      <c r="E511" s="22" t="s">
        <v>1713</v>
      </c>
      <c r="F511" s="23" t="n">
        <v>9796.09</v>
      </c>
      <c r="G511" s="24" t="n">
        <v>1.1834</v>
      </c>
      <c r="H511" s="24" t="n">
        <v>0.6494</v>
      </c>
      <c r="I511" s="22" t="s">
        <v>203</v>
      </c>
      <c r="J511" s="22"/>
      <c r="K511" s="23" t="n">
        <v>9962.12</v>
      </c>
      <c r="L511" s="22" t="s">
        <v>204</v>
      </c>
      <c r="M511" s="22" t="s">
        <v>205</v>
      </c>
    </row>
    <row r="512" customFormat="false" ht="15" hidden="false" customHeight="false" outlineLevel="0" collapsed="false">
      <c r="A512" s="22" t="s">
        <v>1714</v>
      </c>
      <c r="B512" s="22" t="s">
        <v>1715</v>
      </c>
      <c r="C512" s="22" t="s">
        <v>15</v>
      </c>
      <c r="D512" s="22" t="s">
        <v>61</v>
      </c>
      <c r="E512" s="22" t="s">
        <v>1716</v>
      </c>
      <c r="F512" s="23" t="n">
        <v>8722.89</v>
      </c>
      <c r="G512" s="24" t="n">
        <v>1.2045</v>
      </c>
      <c r="H512" s="24" t="n">
        <v>0.3343</v>
      </c>
      <c r="I512" s="22" t="s">
        <v>203</v>
      </c>
      <c r="J512" s="22"/>
      <c r="K512" s="23" t="n">
        <v>4647.92</v>
      </c>
      <c r="L512" s="22" t="s">
        <v>204</v>
      </c>
      <c r="M512" s="22" t="s">
        <v>205</v>
      </c>
    </row>
    <row r="513" customFormat="false" ht="15" hidden="false" customHeight="false" outlineLevel="0" collapsed="false">
      <c r="A513" s="22" t="s">
        <v>1717</v>
      </c>
      <c r="B513" s="22" t="s">
        <v>1718</v>
      </c>
      <c r="C513" s="22" t="s">
        <v>15</v>
      </c>
      <c r="D513" s="22" t="s">
        <v>59</v>
      </c>
      <c r="E513" s="22" t="s">
        <v>1719</v>
      </c>
      <c r="F513" s="23" t="n">
        <v>73621.18</v>
      </c>
      <c r="G513" s="24" t="n">
        <v>1.02</v>
      </c>
      <c r="H513" s="24" t="n">
        <v>0.1887</v>
      </c>
      <c r="I513" s="22" t="s">
        <v>203</v>
      </c>
      <c r="J513" s="22"/>
      <c r="K513" s="23" t="n">
        <v>18751.25</v>
      </c>
      <c r="L513" s="22" t="s">
        <v>204</v>
      </c>
      <c r="M513" s="22" t="s">
        <v>205</v>
      </c>
    </row>
    <row r="514" customFormat="false" ht="15" hidden="false" customHeight="false" outlineLevel="0" collapsed="false">
      <c r="A514" s="22" t="s">
        <v>1720</v>
      </c>
      <c r="B514" s="22" t="s">
        <v>1721</v>
      </c>
      <c r="C514" s="22" t="s">
        <v>17</v>
      </c>
      <c r="D514" s="22" t="s">
        <v>60</v>
      </c>
      <c r="E514" s="22" t="s">
        <v>1722</v>
      </c>
      <c r="F514" s="23" t="n">
        <v>30222.04</v>
      </c>
      <c r="G514" s="24" t="n">
        <v>1.1702</v>
      </c>
      <c r="H514" s="24" t="n">
        <v>0.3026</v>
      </c>
      <c r="I514" s="22" t="s">
        <v>203</v>
      </c>
      <c r="J514" s="22"/>
      <c r="K514" s="23" t="n">
        <v>14184.94</v>
      </c>
      <c r="L514" s="22" t="s">
        <v>204</v>
      </c>
      <c r="M514" s="22" t="s">
        <v>205</v>
      </c>
    </row>
    <row r="515" customFormat="false" ht="15" hidden="false" customHeight="false" outlineLevel="0" collapsed="false">
      <c r="A515" s="22" t="s">
        <v>1723</v>
      </c>
      <c r="B515" s="22" t="s">
        <v>1724</v>
      </c>
      <c r="C515" s="22" t="s">
        <v>15</v>
      </c>
      <c r="D515" s="22" t="s">
        <v>59</v>
      </c>
      <c r="E515" s="22" t="s">
        <v>1725</v>
      </c>
      <c r="F515" s="23" t="n">
        <v>87622.52</v>
      </c>
      <c r="G515" s="24" t="n">
        <v>1.1784</v>
      </c>
      <c r="H515" s="24" t="n">
        <v>0.8722</v>
      </c>
      <c r="I515" s="22" t="s">
        <v>203</v>
      </c>
      <c r="J515" s="22"/>
      <c r="K515" s="23" t="n">
        <v>119173.54</v>
      </c>
      <c r="L515" s="22" t="s">
        <v>204</v>
      </c>
      <c r="M515" s="22" t="s">
        <v>205</v>
      </c>
    </row>
    <row r="516" customFormat="false" ht="15" hidden="false" customHeight="false" outlineLevel="0" collapsed="false">
      <c r="A516" s="22" t="s">
        <v>1726</v>
      </c>
      <c r="B516" s="22" t="s">
        <v>1727</v>
      </c>
      <c r="C516" s="22" t="s">
        <v>17</v>
      </c>
      <c r="D516" s="22" t="s">
        <v>58</v>
      </c>
      <c r="E516" s="22" t="s">
        <v>1728</v>
      </c>
      <c r="F516" s="23" t="n">
        <v>51382.54</v>
      </c>
      <c r="G516" s="24" t="n">
        <v>1.1811</v>
      </c>
      <c r="H516" s="24" t="n">
        <v>0.9504</v>
      </c>
      <c r="I516" s="22" t="s">
        <v>203</v>
      </c>
      <c r="J516" s="22"/>
      <c r="K516" s="23" t="n">
        <v>76451.04</v>
      </c>
      <c r="L516" s="22" t="s">
        <v>204</v>
      </c>
      <c r="M516" s="22" t="s">
        <v>205</v>
      </c>
    </row>
    <row r="517" customFormat="false" ht="15" hidden="false" customHeight="false" outlineLevel="0" collapsed="false">
      <c r="A517" s="22" t="s">
        <v>1729</v>
      </c>
      <c r="B517" s="22" t="s">
        <v>1730</v>
      </c>
      <c r="C517" s="22" t="s">
        <v>15</v>
      </c>
      <c r="D517" s="22" t="s">
        <v>58</v>
      </c>
      <c r="E517" s="22" t="s">
        <v>1731</v>
      </c>
      <c r="F517" s="23" t="n">
        <v>27447</v>
      </c>
      <c r="G517" s="24" t="n">
        <v>1.2149</v>
      </c>
      <c r="H517" s="24" t="n">
        <v>0.8057</v>
      </c>
      <c r="I517" s="22" t="s">
        <v>203</v>
      </c>
      <c r="J517" s="22"/>
      <c r="K517" s="23" t="n">
        <v>35552</v>
      </c>
      <c r="L517" s="22" t="s">
        <v>204</v>
      </c>
      <c r="M517" s="22" t="s">
        <v>205</v>
      </c>
    </row>
    <row r="518" customFormat="false" ht="15" hidden="false" customHeight="false" outlineLevel="0" collapsed="false">
      <c r="A518" s="22" t="s">
        <v>1732</v>
      </c>
      <c r="B518" s="22" t="s">
        <v>1733</v>
      </c>
      <c r="C518" s="22" t="s">
        <v>19</v>
      </c>
      <c r="D518" s="22" t="s">
        <v>60</v>
      </c>
      <c r="E518" s="22" t="s">
        <v>1734</v>
      </c>
      <c r="F518" s="23" t="n">
        <v>21605.38</v>
      </c>
      <c r="G518" s="24" t="n">
        <v>1.2454</v>
      </c>
      <c r="H518" s="24" t="n">
        <v>0.7431</v>
      </c>
      <c r="I518" s="22" t="s">
        <v>203</v>
      </c>
      <c r="J518" s="22"/>
      <c r="K518" s="23" t="n">
        <v>26706.35</v>
      </c>
      <c r="L518" s="22" t="s">
        <v>204</v>
      </c>
      <c r="M518" s="22" t="s">
        <v>205</v>
      </c>
    </row>
    <row r="519" customFormat="false" ht="15" hidden="false" customHeight="false" outlineLevel="0" collapsed="false">
      <c r="A519" s="22" t="s">
        <v>1735</v>
      </c>
      <c r="B519" s="22" t="s">
        <v>1736</v>
      </c>
      <c r="C519" s="22" t="s">
        <v>15</v>
      </c>
      <c r="D519" s="22" t="s">
        <v>58</v>
      </c>
      <c r="E519" s="22" t="s">
        <v>1737</v>
      </c>
      <c r="F519" s="23" t="n">
        <v>28984.75</v>
      </c>
      <c r="G519" s="24" t="n">
        <v>1.018</v>
      </c>
      <c r="H519" s="24" t="n">
        <v>0.7633</v>
      </c>
      <c r="I519" s="22" t="s">
        <v>203</v>
      </c>
      <c r="J519" s="22"/>
      <c r="K519" s="23" t="n">
        <v>29803.54</v>
      </c>
      <c r="L519" s="22" t="s">
        <v>204</v>
      </c>
      <c r="M519" s="22" t="s">
        <v>205</v>
      </c>
    </row>
    <row r="520" customFormat="false" ht="15" hidden="false" customHeight="false" outlineLevel="0" collapsed="false">
      <c r="A520" s="22" t="s">
        <v>1738</v>
      </c>
      <c r="B520" s="22" t="s">
        <v>1739</v>
      </c>
      <c r="C520" s="22" t="s">
        <v>15</v>
      </c>
      <c r="D520" s="22" t="s">
        <v>60</v>
      </c>
      <c r="E520" s="22" t="s">
        <v>1740</v>
      </c>
      <c r="F520" s="23" t="n">
        <v>19526.7</v>
      </c>
      <c r="G520" s="24" t="n">
        <v>1.1847</v>
      </c>
      <c r="H520" s="24" t="n">
        <v>0.8034</v>
      </c>
      <c r="I520" s="22" t="s">
        <v>203</v>
      </c>
      <c r="J520" s="22"/>
      <c r="K520" s="23" t="n">
        <v>24593.73</v>
      </c>
      <c r="L520" s="22" t="s">
        <v>204</v>
      </c>
      <c r="M520" s="22" t="s">
        <v>205</v>
      </c>
    </row>
    <row r="521" customFormat="false" ht="15" hidden="false" customHeight="false" outlineLevel="0" collapsed="false">
      <c r="A521" s="22" t="s">
        <v>1741</v>
      </c>
      <c r="B521" s="22" t="s">
        <v>1742</v>
      </c>
      <c r="C521" s="22" t="s">
        <v>15</v>
      </c>
      <c r="D521" s="22" t="s">
        <v>61</v>
      </c>
      <c r="E521" s="22" t="s">
        <v>1743</v>
      </c>
      <c r="F521" s="23" t="n">
        <v>7665.64</v>
      </c>
      <c r="G521" s="24" t="n">
        <v>1.2</v>
      </c>
      <c r="H521" s="24" t="n">
        <v>0.4042</v>
      </c>
      <c r="I521" s="22" t="s">
        <v>203</v>
      </c>
      <c r="J521" s="22"/>
      <c r="K521" s="23" t="n">
        <v>4920.18</v>
      </c>
      <c r="L521" s="22" t="s">
        <v>204</v>
      </c>
      <c r="M521" s="22" t="s">
        <v>205</v>
      </c>
    </row>
    <row r="522" customFormat="false" ht="15" hidden="false" customHeight="false" outlineLevel="0" collapsed="false">
      <c r="A522" s="22" t="s">
        <v>1744</v>
      </c>
      <c r="B522" s="22" t="s">
        <v>1745</v>
      </c>
      <c r="C522" s="22" t="s">
        <v>17</v>
      </c>
      <c r="D522" s="22" t="s">
        <v>58</v>
      </c>
      <c r="E522" s="22" t="s">
        <v>1746</v>
      </c>
      <c r="F522" s="23" t="n">
        <v>73333.71</v>
      </c>
      <c r="G522" s="24" t="n">
        <v>1.2881</v>
      </c>
      <c r="H522" s="24" t="n">
        <v>0.1932</v>
      </c>
      <c r="I522" s="22" t="s">
        <v>203</v>
      </c>
      <c r="J522" s="22"/>
      <c r="K522" s="23" t="n">
        <v>24189.96</v>
      </c>
      <c r="L522" s="22" t="s">
        <v>204</v>
      </c>
      <c r="M522" s="22" t="s">
        <v>205</v>
      </c>
    </row>
    <row r="523" customFormat="false" ht="15" hidden="false" customHeight="false" outlineLevel="0" collapsed="false">
      <c r="A523" s="22" t="s">
        <v>1747</v>
      </c>
      <c r="B523" s="22" t="s">
        <v>1748</v>
      </c>
      <c r="C523" s="22" t="s">
        <v>17</v>
      </c>
      <c r="D523" s="22" t="s">
        <v>59</v>
      </c>
      <c r="E523" s="22" t="s">
        <v>1749</v>
      </c>
      <c r="F523" s="23" t="n">
        <v>45658.04</v>
      </c>
      <c r="G523" s="24" t="n">
        <v>1.1285</v>
      </c>
      <c r="H523" s="24" t="n">
        <v>0.681</v>
      </c>
      <c r="I523" s="22" t="s">
        <v>203</v>
      </c>
      <c r="J523" s="22"/>
      <c r="K523" s="23" t="n">
        <v>46509.39</v>
      </c>
      <c r="L523" s="22" t="s">
        <v>204</v>
      </c>
      <c r="M523" s="22" t="s">
        <v>205</v>
      </c>
    </row>
    <row r="524" customFormat="false" ht="15" hidden="false" customHeight="false" outlineLevel="0" collapsed="false">
      <c r="A524" s="22" t="s">
        <v>1750</v>
      </c>
      <c r="B524" s="22" t="s">
        <v>1751</v>
      </c>
      <c r="C524" s="22" t="s">
        <v>17</v>
      </c>
      <c r="D524" s="22" t="s">
        <v>58</v>
      </c>
      <c r="E524" s="22" t="s">
        <v>1752</v>
      </c>
      <c r="F524" s="23" t="n">
        <v>27537.09</v>
      </c>
      <c r="G524" s="24" t="n">
        <v>1.284</v>
      </c>
      <c r="H524" s="24" t="n">
        <v>0.2365</v>
      </c>
      <c r="I524" s="22" t="s">
        <v>203</v>
      </c>
      <c r="J524" s="22"/>
      <c r="K524" s="23" t="n">
        <v>11083.81</v>
      </c>
      <c r="L524" s="22" t="s">
        <v>204</v>
      </c>
      <c r="M524" s="22" t="s">
        <v>205</v>
      </c>
    </row>
    <row r="525" customFormat="false" ht="15" hidden="false" customHeight="false" outlineLevel="0" collapsed="false">
      <c r="A525" s="22" t="s">
        <v>1753</v>
      </c>
      <c r="B525" s="22" t="s">
        <v>1754</v>
      </c>
      <c r="C525" s="22" t="s">
        <v>15</v>
      </c>
      <c r="D525" s="22" t="s">
        <v>60</v>
      </c>
      <c r="E525" s="22" t="s">
        <v>1755</v>
      </c>
      <c r="F525" s="23" t="n">
        <v>12190.8</v>
      </c>
      <c r="G525" s="24" t="n">
        <v>1.2827</v>
      </c>
      <c r="H525" s="24" t="n">
        <v>0.9763</v>
      </c>
      <c r="I525" s="22" t="s">
        <v>203</v>
      </c>
      <c r="J525" s="22"/>
      <c r="K525" s="23" t="n">
        <v>20202.07</v>
      </c>
      <c r="L525" s="22" t="s">
        <v>204</v>
      </c>
      <c r="M525" s="22" t="s">
        <v>205</v>
      </c>
    </row>
    <row r="526" customFormat="false" ht="15" hidden="false" customHeight="false" outlineLevel="0" collapsed="false">
      <c r="A526" s="22" t="s">
        <v>1756</v>
      </c>
      <c r="B526" s="22" t="s">
        <v>1757</v>
      </c>
      <c r="C526" s="22" t="s">
        <v>17</v>
      </c>
      <c r="D526" s="22" t="s">
        <v>61</v>
      </c>
      <c r="E526" s="22" t="s">
        <v>1758</v>
      </c>
      <c r="F526" s="23" t="n">
        <v>5026.82</v>
      </c>
      <c r="G526" s="24" t="n">
        <v>1.1384</v>
      </c>
      <c r="H526" s="24" t="n">
        <v>0.1016</v>
      </c>
      <c r="I526" s="22" t="s">
        <v>203</v>
      </c>
      <c r="J526" s="22"/>
      <c r="K526" s="23" t="n">
        <v>770.65</v>
      </c>
      <c r="L526" s="22" t="s">
        <v>204</v>
      </c>
      <c r="M526" s="22" t="s">
        <v>205</v>
      </c>
    </row>
    <row r="527" customFormat="false" ht="15" hidden="false" customHeight="false" outlineLevel="0" collapsed="false">
      <c r="A527" s="22" t="s">
        <v>1759</v>
      </c>
      <c r="B527" s="22" t="s">
        <v>1760</v>
      </c>
      <c r="C527" s="22" t="s">
        <v>17</v>
      </c>
      <c r="D527" s="22" t="s">
        <v>58</v>
      </c>
      <c r="E527" s="22" t="s">
        <v>1761</v>
      </c>
      <c r="F527" s="23" t="n">
        <v>55475.23</v>
      </c>
      <c r="G527" s="24" t="n">
        <v>1.1313</v>
      </c>
      <c r="H527" s="24" t="n">
        <v>0.492</v>
      </c>
      <c r="I527" s="22" t="s">
        <v>203</v>
      </c>
      <c r="J527" s="22"/>
      <c r="K527" s="23" t="n">
        <v>40927.64</v>
      </c>
      <c r="L527" s="22" t="s">
        <v>204</v>
      </c>
      <c r="M527" s="22" t="s">
        <v>205</v>
      </c>
    </row>
    <row r="528" customFormat="false" ht="15" hidden="false" customHeight="false" outlineLevel="0" collapsed="false">
      <c r="A528" s="22" t="s">
        <v>1762</v>
      </c>
      <c r="B528" s="22" t="s">
        <v>1763</v>
      </c>
      <c r="C528" s="22" t="s">
        <v>15</v>
      </c>
      <c r="D528" s="22" t="s">
        <v>58</v>
      </c>
      <c r="E528" s="22" t="s">
        <v>1764</v>
      </c>
      <c r="F528" s="23" t="n">
        <v>56748.48</v>
      </c>
      <c r="G528" s="24" t="n">
        <v>1.173</v>
      </c>
      <c r="H528" s="24" t="n">
        <v>0.7663</v>
      </c>
      <c r="I528" s="22" t="s">
        <v>203</v>
      </c>
      <c r="J528" s="22"/>
      <c r="K528" s="23" t="n">
        <v>67500.4</v>
      </c>
      <c r="L528" s="22" t="s">
        <v>204</v>
      </c>
      <c r="M528" s="22" t="s">
        <v>205</v>
      </c>
    </row>
    <row r="529" customFormat="false" ht="15" hidden="false" customHeight="false" outlineLevel="0" collapsed="false">
      <c r="A529" s="22" t="s">
        <v>1765</v>
      </c>
      <c r="B529" s="22" t="s">
        <v>1766</v>
      </c>
      <c r="C529" s="22" t="s">
        <v>17</v>
      </c>
      <c r="D529" s="22" t="s">
        <v>61</v>
      </c>
      <c r="E529" s="22" t="s">
        <v>1767</v>
      </c>
      <c r="F529" s="23" t="n">
        <v>3607.2</v>
      </c>
      <c r="G529" s="24" t="n">
        <v>1.1674</v>
      </c>
      <c r="H529" s="24" t="n">
        <v>0.6037</v>
      </c>
      <c r="I529" s="22" t="s">
        <v>203</v>
      </c>
      <c r="J529" s="22"/>
      <c r="K529" s="23" t="n">
        <v>3369.66</v>
      </c>
      <c r="L529" s="22" t="s">
        <v>204</v>
      </c>
      <c r="M529" s="22" t="s">
        <v>205</v>
      </c>
    </row>
    <row r="530" customFormat="false" ht="15" hidden="false" customHeight="false" outlineLevel="0" collapsed="false">
      <c r="A530" s="22" t="s">
        <v>1768</v>
      </c>
      <c r="B530" s="22" t="s">
        <v>1769</v>
      </c>
      <c r="C530" s="22" t="s">
        <v>17</v>
      </c>
      <c r="D530" s="22" t="s">
        <v>62</v>
      </c>
      <c r="E530" s="22" t="s">
        <v>1770</v>
      </c>
      <c r="F530" s="23" t="n">
        <v>484783.08</v>
      </c>
      <c r="G530" s="24" t="n">
        <v>1.2837</v>
      </c>
      <c r="H530" s="24" t="n">
        <v>0.0936</v>
      </c>
      <c r="I530" s="22" t="s">
        <v>203</v>
      </c>
      <c r="J530" s="22"/>
      <c r="K530" s="23" t="n">
        <v>77207.87</v>
      </c>
      <c r="L530" s="22" t="s">
        <v>204</v>
      </c>
      <c r="M530" s="22" t="s">
        <v>205</v>
      </c>
    </row>
    <row r="531" customFormat="false" ht="15" hidden="false" customHeight="false" outlineLevel="0" collapsed="false">
      <c r="A531" s="22" t="s">
        <v>1771</v>
      </c>
      <c r="B531" s="22" t="s">
        <v>1772</v>
      </c>
      <c r="C531" s="22" t="s">
        <v>17</v>
      </c>
      <c r="D531" s="22" t="s">
        <v>60</v>
      </c>
      <c r="E531" s="22" t="s">
        <v>1773</v>
      </c>
      <c r="F531" s="23" t="n">
        <v>13538.47</v>
      </c>
      <c r="G531" s="24" t="n">
        <v>1.23</v>
      </c>
      <c r="H531" s="24" t="n">
        <v>0.01</v>
      </c>
      <c r="I531" s="22" t="s">
        <v>203</v>
      </c>
      <c r="J531" s="22"/>
      <c r="K531" s="23" t="n">
        <v>220.72</v>
      </c>
      <c r="L531" s="22" t="s">
        <v>204</v>
      </c>
      <c r="M531" s="22" t="s">
        <v>205</v>
      </c>
    </row>
    <row r="532" customFormat="false" ht="15" hidden="false" customHeight="false" outlineLevel="0" collapsed="false">
      <c r="A532" s="22" t="s">
        <v>1774</v>
      </c>
      <c r="B532" s="22" t="s">
        <v>1775</v>
      </c>
      <c r="C532" s="22" t="s">
        <v>15</v>
      </c>
      <c r="D532" s="22" t="s">
        <v>61</v>
      </c>
      <c r="E532" s="22" t="s">
        <v>1776</v>
      </c>
      <c r="F532" s="23" t="n">
        <v>4270.7</v>
      </c>
      <c r="G532" s="24" t="n">
        <v>1.2903</v>
      </c>
      <c r="H532" s="24" t="n">
        <v>0.0251</v>
      </c>
      <c r="I532" s="22" t="s">
        <v>203</v>
      </c>
      <c r="J532" s="22"/>
      <c r="K532" s="23" t="n">
        <v>183.03</v>
      </c>
      <c r="L532" s="22" t="s">
        <v>204</v>
      </c>
      <c r="M532" s="22" t="s">
        <v>205</v>
      </c>
    </row>
    <row r="533" customFormat="false" ht="15" hidden="false" customHeight="false" outlineLevel="0" collapsed="false">
      <c r="A533" s="22" t="s">
        <v>1777</v>
      </c>
      <c r="B533" s="22" t="s">
        <v>1778</v>
      </c>
      <c r="C533" s="22" t="s">
        <v>17</v>
      </c>
      <c r="D533" s="22" t="s">
        <v>60</v>
      </c>
      <c r="E533" s="22" t="s">
        <v>1779</v>
      </c>
      <c r="F533" s="23" t="n">
        <v>32864.4</v>
      </c>
      <c r="G533" s="24" t="n">
        <v>1.0884</v>
      </c>
      <c r="H533" s="24" t="n">
        <v>0.5781</v>
      </c>
      <c r="I533" s="22" t="s">
        <v>203</v>
      </c>
      <c r="J533" s="22"/>
      <c r="K533" s="23" t="n">
        <v>27408.92</v>
      </c>
      <c r="L533" s="22" t="s">
        <v>204</v>
      </c>
      <c r="M533" s="22" t="s">
        <v>205</v>
      </c>
    </row>
    <row r="534" customFormat="false" ht="15" hidden="false" customHeight="false" outlineLevel="0" collapsed="false">
      <c r="A534" s="22" t="s">
        <v>1780</v>
      </c>
      <c r="B534" s="22" t="s">
        <v>1781</v>
      </c>
      <c r="C534" s="22" t="s">
        <v>15</v>
      </c>
      <c r="D534" s="22" t="s">
        <v>60</v>
      </c>
      <c r="E534" s="22" t="s">
        <v>1782</v>
      </c>
      <c r="F534" s="23" t="n">
        <v>22943.61</v>
      </c>
      <c r="G534" s="24" t="n">
        <v>1.2842</v>
      </c>
      <c r="H534" s="24" t="n">
        <v>0.5937</v>
      </c>
      <c r="I534" s="22" t="s">
        <v>203</v>
      </c>
      <c r="J534" s="22"/>
      <c r="K534" s="23" t="n">
        <v>23148.17</v>
      </c>
      <c r="L534" s="22" t="s">
        <v>204</v>
      </c>
      <c r="M534" s="22" t="s">
        <v>205</v>
      </c>
    </row>
    <row r="535" customFormat="false" ht="15" hidden="false" customHeight="false" outlineLevel="0" collapsed="false">
      <c r="A535" s="22" t="s">
        <v>1783</v>
      </c>
      <c r="B535" s="22" t="s">
        <v>1784</v>
      </c>
      <c r="C535" s="22" t="s">
        <v>15</v>
      </c>
      <c r="D535" s="22" t="s">
        <v>60</v>
      </c>
      <c r="E535" s="22" t="s">
        <v>1785</v>
      </c>
      <c r="F535" s="23" t="n">
        <v>21473.7</v>
      </c>
      <c r="G535" s="24" t="n">
        <v>1.1413</v>
      </c>
      <c r="H535" s="24" t="n">
        <v>0.1339</v>
      </c>
      <c r="I535" s="22" t="s">
        <v>203</v>
      </c>
      <c r="J535" s="22"/>
      <c r="K535" s="23" t="n">
        <v>4342.53</v>
      </c>
      <c r="L535" s="22" t="s">
        <v>204</v>
      </c>
      <c r="M535" s="22" t="s">
        <v>205</v>
      </c>
    </row>
    <row r="536" customFormat="false" ht="15" hidden="false" customHeight="false" outlineLevel="0" collapsed="false">
      <c r="A536" s="22" t="s">
        <v>1786</v>
      </c>
      <c r="B536" s="22" t="s">
        <v>1787</v>
      </c>
      <c r="C536" s="22" t="s">
        <v>19</v>
      </c>
      <c r="D536" s="22" t="s">
        <v>58</v>
      </c>
      <c r="E536" s="22" t="s">
        <v>1788</v>
      </c>
      <c r="F536" s="23" t="n">
        <v>89474.43</v>
      </c>
      <c r="G536" s="24" t="n">
        <v>1.0662</v>
      </c>
      <c r="H536" s="24" t="n">
        <v>0.3634</v>
      </c>
      <c r="I536" s="22" t="s">
        <v>203</v>
      </c>
      <c r="J536" s="22"/>
      <c r="K536" s="23" t="n">
        <v>46304.06</v>
      </c>
      <c r="L536" s="22" t="s">
        <v>204</v>
      </c>
      <c r="M536" s="22" t="s">
        <v>205</v>
      </c>
    </row>
    <row r="537" customFormat="false" ht="15" hidden="false" customHeight="false" outlineLevel="0" collapsed="false">
      <c r="A537" s="22" t="s">
        <v>1789</v>
      </c>
      <c r="B537" s="22" t="s">
        <v>1790</v>
      </c>
      <c r="C537" s="22" t="s">
        <v>17</v>
      </c>
      <c r="D537" s="22" t="s">
        <v>58</v>
      </c>
      <c r="E537" s="22" t="s">
        <v>1791</v>
      </c>
      <c r="F537" s="23" t="n">
        <v>85490.12</v>
      </c>
      <c r="G537" s="24" t="n">
        <v>1.1155</v>
      </c>
      <c r="H537" s="24" t="n">
        <v>0.2061</v>
      </c>
      <c r="I537" s="22" t="s">
        <v>203</v>
      </c>
      <c r="J537" s="22"/>
      <c r="K537" s="23" t="n">
        <v>26051.83</v>
      </c>
      <c r="L537" s="22" t="s">
        <v>204</v>
      </c>
      <c r="M537" s="22" t="s">
        <v>205</v>
      </c>
    </row>
    <row r="538" customFormat="false" ht="15" hidden="false" customHeight="false" outlineLevel="0" collapsed="false">
      <c r="A538" s="22" t="s">
        <v>1792</v>
      </c>
      <c r="B538" s="22" t="s">
        <v>1793</v>
      </c>
      <c r="C538" s="22" t="s">
        <v>17</v>
      </c>
      <c r="D538" s="22" t="s">
        <v>58</v>
      </c>
      <c r="E538" s="22" t="s">
        <v>1794</v>
      </c>
      <c r="F538" s="23" t="n">
        <v>59511.18</v>
      </c>
      <c r="G538" s="24" t="n">
        <v>1.2586</v>
      </c>
      <c r="H538" s="24" t="n">
        <v>0.8052</v>
      </c>
      <c r="I538" s="22" t="s">
        <v>203</v>
      </c>
      <c r="J538" s="22"/>
      <c r="K538" s="23" t="n">
        <v>79940.11</v>
      </c>
      <c r="L538" s="22" t="s">
        <v>204</v>
      </c>
      <c r="M538" s="22" t="s">
        <v>205</v>
      </c>
    </row>
    <row r="539" customFormat="false" ht="15" hidden="false" customHeight="false" outlineLevel="0" collapsed="false">
      <c r="A539" s="22" t="s">
        <v>1795</v>
      </c>
      <c r="B539" s="22" t="s">
        <v>1796</v>
      </c>
      <c r="C539" s="22" t="s">
        <v>15</v>
      </c>
      <c r="D539" s="22" t="s">
        <v>60</v>
      </c>
      <c r="E539" s="22" t="s">
        <v>1797</v>
      </c>
      <c r="F539" s="23" t="n">
        <v>8841.27</v>
      </c>
      <c r="G539" s="24" t="n">
        <v>1.0295</v>
      </c>
      <c r="H539" s="24" t="n">
        <v>0.6152</v>
      </c>
      <c r="I539" s="22" t="s">
        <v>203</v>
      </c>
      <c r="J539" s="22"/>
      <c r="K539" s="23" t="n">
        <v>7409.9</v>
      </c>
      <c r="L539" s="22" t="s">
        <v>204</v>
      </c>
      <c r="M539" s="22" t="s">
        <v>205</v>
      </c>
    </row>
    <row r="540" customFormat="false" ht="15" hidden="false" customHeight="false" outlineLevel="0" collapsed="false">
      <c r="A540" s="22" t="s">
        <v>1798</v>
      </c>
      <c r="B540" s="22" t="s">
        <v>1799</v>
      </c>
      <c r="C540" s="22" t="s">
        <v>15</v>
      </c>
      <c r="D540" s="22" t="s">
        <v>61</v>
      </c>
      <c r="E540" s="22" t="s">
        <v>1800</v>
      </c>
      <c r="F540" s="23" t="n">
        <v>2297.23</v>
      </c>
      <c r="G540" s="24" t="n">
        <v>1.056</v>
      </c>
      <c r="H540" s="24" t="n">
        <v>0.6092</v>
      </c>
      <c r="I540" s="22" t="s">
        <v>203</v>
      </c>
      <c r="J540" s="22"/>
      <c r="K540" s="23" t="n">
        <v>2237.88</v>
      </c>
      <c r="L540" s="22" t="s">
        <v>204</v>
      </c>
      <c r="M540" s="22" t="s">
        <v>205</v>
      </c>
    </row>
    <row r="541" customFormat="false" ht="15" hidden="false" customHeight="false" outlineLevel="0" collapsed="false">
      <c r="A541" s="22" t="s">
        <v>1801</v>
      </c>
      <c r="B541" s="22" t="s">
        <v>1802</v>
      </c>
      <c r="C541" s="22" t="s">
        <v>15</v>
      </c>
      <c r="D541" s="22" t="s">
        <v>58</v>
      </c>
      <c r="E541" s="22" t="s">
        <v>1803</v>
      </c>
      <c r="F541" s="23" t="n">
        <v>53812.79</v>
      </c>
      <c r="G541" s="24" t="n">
        <v>1.1284</v>
      </c>
      <c r="H541" s="24" t="n">
        <v>0.8597</v>
      </c>
      <c r="I541" s="22" t="s">
        <v>203</v>
      </c>
      <c r="J541" s="22"/>
      <c r="K541" s="23" t="n">
        <v>69079.75</v>
      </c>
      <c r="L541" s="22" t="s">
        <v>204</v>
      </c>
      <c r="M541" s="22" t="s">
        <v>205</v>
      </c>
    </row>
    <row r="542" customFormat="false" ht="15" hidden="false" customHeight="false" outlineLevel="0" collapsed="false">
      <c r="A542" s="22" t="s">
        <v>1804</v>
      </c>
      <c r="B542" s="22" t="s">
        <v>1805</v>
      </c>
      <c r="C542" s="22" t="s">
        <v>15</v>
      </c>
      <c r="D542" s="22" t="s">
        <v>62</v>
      </c>
      <c r="E542" s="22" t="s">
        <v>1806</v>
      </c>
      <c r="F542" s="23" t="n">
        <v>532405.86</v>
      </c>
      <c r="G542" s="24" t="n">
        <v>1.0725</v>
      </c>
      <c r="H542" s="24" t="n">
        <v>0.2443</v>
      </c>
      <c r="I542" s="22" t="s">
        <v>203</v>
      </c>
      <c r="J542" s="22"/>
      <c r="K542" s="23" t="n">
        <v>184594.55</v>
      </c>
      <c r="L542" s="22" t="s">
        <v>204</v>
      </c>
      <c r="M542" s="22" t="s">
        <v>205</v>
      </c>
    </row>
    <row r="543" customFormat="false" ht="15" hidden="false" customHeight="false" outlineLevel="0" collapsed="false">
      <c r="A543" s="22" t="s">
        <v>1807</v>
      </c>
      <c r="B543" s="22" t="s">
        <v>1808</v>
      </c>
      <c r="C543" s="22" t="s">
        <v>17</v>
      </c>
      <c r="D543" s="22" t="s">
        <v>60</v>
      </c>
      <c r="E543" s="22" t="s">
        <v>1809</v>
      </c>
      <c r="F543" s="23" t="n">
        <v>8775.26</v>
      </c>
      <c r="G543" s="24" t="n">
        <v>1.1466</v>
      </c>
      <c r="H543" s="24" t="n">
        <v>0.4448</v>
      </c>
      <c r="I543" s="22" t="s">
        <v>203</v>
      </c>
      <c r="J543" s="22"/>
      <c r="K543" s="23" t="n">
        <v>5932.14</v>
      </c>
      <c r="L543" s="22" t="s">
        <v>204</v>
      </c>
      <c r="M543" s="22" t="s">
        <v>205</v>
      </c>
    </row>
    <row r="544" customFormat="false" ht="15" hidden="false" customHeight="false" outlineLevel="0" collapsed="false">
      <c r="A544" s="22" t="s">
        <v>1810</v>
      </c>
      <c r="B544" s="22" t="s">
        <v>1811</v>
      </c>
      <c r="C544" s="22" t="s">
        <v>15</v>
      </c>
      <c r="D544" s="22" t="s">
        <v>60</v>
      </c>
      <c r="E544" s="22" t="s">
        <v>1812</v>
      </c>
      <c r="F544" s="23" t="n">
        <v>13947.97</v>
      </c>
      <c r="G544" s="24" t="n">
        <v>1.2205</v>
      </c>
      <c r="H544" s="24" t="n">
        <v>0.4184</v>
      </c>
      <c r="I544" s="22" t="s">
        <v>203</v>
      </c>
      <c r="J544" s="22"/>
      <c r="K544" s="23" t="n">
        <v>9425.31</v>
      </c>
      <c r="L544" s="22" t="s">
        <v>204</v>
      </c>
      <c r="M544" s="22" t="s">
        <v>205</v>
      </c>
    </row>
    <row r="545" customFormat="false" ht="15" hidden="false" customHeight="false" outlineLevel="0" collapsed="false">
      <c r="A545" s="22" t="s">
        <v>1813</v>
      </c>
      <c r="B545" s="22" t="s">
        <v>1814</v>
      </c>
      <c r="C545" s="22" t="s">
        <v>15</v>
      </c>
      <c r="D545" s="22" t="s">
        <v>60</v>
      </c>
      <c r="E545" s="22" t="s">
        <v>1815</v>
      </c>
      <c r="F545" s="23" t="n">
        <v>25419.6</v>
      </c>
      <c r="G545" s="24" t="n">
        <v>1.2153</v>
      </c>
      <c r="H545" s="24" t="n">
        <v>0.1865</v>
      </c>
      <c r="I545" s="22" t="s">
        <v>203</v>
      </c>
      <c r="J545" s="22"/>
      <c r="K545" s="23" t="n">
        <v>7624.06</v>
      </c>
      <c r="L545" s="22" t="s">
        <v>204</v>
      </c>
      <c r="M545" s="22" t="s">
        <v>205</v>
      </c>
    </row>
    <row r="546" customFormat="false" ht="15" hidden="false" customHeight="false" outlineLevel="0" collapsed="false">
      <c r="A546" s="22" t="s">
        <v>1816</v>
      </c>
      <c r="B546" s="22" t="s">
        <v>1817</v>
      </c>
      <c r="C546" s="22" t="s">
        <v>17</v>
      </c>
      <c r="D546" s="22" t="s">
        <v>60</v>
      </c>
      <c r="E546" s="22" t="s">
        <v>1818</v>
      </c>
      <c r="F546" s="23" t="n">
        <v>17774.53</v>
      </c>
      <c r="G546" s="24" t="n">
        <v>1.06</v>
      </c>
      <c r="H546" s="24" t="n">
        <v>0.921</v>
      </c>
      <c r="I546" s="22" t="s">
        <v>203</v>
      </c>
      <c r="J546" s="22"/>
      <c r="K546" s="23" t="n">
        <v>23000.56</v>
      </c>
      <c r="L546" s="22" t="s">
        <v>204</v>
      </c>
      <c r="M546" s="22" t="s">
        <v>205</v>
      </c>
    </row>
    <row r="547" customFormat="false" ht="15" hidden="false" customHeight="false" outlineLevel="0" collapsed="false">
      <c r="A547" s="22" t="s">
        <v>1819</v>
      </c>
      <c r="B547" s="22" t="s">
        <v>1820</v>
      </c>
      <c r="C547" s="22" t="s">
        <v>17</v>
      </c>
      <c r="D547" s="22" t="s">
        <v>58</v>
      </c>
      <c r="E547" s="22" t="s">
        <v>1821</v>
      </c>
      <c r="F547" s="23" t="n">
        <v>38535.48</v>
      </c>
      <c r="G547" s="24" t="n">
        <v>1.1679</v>
      </c>
      <c r="H547" s="24" t="n">
        <v>0.1908</v>
      </c>
      <c r="I547" s="22" t="s">
        <v>203</v>
      </c>
      <c r="J547" s="22"/>
      <c r="K547" s="23" t="n">
        <v>11382.02</v>
      </c>
      <c r="L547" s="22" t="s">
        <v>204</v>
      </c>
      <c r="M547" s="22" t="s">
        <v>205</v>
      </c>
    </row>
    <row r="548" customFormat="false" ht="15" hidden="false" customHeight="false" outlineLevel="0" collapsed="false">
      <c r="A548" s="22" t="s">
        <v>1822</v>
      </c>
      <c r="B548" s="22" t="s">
        <v>1823</v>
      </c>
      <c r="C548" s="22" t="s">
        <v>17</v>
      </c>
      <c r="D548" s="22" t="s">
        <v>59</v>
      </c>
      <c r="E548" s="22" t="s">
        <v>1188</v>
      </c>
      <c r="F548" s="23" t="n">
        <v>80553.89</v>
      </c>
      <c r="G548" s="24" t="n">
        <v>1.0121</v>
      </c>
      <c r="H548" s="24" t="n">
        <v>0.4612</v>
      </c>
      <c r="I548" s="22" t="s">
        <v>203</v>
      </c>
      <c r="J548" s="22"/>
      <c r="K548" s="23" t="n">
        <v>49839.53</v>
      </c>
      <c r="L548" s="22" t="s">
        <v>204</v>
      </c>
      <c r="M548" s="22" t="s">
        <v>205</v>
      </c>
    </row>
    <row r="549" customFormat="false" ht="15" hidden="false" customHeight="false" outlineLevel="0" collapsed="false">
      <c r="A549" s="22" t="s">
        <v>1824</v>
      </c>
      <c r="B549" s="22" t="s">
        <v>1825</v>
      </c>
      <c r="C549" s="22" t="s">
        <v>15</v>
      </c>
      <c r="D549" s="22" t="s">
        <v>59</v>
      </c>
      <c r="E549" s="22" t="s">
        <v>1826</v>
      </c>
      <c r="F549" s="23" t="n">
        <v>167257.83</v>
      </c>
      <c r="G549" s="24" t="n">
        <v>1.01</v>
      </c>
      <c r="H549" s="24" t="n">
        <v>0.7366</v>
      </c>
      <c r="I549" s="22" t="s">
        <v>203</v>
      </c>
      <c r="J549" s="22"/>
      <c r="K549" s="23" t="n">
        <v>164662.54</v>
      </c>
      <c r="L549" s="22" t="s">
        <v>204</v>
      </c>
      <c r="M549" s="22" t="s">
        <v>205</v>
      </c>
    </row>
    <row r="550" customFormat="false" ht="15" hidden="false" customHeight="false" outlineLevel="0" collapsed="false">
      <c r="A550" s="22" t="s">
        <v>1827</v>
      </c>
      <c r="B550" s="22" t="s">
        <v>1828</v>
      </c>
      <c r="C550" s="22" t="s">
        <v>17</v>
      </c>
      <c r="D550" s="22" t="s">
        <v>61</v>
      </c>
      <c r="E550" s="22" t="s">
        <v>1829</v>
      </c>
      <c r="F550" s="23" t="n">
        <v>4907.46</v>
      </c>
      <c r="G550" s="24" t="n">
        <v>1.0584</v>
      </c>
      <c r="H550" s="24" t="n">
        <v>0.4367</v>
      </c>
      <c r="I550" s="22" t="s">
        <v>203</v>
      </c>
      <c r="J550" s="22"/>
      <c r="K550" s="23" t="n">
        <v>3006.52</v>
      </c>
      <c r="L550" s="22" t="s">
        <v>204</v>
      </c>
      <c r="M550" s="22" t="s">
        <v>205</v>
      </c>
    </row>
    <row r="551" customFormat="false" ht="15" hidden="false" customHeight="false" outlineLevel="0" collapsed="false">
      <c r="A551" s="22" t="s">
        <v>1830</v>
      </c>
      <c r="B551" s="22" t="s">
        <v>1831</v>
      </c>
      <c r="C551" s="22" t="s">
        <v>17</v>
      </c>
      <c r="D551" s="22" t="s">
        <v>58</v>
      </c>
      <c r="E551" s="22" t="s">
        <v>1832</v>
      </c>
      <c r="F551" s="23" t="n">
        <v>25012.66</v>
      </c>
      <c r="G551" s="24" t="n">
        <v>1.2705</v>
      </c>
      <c r="H551" s="24" t="n">
        <v>0.0388</v>
      </c>
      <c r="I551" s="22" t="s">
        <v>203</v>
      </c>
      <c r="J551" s="22"/>
      <c r="K551" s="23" t="n">
        <v>1634.33</v>
      </c>
      <c r="L551" s="22" t="s">
        <v>204</v>
      </c>
      <c r="M551" s="22" t="s">
        <v>205</v>
      </c>
    </row>
    <row r="552" customFormat="false" ht="15" hidden="false" customHeight="false" outlineLevel="0" collapsed="false">
      <c r="A552" s="22" t="s">
        <v>1833</v>
      </c>
      <c r="B552" s="22" t="s">
        <v>1834</v>
      </c>
      <c r="C552" s="22" t="s">
        <v>15</v>
      </c>
      <c r="D552" s="22" t="s">
        <v>59</v>
      </c>
      <c r="E552" s="22" t="s">
        <v>1835</v>
      </c>
      <c r="F552" s="23" t="n">
        <v>47456.61</v>
      </c>
      <c r="G552" s="24" t="n">
        <v>1.033</v>
      </c>
      <c r="H552" s="24" t="n">
        <v>0.1727</v>
      </c>
      <c r="I552" s="22" t="s">
        <v>203</v>
      </c>
      <c r="J552" s="22"/>
      <c r="K552" s="23" t="n">
        <v>11203.27</v>
      </c>
      <c r="L552" s="22" t="s">
        <v>204</v>
      </c>
      <c r="M552" s="22" t="s">
        <v>205</v>
      </c>
    </row>
    <row r="553" customFormat="false" ht="15" hidden="false" customHeight="false" outlineLevel="0" collapsed="false">
      <c r="A553" s="22" t="s">
        <v>1836</v>
      </c>
      <c r="B553" s="22" t="s">
        <v>1837</v>
      </c>
      <c r="C553" s="22" t="s">
        <v>17</v>
      </c>
      <c r="D553" s="22" t="s">
        <v>61</v>
      </c>
      <c r="E553" s="22" t="s">
        <v>1838</v>
      </c>
      <c r="F553" s="23" t="n">
        <v>7894.09</v>
      </c>
      <c r="G553" s="24" t="n">
        <v>1.13</v>
      </c>
      <c r="H553" s="24" t="n">
        <v>0.8456</v>
      </c>
      <c r="I553" s="22" t="s">
        <v>203</v>
      </c>
      <c r="J553" s="22"/>
      <c r="K553" s="23" t="n">
        <v>9998.16</v>
      </c>
      <c r="L553" s="22" t="s">
        <v>204</v>
      </c>
      <c r="M553" s="22" t="s">
        <v>205</v>
      </c>
    </row>
    <row r="554" customFormat="false" ht="15" hidden="false" customHeight="false" outlineLevel="0" collapsed="false">
      <c r="A554" s="22" t="s">
        <v>1839</v>
      </c>
      <c r="B554" s="22" t="s">
        <v>1840</v>
      </c>
      <c r="C554" s="22" t="s">
        <v>15</v>
      </c>
      <c r="D554" s="22" t="s">
        <v>58</v>
      </c>
      <c r="E554" s="22" t="s">
        <v>466</v>
      </c>
      <c r="F554" s="23" t="n">
        <v>33638.67</v>
      </c>
      <c r="G554" s="24" t="n">
        <v>1.2079</v>
      </c>
      <c r="H554" s="24" t="n">
        <v>0.2848</v>
      </c>
      <c r="I554" s="22" t="s">
        <v>203</v>
      </c>
      <c r="J554" s="22"/>
      <c r="K554" s="23" t="n">
        <v>15313.17</v>
      </c>
      <c r="L554" s="22" t="s">
        <v>204</v>
      </c>
      <c r="M554" s="22" t="s">
        <v>205</v>
      </c>
    </row>
    <row r="555" customFormat="false" ht="15" hidden="false" customHeight="false" outlineLevel="0" collapsed="false">
      <c r="A555" s="22" t="s">
        <v>1841</v>
      </c>
      <c r="B555" s="22" t="s">
        <v>1842</v>
      </c>
      <c r="C555" s="22" t="s">
        <v>15</v>
      </c>
      <c r="D555" s="22" t="s">
        <v>61</v>
      </c>
      <c r="E555" s="22" t="s">
        <v>1843</v>
      </c>
      <c r="F555" s="23" t="n">
        <v>3084.74</v>
      </c>
      <c r="G555" s="24" t="n">
        <v>1.2047</v>
      </c>
      <c r="H555" s="24" t="n">
        <v>0.254</v>
      </c>
      <c r="I555" s="22" t="s">
        <v>203</v>
      </c>
      <c r="J555" s="22"/>
      <c r="K555" s="23" t="n">
        <v>1249.07</v>
      </c>
      <c r="L555" s="22" t="s">
        <v>204</v>
      </c>
      <c r="M555" s="22" t="s">
        <v>205</v>
      </c>
    </row>
    <row r="556" customFormat="false" ht="15" hidden="false" customHeight="false" outlineLevel="0" collapsed="false">
      <c r="A556" s="22" t="s">
        <v>1844</v>
      </c>
      <c r="B556" s="22" t="s">
        <v>1845</v>
      </c>
      <c r="C556" s="22" t="s">
        <v>15</v>
      </c>
      <c r="D556" s="22" t="s">
        <v>61</v>
      </c>
      <c r="E556" s="22" t="s">
        <v>1846</v>
      </c>
      <c r="F556" s="23" t="n">
        <v>5803.86</v>
      </c>
      <c r="G556" s="24" t="n">
        <v>1.0016</v>
      </c>
      <c r="H556" s="24" t="n">
        <v>0.8644</v>
      </c>
      <c r="I556" s="22" t="s">
        <v>203</v>
      </c>
      <c r="J556" s="22"/>
      <c r="K556" s="23" t="n">
        <v>6649.38</v>
      </c>
      <c r="L556" s="22" t="s">
        <v>204</v>
      </c>
      <c r="M556" s="22" t="s">
        <v>205</v>
      </c>
    </row>
    <row r="557" customFormat="false" ht="15" hidden="false" customHeight="false" outlineLevel="0" collapsed="false">
      <c r="A557" s="22" t="s">
        <v>1847</v>
      </c>
      <c r="B557" s="22" t="s">
        <v>1848</v>
      </c>
      <c r="C557" s="22" t="s">
        <v>17</v>
      </c>
      <c r="D557" s="22" t="s">
        <v>61</v>
      </c>
      <c r="E557" s="22" t="s">
        <v>1849</v>
      </c>
      <c r="F557" s="23" t="n">
        <v>9654.07</v>
      </c>
      <c r="G557" s="24" t="n">
        <v>1.2094</v>
      </c>
      <c r="H557" s="24" t="n">
        <v>0.2865</v>
      </c>
      <c r="I557" s="22" t="s">
        <v>203</v>
      </c>
      <c r="J557" s="22"/>
      <c r="K557" s="23" t="n">
        <v>4433.84</v>
      </c>
      <c r="L557" s="22" t="s">
        <v>204</v>
      </c>
      <c r="M557" s="22" t="s">
        <v>205</v>
      </c>
    </row>
    <row r="558" customFormat="false" ht="15" hidden="false" customHeight="false" outlineLevel="0" collapsed="false">
      <c r="A558" s="22" t="s">
        <v>1850</v>
      </c>
      <c r="B558" s="22" t="s">
        <v>1851</v>
      </c>
      <c r="C558" s="22" t="s">
        <v>17</v>
      </c>
      <c r="D558" s="22" t="s">
        <v>60</v>
      </c>
      <c r="E558" s="22" t="s">
        <v>1852</v>
      </c>
      <c r="F558" s="23" t="n">
        <v>21572.66</v>
      </c>
      <c r="G558" s="24" t="n">
        <v>1.2095</v>
      </c>
      <c r="H558" s="24" t="n">
        <v>0.1148</v>
      </c>
      <c r="I558" s="22" t="s">
        <v>203</v>
      </c>
      <c r="J558" s="22"/>
      <c r="K558" s="23" t="n">
        <v>3970.33</v>
      </c>
      <c r="L558" s="22" t="s">
        <v>204</v>
      </c>
      <c r="M558" s="22" t="s">
        <v>205</v>
      </c>
    </row>
    <row r="559" customFormat="false" ht="15" hidden="false" customHeight="false" outlineLevel="0" collapsed="false">
      <c r="A559" s="22" t="s">
        <v>1853</v>
      </c>
      <c r="B559" s="22" t="s">
        <v>1854</v>
      </c>
      <c r="C559" s="22" t="s">
        <v>15</v>
      </c>
      <c r="D559" s="22" t="s">
        <v>59</v>
      </c>
      <c r="E559" s="22" t="s">
        <v>1855</v>
      </c>
      <c r="F559" s="23" t="n">
        <v>161144.17</v>
      </c>
      <c r="G559" s="24" t="n">
        <v>1.0462</v>
      </c>
      <c r="H559" s="24" t="n">
        <v>0.5592</v>
      </c>
      <c r="I559" s="22" t="s">
        <v>203</v>
      </c>
      <c r="J559" s="22"/>
      <c r="K559" s="23" t="n">
        <v>124753.22</v>
      </c>
      <c r="L559" s="22" t="s">
        <v>204</v>
      </c>
      <c r="M559" s="22" t="s">
        <v>205</v>
      </c>
    </row>
    <row r="560" customFormat="false" ht="15" hidden="false" customHeight="false" outlineLevel="0" collapsed="false">
      <c r="A560" s="22" t="s">
        <v>1856</v>
      </c>
      <c r="B560" s="22" t="s">
        <v>1857</v>
      </c>
      <c r="C560" s="22" t="s">
        <v>17</v>
      </c>
      <c r="D560" s="22" t="s">
        <v>60</v>
      </c>
      <c r="E560" s="22" t="s">
        <v>1858</v>
      </c>
      <c r="F560" s="23" t="n">
        <v>27276.11</v>
      </c>
      <c r="G560" s="24" t="n">
        <v>1.2681</v>
      </c>
      <c r="H560" s="24" t="n">
        <v>0.7393</v>
      </c>
      <c r="I560" s="22" t="s">
        <v>203</v>
      </c>
      <c r="J560" s="22"/>
      <c r="K560" s="23" t="n">
        <v>33894.67</v>
      </c>
      <c r="L560" s="22" t="s">
        <v>204</v>
      </c>
      <c r="M560" s="22" t="s">
        <v>205</v>
      </c>
    </row>
    <row r="561" customFormat="false" ht="15" hidden="false" customHeight="false" outlineLevel="0" collapsed="false">
      <c r="A561" s="22" t="s">
        <v>1859</v>
      </c>
      <c r="B561" s="22" t="s">
        <v>1860</v>
      </c>
      <c r="C561" s="22" t="s">
        <v>15</v>
      </c>
      <c r="D561" s="22" t="s">
        <v>58</v>
      </c>
      <c r="E561" s="22" t="s">
        <v>1861</v>
      </c>
      <c r="F561" s="23" t="n">
        <v>22016.57</v>
      </c>
      <c r="G561" s="24" t="n">
        <v>1.0458</v>
      </c>
      <c r="H561" s="24" t="n">
        <v>0.8301</v>
      </c>
      <c r="I561" s="22" t="s">
        <v>203</v>
      </c>
      <c r="J561" s="22"/>
      <c r="K561" s="23" t="n">
        <v>25292.05</v>
      </c>
      <c r="L561" s="22" t="s">
        <v>204</v>
      </c>
      <c r="M561" s="22" t="s">
        <v>205</v>
      </c>
    </row>
    <row r="562" customFormat="false" ht="15" hidden="false" customHeight="false" outlineLevel="0" collapsed="false">
      <c r="A562" s="22" t="s">
        <v>1862</v>
      </c>
      <c r="B562" s="22" t="s">
        <v>1863</v>
      </c>
      <c r="C562" s="22" t="s">
        <v>17</v>
      </c>
      <c r="D562" s="22" t="s">
        <v>58</v>
      </c>
      <c r="E562" s="22" t="s">
        <v>1864</v>
      </c>
      <c r="F562" s="23" t="n">
        <v>78728.68</v>
      </c>
      <c r="G562" s="24" t="n">
        <v>1.2566</v>
      </c>
      <c r="H562" s="24" t="n">
        <v>0.1559</v>
      </c>
      <c r="I562" s="22" t="s">
        <v>203</v>
      </c>
      <c r="J562" s="22"/>
      <c r="K562" s="23" t="n">
        <v>20443.29</v>
      </c>
      <c r="L562" s="22" t="s">
        <v>204</v>
      </c>
      <c r="M562" s="22" t="s">
        <v>205</v>
      </c>
    </row>
    <row r="563" customFormat="false" ht="15" hidden="false" customHeight="false" outlineLevel="0" collapsed="false">
      <c r="A563" s="22" t="s">
        <v>1865</v>
      </c>
      <c r="B563" s="22" t="s">
        <v>1866</v>
      </c>
      <c r="C563" s="22" t="s">
        <v>15</v>
      </c>
      <c r="D563" s="22" t="s">
        <v>58</v>
      </c>
      <c r="E563" s="22" t="s">
        <v>1867</v>
      </c>
      <c r="F563" s="23" t="n">
        <v>85113.31</v>
      </c>
      <c r="G563" s="24" t="n">
        <v>1.1836</v>
      </c>
      <c r="H563" s="24" t="n">
        <v>0.92</v>
      </c>
      <c r="I563" s="22" t="s">
        <v>203</v>
      </c>
      <c r="J563" s="22"/>
      <c r="K563" s="23" t="n">
        <v>122643.78</v>
      </c>
      <c r="L563" s="22" t="s">
        <v>204</v>
      </c>
      <c r="M563" s="22" t="s">
        <v>205</v>
      </c>
    </row>
    <row r="564" customFormat="false" ht="15" hidden="false" customHeight="false" outlineLevel="0" collapsed="false">
      <c r="A564" s="22" t="s">
        <v>1868</v>
      </c>
      <c r="B564" s="22" t="s">
        <v>1869</v>
      </c>
      <c r="C564" s="22" t="s">
        <v>17</v>
      </c>
      <c r="D564" s="22" t="s">
        <v>58</v>
      </c>
      <c r="E564" s="22" t="s">
        <v>1870</v>
      </c>
      <c r="F564" s="23" t="n">
        <v>85718.12</v>
      </c>
      <c r="G564" s="24" t="n">
        <v>1.0177</v>
      </c>
      <c r="H564" s="24" t="n">
        <v>0.8474</v>
      </c>
      <c r="I564" s="22" t="s">
        <v>203</v>
      </c>
      <c r="J564" s="22"/>
      <c r="K564" s="23" t="n">
        <v>97984.09</v>
      </c>
      <c r="L564" s="22" t="s">
        <v>204</v>
      </c>
      <c r="M564" s="22" t="s">
        <v>205</v>
      </c>
    </row>
    <row r="565" customFormat="false" ht="15" hidden="false" customHeight="false" outlineLevel="0" collapsed="false">
      <c r="A565" s="22" t="s">
        <v>1871</v>
      </c>
      <c r="B565" s="22" t="s">
        <v>1872</v>
      </c>
      <c r="C565" s="22" t="s">
        <v>19</v>
      </c>
      <c r="D565" s="22" t="s">
        <v>61</v>
      </c>
      <c r="E565" s="22" t="s">
        <v>1873</v>
      </c>
      <c r="F565" s="23" t="n">
        <v>3422.44</v>
      </c>
      <c r="G565" s="24" t="n">
        <v>1.0807</v>
      </c>
      <c r="H565" s="24" t="n">
        <v>0.1201</v>
      </c>
      <c r="I565" s="22" t="s">
        <v>203</v>
      </c>
      <c r="J565" s="22"/>
      <c r="K565" s="23" t="n">
        <v>593.31</v>
      </c>
      <c r="L565" s="22" t="s">
        <v>204</v>
      </c>
      <c r="M565" s="22" t="s">
        <v>205</v>
      </c>
    </row>
    <row r="566" customFormat="false" ht="15" hidden="false" customHeight="false" outlineLevel="0" collapsed="false">
      <c r="A566" s="22" t="s">
        <v>1874</v>
      </c>
      <c r="B566" s="22" t="s">
        <v>1875</v>
      </c>
      <c r="C566" s="22" t="s">
        <v>15</v>
      </c>
      <c r="D566" s="22" t="s">
        <v>58</v>
      </c>
      <c r="E566" s="22" t="s">
        <v>1876</v>
      </c>
      <c r="F566" s="23" t="n">
        <v>24592.07</v>
      </c>
      <c r="G566" s="24" t="n">
        <v>1.0919</v>
      </c>
      <c r="H566" s="24" t="n">
        <v>0.0633</v>
      </c>
      <c r="I566" s="22" t="s">
        <v>203</v>
      </c>
      <c r="J566" s="22"/>
      <c r="K566" s="23" t="n">
        <v>2249.25</v>
      </c>
      <c r="L566" s="22" t="s">
        <v>204</v>
      </c>
      <c r="M566" s="22" t="s">
        <v>205</v>
      </c>
    </row>
    <row r="567" customFormat="false" ht="15" hidden="false" customHeight="false" outlineLevel="0" collapsed="false">
      <c r="A567" s="22" t="s">
        <v>1877</v>
      </c>
      <c r="B567" s="22" t="s">
        <v>1878</v>
      </c>
      <c r="C567" s="22" t="s">
        <v>17</v>
      </c>
      <c r="D567" s="22" t="s">
        <v>59</v>
      </c>
      <c r="E567" s="22" t="s">
        <v>1879</v>
      </c>
      <c r="F567" s="23" t="n">
        <v>89289.5</v>
      </c>
      <c r="G567" s="24" t="n">
        <v>1.2461</v>
      </c>
      <c r="H567" s="24" t="n">
        <v>0.5104</v>
      </c>
      <c r="I567" s="22" t="s">
        <v>203</v>
      </c>
      <c r="J567" s="22"/>
      <c r="K567" s="23" t="n">
        <v>75272.9</v>
      </c>
      <c r="L567" s="22" t="s">
        <v>204</v>
      </c>
      <c r="M567" s="22" t="s">
        <v>205</v>
      </c>
    </row>
    <row r="568" customFormat="false" ht="15" hidden="false" customHeight="false" outlineLevel="0" collapsed="false">
      <c r="A568" s="22" t="s">
        <v>1880</v>
      </c>
      <c r="B568" s="22" t="s">
        <v>1881</v>
      </c>
      <c r="C568" s="22" t="s">
        <v>17</v>
      </c>
      <c r="D568" s="22" t="s">
        <v>60</v>
      </c>
      <c r="E568" s="22" t="s">
        <v>1882</v>
      </c>
      <c r="F568" s="23" t="n">
        <v>10858.8</v>
      </c>
      <c r="G568" s="24" t="n">
        <v>1.0583</v>
      </c>
      <c r="H568" s="24" t="n">
        <v>0.4796</v>
      </c>
      <c r="I568" s="22" t="s">
        <v>203</v>
      </c>
      <c r="J568" s="22"/>
      <c r="K568" s="23" t="n">
        <v>7305.41</v>
      </c>
      <c r="L568" s="22" t="s">
        <v>204</v>
      </c>
      <c r="M568" s="22" t="s">
        <v>205</v>
      </c>
    </row>
    <row r="569" customFormat="false" ht="15" hidden="false" customHeight="false" outlineLevel="0" collapsed="false">
      <c r="A569" s="22" t="s">
        <v>1883</v>
      </c>
      <c r="B569" s="22" t="s">
        <v>1884</v>
      </c>
      <c r="C569" s="22" t="s">
        <v>17</v>
      </c>
      <c r="D569" s="22" t="s">
        <v>59</v>
      </c>
      <c r="E569" s="22" t="s">
        <v>1885</v>
      </c>
      <c r="F569" s="23" t="n">
        <v>82591.71</v>
      </c>
      <c r="G569" s="24" t="n">
        <v>1.1282</v>
      </c>
      <c r="H569" s="24" t="n">
        <v>0.5371</v>
      </c>
      <c r="I569" s="22" t="s">
        <v>203</v>
      </c>
      <c r="J569" s="22"/>
      <c r="K569" s="23" t="n">
        <v>66336.48</v>
      </c>
      <c r="L569" s="22" t="s">
        <v>204</v>
      </c>
      <c r="M569" s="22" t="s">
        <v>205</v>
      </c>
    </row>
    <row r="570" customFormat="false" ht="15" hidden="false" customHeight="false" outlineLevel="0" collapsed="false">
      <c r="A570" s="22" t="s">
        <v>1886</v>
      </c>
      <c r="B570" s="22" t="s">
        <v>1887</v>
      </c>
      <c r="C570" s="22" t="s">
        <v>19</v>
      </c>
      <c r="D570" s="22" t="s">
        <v>61</v>
      </c>
      <c r="E570" s="22" t="s">
        <v>1888</v>
      </c>
      <c r="F570" s="23" t="n">
        <v>5505.09</v>
      </c>
      <c r="G570" s="24" t="n">
        <v>1.2732</v>
      </c>
      <c r="H570" s="24" t="n">
        <v>0.1211</v>
      </c>
      <c r="I570" s="22" t="s">
        <v>203</v>
      </c>
      <c r="J570" s="22"/>
      <c r="K570" s="23" t="n">
        <v>1133.71</v>
      </c>
      <c r="L570" s="22" t="s">
        <v>204</v>
      </c>
      <c r="M570" s="22" t="s">
        <v>205</v>
      </c>
    </row>
    <row r="571" customFormat="false" ht="15" hidden="false" customHeight="false" outlineLevel="0" collapsed="false">
      <c r="A571" s="22" t="s">
        <v>1889</v>
      </c>
      <c r="B571" s="22" t="s">
        <v>1890</v>
      </c>
      <c r="C571" s="22" t="s">
        <v>19</v>
      </c>
      <c r="D571" s="22" t="s">
        <v>58</v>
      </c>
      <c r="E571" s="22" t="s">
        <v>1891</v>
      </c>
      <c r="F571" s="23" t="n">
        <v>54482.21</v>
      </c>
      <c r="G571" s="24" t="n">
        <v>1.1003</v>
      </c>
      <c r="H571" s="24" t="n">
        <v>0.2962</v>
      </c>
      <c r="I571" s="22" t="s">
        <v>203</v>
      </c>
      <c r="J571" s="22"/>
      <c r="K571" s="23" t="n">
        <v>23716.33</v>
      </c>
      <c r="L571" s="22" t="s">
        <v>204</v>
      </c>
      <c r="M571" s="22" t="s">
        <v>205</v>
      </c>
    </row>
    <row r="572" customFormat="false" ht="15" hidden="false" customHeight="false" outlineLevel="0" collapsed="false">
      <c r="A572" s="22" t="s">
        <v>1892</v>
      </c>
      <c r="B572" s="22" t="s">
        <v>1893</v>
      </c>
      <c r="C572" s="22" t="s">
        <v>17</v>
      </c>
      <c r="D572" s="22" t="s">
        <v>60</v>
      </c>
      <c r="E572" s="22" t="s">
        <v>1894</v>
      </c>
      <c r="F572" s="23" t="n">
        <v>11009.13</v>
      </c>
      <c r="G572" s="24" t="n">
        <v>1.2479</v>
      </c>
      <c r="H572" s="24" t="n">
        <v>0.45</v>
      </c>
      <c r="I572" s="22" t="s">
        <v>203</v>
      </c>
      <c r="J572" s="22"/>
      <c r="K572" s="23" t="n">
        <v>8194.45</v>
      </c>
      <c r="L572" s="22" t="s">
        <v>204</v>
      </c>
      <c r="M572" s="22" t="s">
        <v>205</v>
      </c>
    </row>
    <row r="573" customFormat="false" ht="15" hidden="false" customHeight="false" outlineLevel="0" collapsed="false">
      <c r="A573" s="22" t="s">
        <v>1895</v>
      </c>
      <c r="B573" s="22" t="s">
        <v>1896</v>
      </c>
      <c r="C573" s="22" t="s">
        <v>15</v>
      </c>
      <c r="D573" s="22" t="s">
        <v>61</v>
      </c>
      <c r="E573" s="22" t="s">
        <v>1897</v>
      </c>
      <c r="F573" s="23" t="n">
        <v>9447.83</v>
      </c>
      <c r="G573" s="24" t="n">
        <v>1.023</v>
      </c>
      <c r="H573" s="24" t="n">
        <v>0.2564</v>
      </c>
      <c r="I573" s="22" t="s">
        <v>203</v>
      </c>
      <c r="J573" s="22"/>
      <c r="K573" s="23" t="n">
        <v>3279.3</v>
      </c>
      <c r="L573" s="22" t="s">
        <v>204</v>
      </c>
      <c r="M573" s="22" t="s">
        <v>205</v>
      </c>
    </row>
    <row r="574" customFormat="false" ht="15" hidden="false" customHeight="false" outlineLevel="0" collapsed="false">
      <c r="A574" s="22" t="s">
        <v>1898</v>
      </c>
      <c r="B574" s="22" t="s">
        <v>1899</v>
      </c>
      <c r="C574" s="22" t="s">
        <v>17</v>
      </c>
      <c r="D574" s="22" t="s">
        <v>58</v>
      </c>
      <c r="E574" s="22" t="s">
        <v>1900</v>
      </c>
      <c r="F574" s="23" t="n">
        <v>57147.16</v>
      </c>
      <c r="G574" s="24" t="n">
        <v>1.0385</v>
      </c>
      <c r="H574" s="24" t="n">
        <v>0.671</v>
      </c>
      <c r="I574" s="22" t="s">
        <v>203</v>
      </c>
      <c r="J574" s="22"/>
      <c r="K574" s="23" t="n">
        <v>52783.52</v>
      </c>
      <c r="L574" s="22" t="s">
        <v>204</v>
      </c>
      <c r="M574" s="22" t="s">
        <v>205</v>
      </c>
    </row>
    <row r="575" customFormat="false" ht="15" hidden="false" customHeight="false" outlineLevel="0" collapsed="false">
      <c r="A575" s="22" t="s">
        <v>1901</v>
      </c>
      <c r="B575" s="22" t="s">
        <v>1902</v>
      </c>
      <c r="C575" s="22" t="s">
        <v>19</v>
      </c>
      <c r="D575" s="22" t="s">
        <v>60</v>
      </c>
      <c r="E575" s="22" t="s">
        <v>1903</v>
      </c>
      <c r="F575" s="23" t="n">
        <v>23490.01</v>
      </c>
      <c r="G575" s="24" t="n">
        <v>1.0102</v>
      </c>
      <c r="H575" s="24" t="n">
        <v>0.2935</v>
      </c>
      <c r="I575" s="22" t="s">
        <v>203</v>
      </c>
      <c r="J575" s="22"/>
      <c r="K575" s="23" t="n">
        <v>9302.4</v>
      </c>
      <c r="L575" s="22" t="s">
        <v>204</v>
      </c>
      <c r="M575" s="22" t="s">
        <v>205</v>
      </c>
    </row>
    <row r="576" customFormat="false" ht="15" hidden="false" customHeight="false" outlineLevel="0" collapsed="false">
      <c r="A576" s="22" t="s">
        <v>1904</v>
      </c>
      <c r="B576" s="22" t="s">
        <v>1905</v>
      </c>
      <c r="C576" s="22" t="s">
        <v>15</v>
      </c>
      <c r="D576" s="22" t="s">
        <v>61</v>
      </c>
      <c r="E576" s="22" t="s">
        <v>1906</v>
      </c>
      <c r="F576" s="23" t="n">
        <v>7865.95</v>
      </c>
      <c r="G576" s="24" t="n">
        <v>1.2454</v>
      </c>
      <c r="H576" s="24" t="n">
        <v>0.6521</v>
      </c>
      <c r="I576" s="22" t="s">
        <v>203</v>
      </c>
      <c r="J576" s="22"/>
      <c r="K576" s="23" t="n">
        <v>8453.36</v>
      </c>
      <c r="L576" s="22" t="s">
        <v>204</v>
      </c>
      <c r="M576" s="22" t="s">
        <v>205</v>
      </c>
    </row>
    <row r="577" customFormat="false" ht="15" hidden="false" customHeight="false" outlineLevel="0" collapsed="false">
      <c r="A577" s="22" t="s">
        <v>1907</v>
      </c>
      <c r="B577" s="22" t="s">
        <v>1908</v>
      </c>
      <c r="C577" s="22" t="s">
        <v>17</v>
      </c>
      <c r="D577" s="22" t="s">
        <v>59</v>
      </c>
      <c r="E577" s="22" t="s">
        <v>1909</v>
      </c>
      <c r="F577" s="23" t="n">
        <v>119843.29</v>
      </c>
      <c r="G577" s="24" t="n">
        <v>1.1647</v>
      </c>
      <c r="H577" s="24" t="n">
        <v>0.01</v>
      </c>
      <c r="I577" s="22" t="s">
        <v>203</v>
      </c>
      <c r="J577" s="22"/>
      <c r="K577" s="23" t="n">
        <v>1850.13</v>
      </c>
      <c r="L577" s="22" t="s">
        <v>204</v>
      </c>
      <c r="M577" s="22" t="s">
        <v>205</v>
      </c>
    </row>
    <row r="578" customFormat="false" ht="15" hidden="false" customHeight="false" outlineLevel="0" collapsed="false">
      <c r="A578" s="22" t="s">
        <v>1910</v>
      </c>
      <c r="B578" s="22" t="s">
        <v>1911</v>
      </c>
      <c r="C578" s="22" t="s">
        <v>17</v>
      </c>
      <c r="D578" s="22" t="s">
        <v>61</v>
      </c>
      <c r="E578" s="22" t="s">
        <v>1912</v>
      </c>
      <c r="F578" s="23" t="n">
        <v>4526.14</v>
      </c>
      <c r="G578" s="24" t="n">
        <v>1.2544</v>
      </c>
      <c r="H578" s="24" t="n">
        <v>0.8779</v>
      </c>
      <c r="I578" s="22" t="s">
        <v>203</v>
      </c>
      <c r="J578" s="22"/>
      <c r="K578" s="23" t="n">
        <v>6606.69</v>
      </c>
      <c r="L578" s="22" t="s">
        <v>204</v>
      </c>
      <c r="M578" s="22" t="s">
        <v>205</v>
      </c>
    </row>
    <row r="579" customFormat="false" ht="15" hidden="false" customHeight="false" outlineLevel="0" collapsed="false">
      <c r="A579" s="22" t="s">
        <v>1913</v>
      </c>
      <c r="B579" s="22" t="s">
        <v>1914</v>
      </c>
      <c r="C579" s="22" t="s">
        <v>15</v>
      </c>
      <c r="D579" s="22" t="s">
        <v>60</v>
      </c>
      <c r="E579" s="22" t="s">
        <v>1915</v>
      </c>
      <c r="F579" s="23" t="n">
        <v>30764.28</v>
      </c>
      <c r="G579" s="24" t="n">
        <v>1.0832</v>
      </c>
      <c r="H579" s="24" t="n">
        <v>0.7055</v>
      </c>
      <c r="I579" s="22" t="s">
        <v>203</v>
      </c>
      <c r="J579" s="22"/>
      <c r="K579" s="23" t="n">
        <v>31110.55</v>
      </c>
      <c r="L579" s="22" t="s">
        <v>204</v>
      </c>
      <c r="M579" s="22" t="s">
        <v>205</v>
      </c>
    </row>
    <row r="580" customFormat="false" ht="15" hidden="false" customHeight="false" outlineLevel="0" collapsed="false">
      <c r="A580" s="22" t="s">
        <v>1916</v>
      </c>
      <c r="B580" s="22" t="s">
        <v>1917</v>
      </c>
      <c r="C580" s="22" t="s">
        <v>19</v>
      </c>
      <c r="D580" s="22" t="s">
        <v>60</v>
      </c>
      <c r="E580" s="22" t="s">
        <v>1918</v>
      </c>
      <c r="F580" s="23" t="n">
        <v>27553.94</v>
      </c>
      <c r="G580" s="24" t="n">
        <v>1.2427</v>
      </c>
      <c r="H580" s="24" t="n">
        <v>0.4268</v>
      </c>
      <c r="I580" s="22" t="s">
        <v>203</v>
      </c>
      <c r="J580" s="22"/>
      <c r="K580" s="23" t="n">
        <v>19519.6</v>
      </c>
      <c r="L580" s="22" t="s">
        <v>204</v>
      </c>
      <c r="M580" s="22" t="s">
        <v>205</v>
      </c>
    </row>
    <row r="581" customFormat="false" ht="15" hidden="false" customHeight="false" outlineLevel="0" collapsed="false">
      <c r="A581" s="22" t="s">
        <v>1919</v>
      </c>
      <c r="B581" s="22" t="s">
        <v>1920</v>
      </c>
      <c r="C581" s="22" t="s">
        <v>17</v>
      </c>
      <c r="D581" s="22" t="s">
        <v>58</v>
      </c>
      <c r="E581" s="22" t="s">
        <v>1229</v>
      </c>
      <c r="F581" s="23" t="n">
        <v>49586.12</v>
      </c>
      <c r="G581" s="24" t="n">
        <v>1.1797</v>
      </c>
      <c r="H581" s="24" t="n">
        <v>0.2433</v>
      </c>
      <c r="I581" s="22" t="s">
        <v>203</v>
      </c>
      <c r="J581" s="22"/>
      <c r="K581" s="23" t="n">
        <v>18864.64</v>
      </c>
      <c r="L581" s="22" t="s">
        <v>204</v>
      </c>
      <c r="M581" s="22" t="s">
        <v>205</v>
      </c>
    </row>
    <row r="582" customFormat="false" ht="15" hidden="false" customHeight="false" outlineLevel="0" collapsed="false">
      <c r="A582" s="22" t="s">
        <v>1921</v>
      </c>
      <c r="B582" s="22" t="s">
        <v>1922</v>
      </c>
      <c r="C582" s="22" t="s">
        <v>15</v>
      </c>
      <c r="D582" s="22" t="s">
        <v>58</v>
      </c>
      <c r="E582" s="22" t="s">
        <v>1923</v>
      </c>
      <c r="F582" s="23" t="n">
        <v>79777.67</v>
      </c>
      <c r="G582" s="24" t="n">
        <v>1.2142</v>
      </c>
      <c r="H582" s="24" t="n">
        <v>0.8606</v>
      </c>
      <c r="I582" s="22" t="s">
        <v>203</v>
      </c>
      <c r="J582" s="22"/>
      <c r="K582" s="23" t="n">
        <v>110313.38</v>
      </c>
      <c r="L582" s="22" t="s">
        <v>204</v>
      </c>
      <c r="M582" s="22" t="s">
        <v>205</v>
      </c>
    </row>
    <row r="583" customFormat="false" ht="15" hidden="false" customHeight="false" outlineLevel="0" collapsed="false">
      <c r="A583" s="22" t="s">
        <v>1924</v>
      </c>
      <c r="B583" s="22" t="s">
        <v>1925</v>
      </c>
      <c r="C583" s="22" t="s">
        <v>15</v>
      </c>
      <c r="D583" s="22" t="s">
        <v>61</v>
      </c>
      <c r="E583" s="22" t="s">
        <v>1926</v>
      </c>
      <c r="F583" s="23" t="n">
        <v>6294.84</v>
      </c>
      <c r="G583" s="24" t="n">
        <v>1.097</v>
      </c>
      <c r="H583" s="24" t="n">
        <v>0.0295</v>
      </c>
      <c r="I583" s="22" t="s">
        <v>203</v>
      </c>
      <c r="J583" s="22"/>
      <c r="K583" s="23" t="n">
        <v>269.57</v>
      </c>
      <c r="L583" s="22" t="s">
        <v>204</v>
      </c>
      <c r="M583" s="22" t="s">
        <v>205</v>
      </c>
    </row>
    <row r="584" customFormat="false" ht="15" hidden="false" customHeight="false" outlineLevel="0" collapsed="false">
      <c r="A584" s="22" t="s">
        <v>1927</v>
      </c>
      <c r="B584" s="22" t="s">
        <v>1928</v>
      </c>
      <c r="C584" s="22" t="s">
        <v>19</v>
      </c>
      <c r="D584" s="22" t="s">
        <v>60</v>
      </c>
      <c r="E584" s="22" t="s">
        <v>1929</v>
      </c>
      <c r="F584" s="23" t="n">
        <v>19564.26</v>
      </c>
      <c r="G584" s="24" t="n">
        <v>1.1584</v>
      </c>
      <c r="H584" s="24" t="n">
        <v>0.4945</v>
      </c>
      <c r="I584" s="22" t="s">
        <v>203</v>
      </c>
      <c r="J584" s="22"/>
      <c r="K584" s="23" t="n">
        <v>14968.73</v>
      </c>
      <c r="L584" s="22" t="s">
        <v>204</v>
      </c>
      <c r="M584" s="22" t="s">
        <v>205</v>
      </c>
    </row>
    <row r="585" customFormat="false" ht="15" hidden="false" customHeight="false" outlineLevel="0" collapsed="false">
      <c r="A585" s="22" t="s">
        <v>1930</v>
      </c>
      <c r="B585" s="22" t="s">
        <v>1931</v>
      </c>
      <c r="C585" s="22" t="s">
        <v>15</v>
      </c>
      <c r="D585" s="22" t="s">
        <v>61</v>
      </c>
      <c r="E585" s="22" t="s">
        <v>1932</v>
      </c>
      <c r="F585" s="23" t="n">
        <v>5268.02</v>
      </c>
      <c r="G585" s="24" t="n">
        <v>1.2212</v>
      </c>
      <c r="H585" s="24" t="n">
        <v>0.2378</v>
      </c>
      <c r="I585" s="22" t="s">
        <v>203</v>
      </c>
      <c r="J585" s="22"/>
      <c r="K585" s="23" t="n">
        <v>2024.42</v>
      </c>
      <c r="L585" s="22" t="s">
        <v>204</v>
      </c>
      <c r="M585" s="22" t="s">
        <v>205</v>
      </c>
    </row>
    <row r="586" customFormat="false" ht="15" hidden="false" customHeight="false" outlineLevel="0" collapsed="false">
      <c r="A586" s="22" t="s">
        <v>1933</v>
      </c>
      <c r="B586" s="22" t="s">
        <v>1934</v>
      </c>
      <c r="C586" s="22" t="s">
        <v>15</v>
      </c>
      <c r="D586" s="22" t="s">
        <v>62</v>
      </c>
      <c r="E586" s="22" t="s">
        <v>1935</v>
      </c>
      <c r="F586" s="23" t="n">
        <v>930445.49</v>
      </c>
      <c r="G586" s="24" t="n">
        <v>1.2154</v>
      </c>
      <c r="H586" s="24" t="n">
        <v>0.2249</v>
      </c>
      <c r="I586" s="22" t="s">
        <v>203</v>
      </c>
      <c r="J586" s="22"/>
      <c r="K586" s="23" t="n">
        <v>336554.11</v>
      </c>
      <c r="L586" s="22" t="s">
        <v>204</v>
      </c>
      <c r="M586" s="22" t="s">
        <v>205</v>
      </c>
    </row>
    <row r="587" customFormat="false" ht="15" hidden="false" customHeight="false" outlineLevel="0" collapsed="false">
      <c r="A587" s="22" t="s">
        <v>1936</v>
      </c>
      <c r="B587" s="22" t="s">
        <v>1937</v>
      </c>
      <c r="C587" s="22" t="s">
        <v>19</v>
      </c>
      <c r="D587" s="22" t="s">
        <v>58</v>
      </c>
      <c r="E587" s="22" t="s">
        <v>1427</v>
      </c>
      <c r="F587" s="23" t="n">
        <v>75542.74</v>
      </c>
      <c r="G587" s="24" t="n">
        <v>1.007</v>
      </c>
      <c r="H587" s="24" t="n">
        <v>0.9145</v>
      </c>
      <c r="I587" s="22" t="s">
        <v>203</v>
      </c>
      <c r="J587" s="22"/>
      <c r="K587" s="23" t="n">
        <v>92918.56</v>
      </c>
      <c r="L587" s="22" t="s">
        <v>204</v>
      </c>
      <c r="M587" s="22" t="s">
        <v>205</v>
      </c>
    </row>
    <row r="588" customFormat="false" ht="15" hidden="false" customHeight="false" outlineLevel="0" collapsed="false">
      <c r="A588" s="22" t="s">
        <v>1938</v>
      </c>
      <c r="B588" s="22" t="s">
        <v>1939</v>
      </c>
      <c r="C588" s="22" t="s">
        <v>15</v>
      </c>
      <c r="D588" s="22" t="s">
        <v>61</v>
      </c>
      <c r="E588" s="22" t="s">
        <v>1879</v>
      </c>
      <c r="F588" s="23" t="n">
        <v>4818.96</v>
      </c>
      <c r="G588" s="24" t="n">
        <v>1.0187</v>
      </c>
      <c r="H588" s="24" t="n">
        <v>0.2166</v>
      </c>
      <c r="I588" s="22" t="s">
        <v>203</v>
      </c>
      <c r="J588" s="22"/>
      <c r="K588" s="23" t="n">
        <v>1407.06</v>
      </c>
      <c r="L588" s="22" t="s">
        <v>204</v>
      </c>
      <c r="M588" s="22" t="s">
        <v>205</v>
      </c>
    </row>
    <row r="589" customFormat="false" ht="15" hidden="false" customHeight="false" outlineLevel="0" collapsed="false">
      <c r="A589" s="22" t="s">
        <v>1940</v>
      </c>
      <c r="B589" s="22" t="s">
        <v>1941</v>
      </c>
      <c r="C589" s="22" t="s">
        <v>15</v>
      </c>
      <c r="D589" s="22" t="s">
        <v>60</v>
      </c>
      <c r="E589" s="22" t="s">
        <v>1942</v>
      </c>
      <c r="F589" s="23" t="n">
        <v>28356.27</v>
      </c>
      <c r="G589" s="24" t="n">
        <v>1.1167</v>
      </c>
      <c r="H589" s="24" t="n">
        <v>0.2107</v>
      </c>
      <c r="I589" s="22" t="s">
        <v>203</v>
      </c>
      <c r="J589" s="22"/>
      <c r="K589" s="23" t="n">
        <v>8828.88</v>
      </c>
      <c r="L589" s="22" t="s">
        <v>204</v>
      </c>
      <c r="M589" s="22" t="s">
        <v>205</v>
      </c>
    </row>
    <row r="590" customFormat="false" ht="15" hidden="false" customHeight="false" outlineLevel="0" collapsed="false">
      <c r="A590" s="22" t="s">
        <v>1943</v>
      </c>
      <c r="B590" s="22" t="s">
        <v>1944</v>
      </c>
      <c r="C590" s="22" t="s">
        <v>17</v>
      </c>
      <c r="D590" s="22" t="s">
        <v>60</v>
      </c>
      <c r="E590" s="22" t="s">
        <v>1945</v>
      </c>
      <c r="F590" s="23" t="n">
        <v>11127.83</v>
      </c>
      <c r="G590" s="24" t="n">
        <v>1.1162</v>
      </c>
      <c r="H590" s="24" t="n">
        <v>0.9739</v>
      </c>
      <c r="I590" s="22" t="s">
        <v>203</v>
      </c>
      <c r="J590" s="22"/>
      <c r="K590" s="23" t="n">
        <v>16033.99</v>
      </c>
      <c r="L590" s="22" t="s">
        <v>204</v>
      </c>
      <c r="M590" s="22" t="s">
        <v>205</v>
      </c>
    </row>
    <row r="591" customFormat="false" ht="15" hidden="false" customHeight="false" outlineLevel="0" collapsed="false">
      <c r="A591" s="22" t="s">
        <v>1946</v>
      </c>
      <c r="B591" s="22" t="s">
        <v>1947</v>
      </c>
      <c r="C591" s="22" t="s">
        <v>15</v>
      </c>
      <c r="D591" s="22" t="s">
        <v>58</v>
      </c>
      <c r="E591" s="22" t="s">
        <v>1948</v>
      </c>
      <c r="F591" s="23" t="n">
        <v>45759.51</v>
      </c>
      <c r="G591" s="24" t="n">
        <v>1.1337</v>
      </c>
      <c r="H591" s="24" t="n">
        <v>0.5811</v>
      </c>
      <c r="I591" s="22" t="s">
        <v>203</v>
      </c>
      <c r="J591" s="22"/>
      <c r="K591" s="23" t="n">
        <v>39891.99</v>
      </c>
      <c r="L591" s="22" t="s">
        <v>204</v>
      </c>
      <c r="M591" s="22" t="s">
        <v>205</v>
      </c>
    </row>
    <row r="592" customFormat="false" ht="15" hidden="false" customHeight="false" outlineLevel="0" collapsed="false">
      <c r="A592" s="22" t="s">
        <v>1949</v>
      </c>
      <c r="B592" s="22" t="s">
        <v>1950</v>
      </c>
      <c r="C592" s="22" t="s">
        <v>15</v>
      </c>
      <c r="D592" s="22" t="s">
        <v>60</v>
      </c>
      <c r="E592" s="22" t="s">
        <v>1951</v>
      </c>
      <c r="F592" s="23" t="n">
        <v>9872.2</v>
      </c>
      <c r="G592" s="24" t="n">
        <v>1.1497</v>
      </c>
      <c r="H592" s="24" t="n">
        <v>0.4889</v>
      </c>
      <c r="I592" s="22" t="s">
        <v>203</v>
      </c>
      <c r="J592" s="22"/>
      <c r="K592" s="23" t="n">
        <v>7343</v>
      </c>
      <c r="L592" s="22" t="s">
        <v>204</v>
      </c>
      <c r="M592" s="22" t="s">
        <v>205</v>
      </c>
    </row>
    <row r="593" customFormat="false" ht="15" hidden="false" customHeight="false" outlineLevel="0" collapsed="false">
      <c r="A593" s="22" t="s">
        <v>1952</v>
      </c>
      <c r="B593" s="22" t="s">
        <v>1953</v>
      </c>
      <c r="C593" s="22" t="s">
        <v>19</v>
      </c>
      <c r="D593" s="22" t="s">
        <v>61</v>
      </c>
      <c r="E593" s="22" t="s">
        <v>1954</v>
      </c>
      <c r="F593" s="23" t="n">
        <v>3747.62</v>
      </c>
      <c r="G593" s="24" t="n">
        <v>1.0459</v>
      </c>
      <c r="H593" s="24" t="n">
        <v>0.0388</v>
      </c>
      <c r="I593" s="22" t="s">
        <v>203</v>
      </c>
      <c r="J593" s="22"/>
      <c r="K593" s="23" t="n">
        <v>203.13</v>
      </c>
      <c r="L593" s="22" t="s">
        <v>204</v>
      </c>
      <c r="M593" s="22" t="s">
        <v>205</v>
      </c>
    </row>
    <row r="594" customFormat="false" ht="15" hidden="false" customHeight="false" outlineLevel="0" collapsed="false">
      <c r="A594" s="22" t="s">
        <v>1955</v>
      </c>
      <c r="B594" s="22" t="s">
        <v>1956</v>
      </c>
      <c r="C594" s="22" t="s">
        <v>19</v>
      </c>
      <c r="D594" s="22" t="s">
        <v>58</v>
      </c>
      <c r="E594" s="22" t="s">
        <v>1957</v>
      </c>
      <c r="F594" s="23" t="n">
        <v>83940.04</v>
      </c>
      <c r="G594" s="24" t="n">
        <v>1.0305</v>
      </c>
      <c r="H594" s="24" t="n">
        <v>0.2947</v>
      </c>
      <c r="I594" s="22" t="s">
        <v>203</v>
      </c>
      <c r="J594" s="22"/>
      <c r="K594" s="23" t="n">
        <v>34048.18</v>
      </c>
      <c r="L594" s="22" t="s">
        <v>204</v>
      </c>
      <c r="M594" s="22" t="s">
        <v>205</v>
      </c>
    </row>
    <row r="595" customFormat="false" ht="15" hidden="false" customHeight="false" outlineLevel="0" collapsed="false">
      <c r="A595" s="22" t="s">
        <v>1958</v>
      </c>
      <c r="B595" s="22" t="s">
        <v>1959</v>
      </c>
      <c r="C595" s="22" t="s">
        <v>17</v>
      </c>
      <c r="D595" s="22" t="s">
        <v>59</v>
      </c>
      <c r="E595" s="22" t="s">
        <v>1960</v>
      </c>
      <c r="F595" s="23" t="n">
        <v>155822.68</v>
      </c>
      <c r="G595" s="24" t="n">
        <v>1.0804</v>
      </c>
      <c r="H595" s="24" t="n">
        <v>0.8625</v>
      </c>
      <c r="I595" s="22" t="s">
        <v>203</v>
      </c>
      <c r="J595" s="22"/>
      <c r="K595" s="23" t="n">
        <v>192463.8</v>
      </c>
      <c r="L595" s="22" t="s">
        <v>204</v>
      </c>
      <c r="M595" s="22" t="s">
        <v>205</v>
      </c>
    </row>
    <row r="596" customFormat="false" ht="15" hidden="false" customHeight="false" outlineLevel="0" collapsed="false">
      <c r="A596" s="22" t="s">
        <v>1961</v>
      </c>
      <c r="B596" s="22" t="s">
        <v>1962</v>
      </c>
      <c r="C596" s="22" t="s">
        <v>19</v>
      </c>
      <c r="D596" s="22" t="s">
        <v>61</v>
      </c>
      <c r="E596" s="22" t="s">
        <v>1963</v>
      </c>
      <c r="F596" s="23" t="n">
        <v>9444.99</v>
      </c>
      <c r="G596" s="24" t="n">
        <v>1.0522</v>
      </c>
      <c r="H596" s="24" t="n">
        <v>0.8578</v>
      </c>
      <c r="I596" s="22" t="s">
        <v>203</v>
      </c>
      <c r="J596" s="22"/>
      <c r="K596" s="23" t="n">
        <v>11386.29</v>
      </c>
      <c r="L596" s="22" t="s">
        <v>204</v>
      </c>
      <c r="M596" s="22" t="s">
        <v>205</v>
      </c>
    </row>
    <row r="597" customFormat="false" ht="15" hidden="false" customHeight="false" outlineLevel="0" collapsed="false">
      <c r="A597" s="22" t="s">
        <v>1964</v>
      </c>
      <c r="B597" s="22" t="s">
        <v>1965</v>
      </c>
      <c r="C597" s="22" t="s">
        <v>15</v>
      </c>
      <c r="D597" s="22" t="s">
        <v>60</v>
      </c>
      <c r="E597" s="22" t="s">
        <v>1966</v>
      </c>
      <c r="F597" s="23" t="n">
        <v>30775.04</v>
      </c>
      <c r="G597" s="24" t="n">
        <v>1.1561</v>
      </c>
      <c r="H597" s="24" t="n">
        <v>0.6228</v>
      </c>
      <c r="I597" s="22" t="s">
        <v>203</v>
      </c>
      <c r="J597" s="22"/>
      <c r="K597" s="23" t="n">
        <v>29322.29</v>
      </c>
      <c r="L597" s="22" t="s">
        <v>204</v>
      </c>
      <c r="M597" s="22" t="s">
        <v>205</v>
      </c>
    </row>
    <row r="598" customFormat="false" ht="15" hidden="false" customHeight="false" outlineLevel="0" collapsed="false">
      <c r="A598" s="22" t="s">
        <v>1967</v>
      </c>
      <c r="B598" s="22" t="s">
        <v>1968</v>
      </c>
      <c r="C598" s="22" t="s">
        <v>17</v>
      </c>
      <c r="D598" s="22" t="s">
        <v>60</v>
      </c>
      <c r="E598" s="22" t="s">
        <v>1969</v>
      </c>
      <c r="F598" s="23" t="n">
        <v>29799.07</v>
      </c>
      <c r="G598" s="24" t="n">
        <v>1.0041</v>
      </c>
      <c r="H598" s="24" t="n">
        <v>0.7854</v>
      </c>
      <c r="I598" s="22" t="s">
        <v>203</v>
      </c>
      <c r="J598" s="22"/>
      <c r="K598" s="23" t="n">
        <v>31149.08</v>
      </c>
      <c r="L598" s="22" t="s">
        <v>204</v>
      </c>
      <c r="M598" s="22" t="s">
        <v>205</v>
      </c>
    </row>
    <row r="599" customFormat="false" ht="15" hidden="false" customHeight="false" outlineLevel="0" collapsed="false">
      <c r="A599" s="22" t="s">
        <v>1970</v>
      </c>
      <c r="B599" s="22" t="s">
        <v>1971</v>
      </c>
      <c r="C599" s="22" t="s">
        <v>19</v>
      </c>
      <c r="D599" s="22" t="s">
        <v>61</v>
      </c>
      <c r="E599" s="22" t="s">
        <v>1972</v>
      </c>
      <c r="F599" s="23" t="n">
        <v>5763.61</v>
      </c>
      <c r="G599" s="24" t="n">
        <v>1.2473</v>
      </c>
      <c r="H599" s="24" t="n">
        <v>0.0983</v>
      </c>
      <c r="I599" s="22" t="s">
        <v>203</v>
      </c>
      <c r="J599" s="22"/>
      <c r="K599" s="23" t="n">
        <v>943.88</v>
      </c>
      <c r="L599" s="22" t="s">
        <v>204</v>
      </c>
      <c r="M599" s="22" t="s">
        <v>205</v>
      </c>
    </row>
    <row r="600" customFormat="false" ht="15" hidden="false" customHeight="false" outlineLevel="0" collapsed="false">
      <c r="A600" s="22" t="s">
        <v>1973</v>
      </c>
      <c r="B600" s="22" t="s">
        <v>1974</v>
      </c>
      <c r="C600" s="22" t="s">
        <v>19</v>
      </c>
      <c r="D600" s="22" t="s">
        <v>61</v>
      </c>
      <c r="E600" s="22" t="s">
        <v>1975</v>
      </c>
      <c r="F600" s="23" t="n">
        <v>2574.65</v>
      </c>
      <c r="G600" s="24" t="n">
        <v>1.0754</v>
      </c>
      <c r="H600" s="24" t="n">
        <v>0.9044</v>
      </c>
      <c r="I600" s="22" t="s">
        <v>203</v>
      </c>
      <c r="J600" s="22"/>
      <c r="K600" s="23" t="n">
        <v>3344.61</v>
      </c>
      <c r="L600" s="22" t="s">
        <v>204</v>
      </c>
      <c r="M600" s="22" t="s">
        <v>205</v>
      </c>
    </row>
    <row r="601" customFormat="false" ht="15" hidden="false" customHeight="false" outlineLevel="0" collapsed="false">
      <c r="A601" s="22" t="s">
        <v>1976</v>
      </c>
      <c r="B601" s="22" t="s">
        <v>1977</v>
      </c>
      <c r="C601" s="22" t="s">
        <v>17</v>
      </c>
      <c r="D601" s="22" t="s">
        <v>61</v>
      </c>
      <c r="E601" s="22" t="s">
        <v>1978</v>
      </c>
      <c r="F601" s="23" t="n">
        <v>5662.75</v>
      </c>
      <c r="G601" s="24" t="n">
        <v>1.0358</v>
      </c>
      <c r="H601" s="24" t="n">
        <v>0.125</v>
      </c>
      <c r="I601" s="22" t="s">
        <v>203</v>
      </c>
      <c r="J601" s="22"/>
      <c r="K601" s="23" t="n">
        <v>971.82</v>
      </c>
      <c r="L601" s="22" t="s">
        <v>204</v>
      </c>
      <c r="M601" s="22" t="s">
        <v>205</v>
      </c>
    </row>
    <row r="602" customFormat="false" ht="15" hidden="false" customHeight="false" outlineLevel="0" collapsed="false">
      <c r="A602" s="22" t="s">
        <v>1979</v>
      </c>
      <c r="B602" s="22" t="s">
        <v>1980</v>
      </c>
      <c r="C602" s="22" t="s">
        <v>17</v>
      </c>
      <c r="D602" s="22" t="s">
        <v>61</v>
      </c>
      <c r="E602" s="22" t="s">
        <v>1981</v>
      </c>
      <c r="F602" s="23" t="n">
        <v>5653.58</v>
      </c>
      <c r="G602" s="24" t="n">
        <v>1.0858</v>
      </c>
      <c r="H602" s="24" t="n">
        <v>0.0355</v>
      </c>
      <c r="I602" s="22" t="s">
        <v>203</v>
      </c>
      <c r="J602" s="22"/>
      <c r="K602" s="23" t="n">
        <v>288.85</v>
      </c>
      <c r="L602" s="22" t="s">
        <v>204</v>
      </c>
      <c r="M602" s="22" t="s">
        <v>205</v>
      </c>
    </row>
    <row r="603" customFormat="false" ht="15" hidden="false" customHeight="false" outlineLevel="0" collapsed="false">
      <c r="A603" s="22" t="s">
        <v>1982</v>
      </c>
      <c r="B603" s="22" t="s">
        <v>1983</v>
      </c>
      <c r="C603" s="22" t="s">
        <v>15</v>
      </c>
      <c r="D603" s="22" t="s">
        <v>60</v>
      </c>
      <c r="E603" s="22" t="s">
        <v>1984</v>
      </c>
      <c r="F603" s="23" t="n">
        <v>29909.36</v>
      </c>
      <c r="G603" s="24" t="n">
        <v>1.1194</v>
      </c>
      <c r="H603" s="24" t="n">
        <v>0.1652</v>
      </c>
      <c r="I603" s="22" t="s">
        <v>203</v>
      </c>
      <c r="J603" s="22"/>
      <c r="K603" s="23" t="n">
        <v>7319.1</v>
      </c>
      <c r="L603" s="22" t="s">
        <v>204</v>
      </c>
      <c r="M603" s="22" t="s">
        <v>205</v>
      </c>
    </row>
    <row r="604" customFormat="false" ht="15" hidden="false" customHeight="false" outlineLevel="0" collapsed="false">
      <c r="A604" s="22" t="s">
        <v>1985</v>
      </c>
      <c r="B604" s="22" t="s">
        <v>1986</v>
      </c>
      <c r="C604" s="22" t="s">
        <v>17</v>
      </c>
      <c r="D604" s="22" t="s">
        <v>60</v>
      </c>
      <c r="E604" s="22" t="s">
        <v>1987</v>
      </c>
      <c r="F604" s="23" t="n">
        <v>23871.9</v>
      </c>
      <c r="G604" s="24" t="n">
        <v>1.0403</v>
      </c>
      <c r="H604" s="24" t="n">
        <v>0.9198</v>
      </c>
      <c r="I604" s="22" t="s">
        <v>203</v>
      </c>
      <c r="J604" s="22"/>
      <c r="K604" s="23" t="n">
        <v>30277.06</v>
      </c>
      <c r="L604" s="22" t="s">
        <v>204</v>
      </c>
      <c r="M604" s="22" t="s">
        <v>205</v>
      </c>
    </row>
    <row r="605" customFormat="false" ht="15" hidden="false" customHeight="false" outlineLevel="0" collapsed="false">
      <c r="A605" s="22" t="s">
        <v>1988</v>
      </c>
      <c r="B605" s="22" t="s">
        <v>1989</v>
      </c>
      <c r="C605" s="22" t="s">
        <v>15</v>
      </c>
      <c r="D605" s="22" t="s">
        <v>58</v>
      </c>
      <c r="E605" s="22" t="s">
        <v>1990</v>
      </c>
      <c r="F605" s="23" t="n">
        <v>43158.26</v>
      </c>
      <c r="G605" s="24" t="n">
        <v>1.2983</v>
      </c>
      <c r="H605" s="24" t="n">
        <v>0.582</v>
      </c>
      <c r="I605" s="22" t="s">
        <v>203</v>
      </c>
      <c r="J605" s="22"/>
      <c r="K605" s="23" t="n">
        <v>43153.62</v>
      </c>
      <c r="L605" s="22" t="s">
        <v>204</v>
      </c>
      <c r="M605" s="22" t="s">
        <v>205</v>
      </c>
    </row>
    <row r="606" customFormat="false" ht="15" hidden="false" customHeight="false" outlineLevel="0" collapsed="false">
      <c r="A606" s="22" t="s">
        <v>1991</v>
      </c>
      <c r="B606" s="22" t="s">
        <v>1992</v>
      </c>
      <c r="C606" s="22" t="s">
        <v>15</v>
      </c>
      <c r="D606" s="22" t="s">
        <v>60</v>
      </c>
      <c r="E606" s="22" t="s">
        <v>1993</v>
      </c>
      <c r="F606" s="23" t="n">
        <v>17686.24</v>
      </c>
      <c r="G606" s="24" t="n">
        <v>1.0755</v>
      </c>
      <c r="H606" s="24" t="n">
        <v>0.3525</v>
      </c>
      <c r="I606" s="22" t="s">
        <v>203</v>
      </c>
      <c r="J606" s="22"/>
      <c r="K606" s="23" t="n">
        <v>8872.79</v>
      </c>
      <c r="L606" s="22" t="s">
        <v>204</v>
      </c>
      <c r="M606" s="22" t="s">
        <v>205</v>
      </c>
    </row>
    <row r="607" customFormat="false" ht="15" hidden="false" customHeight="false" outlineLevel="0" collapsed="false">
      <c r="A607" s="22" t="s">
        <v>1994</v>
      </c>
      <c r="B607" s="22" t="s">
        <v>1995</v>
      </c>
      <c r="C607" s="22" t="s">
        <v>17</v>
      </c>
      <c r="D607" s="22" t="s">
        <v>59</v>
      </c>
      <c r="E607" s="22" t="s">
        <v>1996</v>
      </c>
      <c r="F607" s="23" t="n">
        <v>61144.56</v>
      </c>
      <c r="G607" s="24" t="n">
        <v>1.1808</v>
      </c>
      <c r="H607" s="24" t="n">
        <v>0.5524</v>
      </c>
      <c r="I607" s="22" t="s">
        <v>203</v>
      </c>
      <c r="J607" s="22"/>
      <c r="K607" s="23" t="n">
        <v>52864.31</v>
      </c>
      <c r="L607" s="22" t="s">
        <v>204</v>
      </c>
      <c r="M607" s="22" t="s">
        <v>205</v>
      </c>
    </row>
    <row r="608" customFormat="false" ht="15" hidden="false" customHeight="false" outlineLevel="0" collapsed="false">
      <c r="A608" s="22" t="s">
        <v>1997</v>
      </c>
      <c r="B608" s="22" t="s">
        <v>1998</v>
      </c>
      <c r="C608" s="22" t="s">
        <v>15</v>
      </c>
      <c r="D608" s="22" t="s">
        <v>60</v>
      </c>
      <c r="E608" s="22" t="s">
        <v>1385</v>
      </c>
      <c r="F608" s="23" t="n">
        <v>31309.97</v>
      </c>
      <c r="G608" s="24" t="n">
        <v>1.2191</v>
      </c>
      <c r="H608" s="24" t="n">
        <v>0.6986</v>
      </c>
      <c r="I608" s="22" t="s">
        <v>203</v>
      </c>
      <c r="J608" s="22"/>
      <c r="K608" s="23" t="n">
        <v>35286.28</v>
      </c>
      <c r="L608" s="22" t="s">
        <v>204</v>
      </c>
      <c r="M608" s="22" t="s">
        <v>205</v>
      </c>
    </row>
    <row r="609" customFormat="false" ht="15" hidden="false" customHeight="false" outlineLevel="0" collapsed="false">
      <c r="A609" s="22" t="s">
        <v>1999</v>
      </c>
      <c r="B609" s="22" t="s">
        <v>2000</v>
      </c>
      <c r="C609" s="22" t="s">
        <v>15</v>
      </c>
      <c r="D609" s="22" t="s">
        <v>61</v>
      </c>
      <c r="E609" s="22" t="s">
        <v>2001</v>
      </c>
      <c r="F609" s="23" t="n">
        <v>6010.08</v>
      </c>
      <c r="G609" s="24" t="n">
        <v>1.2099</v>
      </c>
      <c r="H609" s="24" t="n">
        <v>0.4349</v>
      </c>
      <c r="I609" s="22" t="s">
        <v>203</v>
      </c>
      <c r="J609" s="22"/>
      <c r="K609" s="23" t="n">
        <v>4184.8</v>
      </c>
      <c r="L609" s="22" t="s">
        <v>204</v>
      </c>
      <c r="M609" s="22" t="s">
        <v>205</v>
      </c>
    </row>
    <row r="610" customFormat="false" ht="15" hidden="false" customHeight="false" outlineLevel="0" collapsed="false">
      <c r="A610" s="22" t="s">
        <v>2002</v>
      </c>
      <c r="B610" s="22" t="s">
        <v>2003</v>
      </c>
      <c r="C610" s="22" t="s">
        <v>15</v>
      </c>
      <c r="D610" s="22" t="s">
        <v>61</v>
      </c>
      <c r="E610" s="22" t="s">
        <v>2004</v>
      </c>
      <c r="F610" s="23" t="n">
        <v>4544.2</v>
      </c>
      <c r="G610" s="24" t="n">
        <v>1.1663</v>
      </c>
      <c r="H610" s="24" t="n">
        <v>0.0235</v>
      </c>
      <c r="I610" s="22" t="s">
        <v>203</v>
      </c>
      <c r="J610" s="22"/>
      <c r="K610" s="23" t="n">
        <v>164.81</v>
      </c>
      <c r="L610" s="22" t="s">
        <v>204</v>
      </c>
      <c r="M610" s="22" t="s">
        <v>205</v>
      </c>
    </row>
    <row r="611" customFormat="false" ht="15" hidden="false" customHeight="false" outlineLevel="0" collapsed="false">
      <c r="A611" s="22" t="s">
        <v>2005</v>
      </c>
      <c r="B611" s="22" t="s">
        <v>2006</v>
      </c>
      <c r="C611" s="22" t="s">
        <v>15</v>
      </c>
      <c r="D611" s="22" t="s">
        <v>60</v>
      </c>
      <c r="E611" s="22" t="s">
        <v>835</v>
      </c>
      <c r="F611" s="23" t="n">
        <v>21428.13</v>
      </c>
      <c r="G611" s="24" t="n">
        <v>1.2495</v>
      </c>
      <c r="H611" s="24" t="n">
        <v>0.4969</v>
      </c>
      <c r="I611" s="22" t="s">
        <v>203</v>
      </c>
      <c r="J611" s="22"/>
      <c r="K611" s="23" t="n">
        <v>17605.36</v>
      </c>
      <c r="L611" s="22" t="s">
        <v>204</v>
      </c>
      <c r="M611" s="22" t="s">
        <v>205</v>
      </c>
    </row>
    <row r="612" customFormat="false" ht="15" hidden="false" customHeight="false" outlineLevel="0" collapsed="false">
      <c r="A612" s="22" t="s">
        <v>2007</v>
      </c>
      <c r="B612" s="22" t="s">
        <v>2008</v>
      </c>
      <c r="C612" s="22" t="s">
        <v>15</v>
      </c>
      <c r="D612" s="22" t="s">
        <v>59</v>
      </c>
      <c r="E612" s="22" t="s">
        <v>886</v>
      </c>
      <c r="F612" s="23" t="n">
        <v>149755.68</v>
      </c>
      <c r="G612" s="24" t="n">
        <v>1.1457</v>
      </c>
      <c r="H612" s="24" t="n">
        <v>0.8901</v>
      </c>
      <c r="I612" s="22" t="s">
        <v>203</v>
      </c>
      <c r="J612" s="22"/>
      <c r="K612" s="23" t="n">
        <v>202091.61</v>
      </c>
      <c r="L612" s="22" t="s">
        <v>204</v>
      </c>
      <c r="M612" s="22" t="s">
        <v>205</v>
      </c>
    </row>
    <row r="613" customFormat="false" ht="15" hidden="false" customHeight="false" outlineLevel="0" collapsed="false">
      <c r="A613" s="22" t="s">
        <v>2009</v>
      </c>
      <c r="B613" s="22" t="s">
        <v>2010</v>
      </c>
      <c r="C613" s="22" t="s">
        <v>17</v>
      </c>
      <c r="D613" s="22" t="s">
        <v>61</v>
      </c>
      <c r="E613" s="22" t="s">
        <v>2011</v>
      </c>
      <c r="F613" s="23" t="n">
        <v>2507.44</v>
      </c>
      <c r="G613" s="24" t="n">
        <v>1.0332</v>
      </c>
      <c r="H613" s="24" t="n">
        <v>0.0193</v>
      </c>
      <c r="I613" s="22" t="s">
        <v>203</v>
      </c>
      <c r="J613" s="22"/>
      <c r="K613" s="23" t="n">
        <v>66.27</v>
      </c>
      <c r="L613" s="22" t="s">
        <v>204</v>
      </c>
      <c r="M613" s="22" t="s">
        <v>205</v>
      </c>
    </row>
    <row r="614" customFormat="false" ht="15" hidden="false" customHeight="false" outlineLevel="0" collapsed="false">
      <c r="A614" s="22" t="s">
        <v>2012</v>
      </c>
      <c r="B614" s="22" t="s">
        <v>2013</v>
      </c>
      <c r="C614" s="22" t="s">
        <v>15</v>
      </c>
      <c r="D614" s="22" t="s">
        <v>59</v>
      </c>
      <c r="E614" s="22" t="s">
        <v>2014</v>
      </c>
      <c r="F614" s="23" t="n">
        <v>92252.26</v>
      </c>
      <c r="G614" s="24" t="n">
        <v>1.0862</v>
      </c>
      <c r="H614" s="24" t="n">
        <v>0.6397</v>
      </c>
      <c r="I614" s="22" t="s">
        <v>203</v>
      </c>
      <c r="J614" s="22"/>
      <c r="K614" s="23" t="n">
        <v>84823.94</v>
      </c>
      <c r="L614" s="22" t="s">
        <v>204</v>
      </c>
      <c r="M614" s="22" t="s">
        <v>205</v>
      </c>
    </row>
    <row r="615" customFormat="false" ht="15" hidden="false" customHeight="false" outlineLevel="0" collapsed="false">
      <c r="A615" s="22" t="s">
        <v>2015</v>
      </c>
      <c r="B615" s="22" t="s">
        <v>2016</v>
      </c>
      <c r="C615" s="22" t="s">
        <v>15</v>
      </c>
      <c r="D615" s="22" t="s">
        <v>60</v>
      </c>
      <c r="E615" s="22" t="s">
        <v>2017</v>
      </c>
      <c r="F615" s="23" t="n">
        <v>18473.08</v>
      </c>
      <c r="G615" s="24" t="n">
        <v>1.1694</v>
      </c>
      <c r="H615" s="24" t="n">
        <v>0.1872</v>
      </c>
      <c r="I615" s="22" t="s">
        <v>203</v>
      </c>
      <c r="J615" s="22"/>
      <c r="K615" s="23" t="n">
        <v>5351.35</v>
      </c>
      <c r="L615" s="22" t="s">
        <v>204</v>
      </c>
      <c r="M615" s="22" t="s">
        <v>205</v>
      </c>
    </row>
    <row r="616" customFormat="false" ht="15" hidden="false" customHeight="false" outlineLevel="0" collapsed="false">
      <c r="A616" s="22" t="s">
        <v>2018</v>
      </c>
      <c r="B616" s="22" t="s">
        <v>2019</v>
      </c>
      <c r="C616" s="22" t="s">
        <v>15</v>
      </c>
      <c r="D616" s="22" t="s">
        <v>58</v>
      </c>
      <c r="E616" s="22" t="s">
        <v>2020</v>
      </c>
      <c r="F616" s="23" t="n">
        <v>35244.23</v>
      </c>
      <c r="G616" s="24" t="n">
        <v>1.1749</v>
      </c>
      <c r="H616" s="24" t="n">
        <v>0.9366</v>
      </c>
      <c r="I616" s="22" t="s">
        <v>203</v>
      </c>
      <c r="J616" s="22"/>
      <c r="K616" s="23" t="n">
        <v>51321.38</v>
      </c>
      <c r="L616" s="22" t="s">
        <v>204</v>
      </c>
      <c r="M616" s="22" t="s">
        <v>205</v>
      </c>
    </row>
    <row r="617" customFormat="false" ht="15" hidden="false" customHeight="false" outlineLevel="0" collapsed="false">
      <c r="A617" s="22" t="s">
        <v>2021</v>
      </c>
      <c r="B617" s="22" t="s">
        <v>2022</v>
      </c>
      <c r="C617" s="22" t="s">
        <v>15</v>
      </c>
      <c r="D617" s="22" t="s">
        <v>61</v>
      </c>
      <c r="E617" s="22" t="s">
        <v>2023</v>
      </c>
      <c r="F617" s="23" t="n">
        <v>5852.28</v>
      </c>
      <c r="G617" s="24" t="n">
        <v>1.0663</v>
      </c>
      <c r="H617" s="24" t="n">
        <v>0.5145</v>
      </c>
      <c r="I617" s="22" t="s">
        <v>203</v>
      </c>
      <c r="J617" s="22"/>
      <c r="K617" s="23" t="n">
        <v>4248.59</v>
      </c>
      <c r="L617" s="22" t="s">
        <v>204</v>
      </c>
      <c r="M617" s="22" t="s">
        <v>205</v>
      </c>
    </row>
    <row r="618" customFormat="false" ht="15" hidden="false" customHeight="false" outlineLevel="0" collapsed="false">
      <c r="A618" s="22" t="s">
        <v>2024</v>
      </c>
      <c r="B618" s="22" t="s">
        <v>2025</v>
      </c>
      <c r="C618" s="22" t="s">
        <v>21</v>
      </c>
      <c r="D618" s="22" t="s">
        <v>58</v>
      </c>
      <c r="E618" s="22" t="s">
        <v>2026</v>
      </c>
      <c r="F618" s="23" t="n">
        <v>65019.39</v>
      </c>
      <c r="G618" s="24" t="n">
        <v>1.043</v>
      </c>
      <c r="H618" s="24" t="n">
        <v>0.8428</v>
      </c>
      <c r="I618" s="22" t="s">
        <v>203</v>
      </c>
      <c r="J618" s="22"/>
      <c r="K618" s="23" t="n">
        <v>72678.87</v>
      </c>
      <c r="L618" s="22" t="s">
        <v>204</v>
      </c>
      <c r="M618" s="22" t="s">
        <v>205</v>
      </c>
    </row>
    <row r="619" customFormat="false" ht="15" hidden="false" customHeight="false" outlineLevel="0" collapsed="false">
      <c r="A619" s="22" t="s">
        <v>2027</v>
      </c>
      <c r="B619" s="22" t="s">
        <v>2028</v>
      </c>
      <c r="C619" s="22" t="s">
        <v>15</v>
      </c>
      <c r="D619" s="22" t="s">
        <v>58</v>
      </c>
      <c r="E619" s="22" t="s">
        <v>2029</v>
      </c>
      <c r="F619" s="23" t="n">
        <v>27534.79</v>
      </c>
      <c r="G619" s="24" t="n">
        <v>1.0936</v>
      </c>
      <c r="H619" s="24" t="n">
        <v>0.3547</v>
      </c>
      <c r="I619" s="22" t="s">
        <v>203</v>
      </c>
      <c r="J619" s="22"/>
      <c r="K619" s="23" t="n">
        <v>14133.73</v>
      </c>
      <c r="L619" s="22" t="s">
        <v>204</v>
      </c>
      <c r="M619" s="22" t="s">
        <v>205</v>
      </c>
    </row>
    <row r="620" customFormat="false" ht="15" hidden="false" customHeight="false" outlineLevel="0" collapsed="false">
      <c r="A620" s="22" t="s">
        <v>2030</v>
      </c>
      <c r="B620" s="22" t="s">
        <v>2031</v>
      </c>
      <c r="C620" s="22" t="s">
        <v>15</v>
      </c>
      <c r="D620" s="22" t="s">
        <v>58</v>
      </c>
      <c r="E620" s="22" t="s">
        <v>2032</v>
      </c>
      <c r="F620" s="23" t="n">
        <v>53843.38</v>
      </c>
      <c r="G620" s="24" t="n">
        <v>1.1909</v>
      </c>
      <c r="H620" s="24" t="n">
        <v>0.1761</v>
      </c>
      <c r="I620" s="22" t="s">
        <v>203</v>
      </c>
      <c r="J620" s="22"/>
      <c r="K620" s="23" t="n">
        <v>14942.46</v>
      </c>
      <c r="L620" s="22" t="s">
        <v>204</v>
      </c>
      <c r="M620" s="22" t="s">
        <v>205</v>
      </c>
    </row>
    <row r="621" customFormat="false" ht="15" hidden="false" customHeight="false" outlineLevel="0" collapsed="false">
      <c r="A621" s="22" t="s">
        <v>2033</v>
      </c>
      <c r="B621" s="22" t="s">
        <v>2034</v>
      </c>
      <c r="C621" s="22" t="s">
        <v>17</v>
      </c>
      <c r="D621" s="22" t="s">
        <v>60</v>
      </c>
      <c r="E621" s="22" t="s">
        <v>2035</v>
      </c>
      <c r="F621" s="23" t="n">
        <v>15193.48</v>
      </c>
      <c r="G621" s="24" t="n">
        <v>1.0053</v>
      </c>
      <c r="H621" s="24" t="n">
        <v>0.6241</v>
      </c>
      <c r="I621" s="22" t="s">
        <v>203</v>
      </c>
      <c r="J621" s="22"/>
      <c r="K621" s="23" t="n">
        <v>12635.19</v>
      </c>
      <c r="L621" s="22" t="s">
        <v>204</v>
      </c>
      <c r="M621" s="22" t="s">
        <v>205</v>
      </c>
    </row>
    <row r="622" customFormat="false" ht="15" hidden="false" customHeight="false" outlineLevel="0" collapsed="false">
      <c r="A622" s="22" t="s">
        <v>2036</v>
      </c>
      <c r="B622" s="22" t="s">
        <v>2037</v>
      </c>
      <c r="C622" s="22" t="s">
        <v>15</v>
      </c>
      <c r="D622" s="22" t="s">
        <v>58</v>
      </c>
      <c r="E622" s="22" t="s">
        <v>2038</v>
      </c>
      <c r="F622" s="23" t="n">
        <v>24082.95</v>
      </c>
      <c r="G622" s="24" t="n">
        <v>1.2944</v>
      </c>
      <c r="H622" s="24" t="n">
        <v>0.198</v>
      </c>
      <c r="I622" s="22" t="s">
        <v>203</v>
      </c>
      <c r="J622" s="22"/>
      <c r="K622" s="23" t="n">
        <v>8167.68</v>
      </c>
      <c r="L622" s="22" t="s">
        <v>204</v>
      </c>
      <c r="M622" s="22" t="s">
        <v>205</v>
      </c>
    </row>
    <row r="623" customFormat="false" ht="15" hidden="false" customHeight="false" outlineLevel="0" collapsed="false">
      <c r="A623" s="22" t="s">
        <v>2039</v>
      </c>
      <c r="B623" s="22" t="s">
        <v>2040</v>
      </c>
      <c r="C623" s="22" t="s">
        <v>17</v>
      </c>
      <c r="D623" s="22" t="s">
        <v>59</v>
      </c>
      <c r="E623" s="22" t="s">
        <v>2041</v>
      </c>
      <c r="F623" s="23" t="n">
        <v>64945.33</v>
      </c>
      <c r="G623" s="24" t="n">
        <v>1.1408</v>
      </c>
      <c r="H623" s="24" t="n">
        <v>0.4813</v>
      </c>
      <c r="I623" s="22" t="s">
        <v>203</v>
      </c>
      <c r="J623" s="22"/>
      <c r="K623" s="23" t="n">
        <v>47265.91</v>
      </c>
      <c r="L623" s="22" t="s">
        <v>204</v>
      </c>
      <c r="M623" s="22" t="s">
        <v>205</v>
      </c>
    </row>
    <row r="624" customFormat="false" ht="15" hidden="false" customHeight="false" outlineLevel="0" collapsed="false">
      <c r="A624" s="22" t="s">
        <v>2042</v>
      </c>
      <c r="B624" s="22" t="s">
        <v>2043</v>
      </c>
      <c r="C624" s="22" t="s">
        <v>15</v>
      </c>
      <c r="D624" s="22" t="s">
        <v>61</v>
      </c>
      <c r="E624" s="22" t="s">
        <v>2044</v>
      </c>
      <c r="F624" s="23" t="n">
        <v>5002.8</v>
      </c>
      <c r="G624" s="24" t="n">
        <v>1.1919</v>
      </c>
      <c r="H624" s="24" t="n">
        <v>0.9352</v>
      </c>
      <c r="I624" s="22" t="s">
        <v>203</v>
      </c>
      <c r="J624" s="22"/>
      <c r="K624" s="23" t="n">
        <v>7379.26</v>
      </c>
      <c r="L624" s="22" t="s">
        <v>204</v>
      </c>
      <c r="M624" s="22" t="s">
        <v>205</v>
      </c>
    </row>
    <row r="625" customFormat="false" ht="15" hidden="false" customHeight="false" outlineLevel="0" collapsed="false">
      <c r="A625" s="22" t="s">
        <v>2045</v>
      </c>
      <c r="B625" s="22" t="s">
        <v>2046</v>
      </c>
      <c r="C625" s="22" t="s">
        <v>19</v>
      </c>
      <c r="D625" s="22" t="s">
        <v>61</v>
      </c>
      <c r="E625" s="22" t="s">
        <v>2047</v>
      </c>
      <c r="F625" s="23" t="n">
        <v>3380.6</v>
      </c>
      <c r="G625" s="24" t="n">
        <v>1.2026</v>
      </c>
      <c r="H625" s="24" t="n">
        <v>0.9128</v>
      </c>
      <c r="I625" s="22" t="s">
        <v>203</v>
      </c>
      <c r="J625" s="22"/>
      <c r="K625" s="23" t="n">
        <v>4956.64</v>
      </c>
      <c r="L625" s="22" t="s">
        <v>204</v>
      </c>
      <c r="M625" s="22" t="s">
        <v>205</v>
      </c>
    </row>
    <row r="626" customFormat="false" ht="15" hidden="false" customHeight="false" outlineLevel="0" collapsed="false">
      <c r="A626" s="22" t="s">
        <v>2048</v>
      </c>
      <c r="B626" s="22" t="s">
        <v>2049</v>
      </c>
      <c r="C626" s="22" t="s">
        <v>17</v>
      </c>
      <c r="D626" s="22" t="s">
        <v>59</v>
      </c>
      <c r="E626" s="22" t="s">
        <v>2050</v>
      </c>
      <c r="F626" s="23" t="n">
        <v>48647.52</v>
      </c>
      <c r="G626" s="24" t="n">
        <v>1.0527</v>
      </c>
      <c r="H626" s="24" t="n">
        <v>0.8281</v>
      </c>
      <c r="I626" s="22" t="s">
        <v>203</v>
      </c>
      <c r="J626" s="22"/>
      <c r="K626" s="23" t="n">
        <v>56211.19</v>
      </c>
      <c r="L626" s="22" t="s">
        <v>204</v>
      </c>
      <c r="M626" s="22" t="s">
        <v>205</v>
      </c>
    </row>
    <row r="627" customFormat="false" ht="15" hidden="false" customHeight="false" outlineLevel="0" collapsed="false">
      <c r="A627" s="22" t="s">
        <v>2051</v>
      </c>
      <c r="B627" s="22" t="s">
        <v>2052</v>
      </c>
      <c r="C627" s="22" t="s">
        <v>15</v>
      </c>
      <c r="D627" s="22" t="s">
        <v>59</v>
      </c>
      <c r="E627" s="22" t="s">
        <v>2053</v>
      </c>
      <c r="F627" s="23" t="n">
        <v>58634.17</v>
      </c>
      <c r="G627" s="24" t="n">
        <v>1.2637</v>
      </c>
      <c r="H627" s="24" t="n">
        <v>0.5441</v>
      </c>
      <c r="I627" s="22" t="s">
        <v>203</v>
      </c>
      <c r="J627" s="22"/>
      <c r="K627" s="23" t="n">
        <v>53349.3</v>
      </c>
      <c r="L627" s="22" t="s">
        <v>204</v>
      </c>
      <c r="M627" s="22" t="s">
        <v>205</v>
      </c>
    </row>
    <row r="628" customFormat="false" ht="15" hidden="false" customHeight="false" outlineLevel="0" collapsed="false">
      <c r="A628" s="22" t="s">
        <v>2054</v>
      </c>
      <c r="B628" s="22" t="s">
        <v>2055</v>
      </c>
      <c r="C628" s="22" t="s">
        <v>17</v>
      </c>
      <c r="D628" s="22" t="s">
        <v>60</v>
      </c>
      <c r="E628" s="22" t="s">
        <v>2056</v>
      </c>
      <c r="F628" s="23" t="n">
        <v>24868.01</v>
      </c>
      <c r="G628" s="24" t="n">
        <v>1.0549</v>
      </c>
      <c r="H628" s="24" t="n">
        <v>0.3069</v>
      </c>
      <c r="I628" s="22" t="s">
        <v>203</v>
      </c>
      <c r="J628" s="22"/>
      <c r="K628" s="23" t="n">
        <v>10671.46</v>
      </c>
      <c r="L628" s="22" t="s">
        <v>204</v>
      </c>
      <c r="M628" s="22" t="s">
        <v>205</v>
      </c>
    </row>
    <row r="629" customFormat="false" ht="15" hidden="false" customHeight="false" outlineLevel="0" collapsed="false">
      <c r="A629" s="22" t="s">
        <v>2057</v>
      </c>
      <c r="B629" s="22" t="s">
        <v>2058</v>
      </c>
      <c r="C629" s="22" t="s">
        <v>17</v>
      </c>
      <c r="D629" s="22" t="s">
        <v>60</v>
      </c>
      <c r="E629" s="22" t="s">
        <v>823</v>
      </c>
      <c r="F629" s="23" t="n">
        <v>17501.78</v>
      </c>
      <c r="G629" s="24" t="n">
        <v>1.1554</v>
      </c>
      <c r="H629" s="24" t="n">
        <v>0.6299</v>
      </c>
      <c r="I629" s="22" t="s">
        <v>203</v>
      </c>
      <c r="J629" s="22"/>
      <c r="K629" s="23" t="n">
        <v>16883.44</v>
      </c>
      <c r="L629" s="22" t="s">
        <v>204</v>
      </c>
      <c r="M629" s="22" t="s">
        <v>205</v>
      </c>
    </row>
    <row r="630" customFormat="false" ht="15" hidden="false" customHeight="false" outlineLevel="0" collapsed="false">
      <c r="A630" s="22" t="s">
        <v>2059</v>
      </c>
      <c r="B630" s="22" t="s">
        <v>2060</v>
      </c>
      <c r="C630" s="22" t="s">
        <v>17</v>
      </c>
      <c r="D630" s="22" t="s">
        <v>62</v>
      </c>
      <c r="E630" s="22" t="s">
        <v>2061</v>
      </c>
      <c r="F630" s="23" t="n">
        <v>1588755.12</v>
      </c>
      <c r="G630" s="24" t="n">
        <v>1.281</v>
      </c>
      <c r="H630" s="24" t="n">
        <v>0.0463</v>
      </c>
      <c r="I630" s="22" t="s">
        <v>203</v>
      </c>
      <c r="J630" s="22"/>
      <c r="K630" s="23" t="n">
        <v>124899.81</v>
      </c>
      <c r="L630" s="22" t="s">
        <v>204</v>
      </c>
      <c r="M630" s="22" t="s">
        <v>205</v>
      </c>
    </row>
    <row r="631" customFormat="false" ht="15" hidden="false" customHeight="false" outlineLevel="0" collapsed="false">
      <c r="A631" s="22" t="s">
        <v>2062</v>
      </c>
      <c r="B631" s="22" t="s">
        <v>2063</v>
      </c>
      <c r="C631" s="22" t="s">
        <v>15</v>
      </c>
      <c r="D631" s="22" t="s">
        <v>59</v>
      </c>
      <c r="E631" s="22" t="s">
        <v>2064</v>
      </c>
      <c r="F631" s="23" t="n">
        <v>118771.75</v>
      </c>
      <c r="G631" s="24" t="n">
        <v>1.2475</v>
      </c>
      <c r="H631" s="24" t="n">
        <v>0.0424</v>
      </c>
      <c r="I631" s="22" t="s">
        <v>203</v>
      </c>
      <c r="J631" s="22"/>
      <c r="K631" s="23" t="n">
        <v>8313.33</v>
      </c>
      <c r="L631" s="22" t="s">
        <v>204</v>
      </c>
      <c r="M631" s="22" t="s">
        <v>205</v>
      </c>
    </row>
    <row r="632" customFormat="false" ht="15" hidden="false" customHeight="false" outlineLevel="0" collapsed="false">
      <c r="A632" s="22" t="s">
        <v>2065</v>
      </c>
      <c r="B632" s="22" t="s">
        <v>2066</v>
      </c>
      <c r="C632" s="22" t="s">
        <v>17</v>
      </c>
      <c r="D632" s="22" t="s">
        <v>60</v>
      </c>
      <c r="E632" s="22" t="s">
        <v>2067</v>
      </c>
      <c r="F632" s="23" t="n">
        <v>14796.81</v>
      </c>
      <c r="G632" s="24" t="n">
        <v>1.2516</v>
      </c>
      <c r="H632" s="24" t="n">
        <v>0.2914</v>
      </c>
      <c r="I632" s="22" t="s">
        <v>203</v>
      </c>
      <c r="J632" s="22"/>
      <c r="K632" s="23" t="n">
        <v>7153.16</v>
      </c>
      <c r="L632" s="22" t="s">
        <v>204</v>
      </c>
      <c r="M632" s="22" t="s">
        <v>205</v>
      </c>
    </row>
    <row r="633" customFormat="false" ht="15" hidden="false" customHeight="false" outlineLevel="0" collapsed="false">
      <c r="A633" s="22" t="s">
        <v>2068</v>
      </c>
      <c r="B633" s="22" t="s">
        <v>2069</v>
      </c>
      <c r="C633" s="22" t="s">
        <v>19</v>
      </c>
      <c r="D633" s="22" t="s">
        <v>58</v>
      </c>
      <c r="E633" s="22" t="s">
        <v>2070</v>
      </c>
      <c r="F633" s="23" t="n">
        <v>41610.74</v>
      </c>
      <c r="G633" s="24" t="n">
        <v>1.0094</v>
      </c>
      <c r="H633" s="24" t="n">
        <v>0.8475</v>
      </c>
      <c r="I633" s="22" t="s">
        <v>203</v>
      </c>
      <c r="J633" s="22"/>
      <c r="K633" s="23" t="n">
        <v>47545.02</v>
      </c>
      <c r="L633" s="22" t="s">
        <v>204</v>
      </c>
      <c r="M633" s="22" t="s">
        <v>205</v>
      </c>
    </row>
    <row r="634" customFormat="false" ht="15" hidden="false" customHeight="false" outlineLevel="0" collapsed="false">
      <c r="A634" s="22" t="s">
        <v>2071</v>
      </c>
      <c r="B634" s="22" t="s">
        <v>2072</v>
      </c>
      <c r="C634" s="22" t="s">
        <v>15</v>
      </c>
      <c r="D634" s="22" t="s">
        <v>59</v>
      </c>
      <c r="E634" s="22" t="s">
        <v>2073</v>
      </c>
      <c r="F634" s="23" t="n">
        <v>145608.58</v>
      </c>
      <c r="G634" s="24" t="n">
        <v>1.2629</v>
      </c>
      <c r="H634" s="24" t="n">
        <v>0.965</v>
      </c>
      <c r="I634" s="22" t="s">
        <v>203</v>
      </c>
      <c r="J634" s="22"/>
      <c r="K634" s="23" t="n">
        <v>234821.85</v>
      </c>
      <c r="L634" s="22" t="s">
        <v>204</v>
      </c>
      <c r="M634" s="22" t="s">
        <v>205</v>
      </c>
    </row>
    <row r="635" customFormat="false" ht="15" hidden="false" customHeight="false" outlineLevel="0" collapsed="false">
      <c r="A635" s="22" t="s">
        <v>2074</v>
      </c>
      <c r="B635" s="22" t="s">
        <v>2075</v>
      </c>
      <c r="C635" s="22" t="s">
        <v>15</v>
      </c>
      <c r="D635" s="22" t="s">
        <v>61</v>
      </c>
      <c r="E635" s="22" t="s">
        <v>2076</v>
      </c>
      <c r="F635" s="23" t="n">
        <v>4467.8</v>
      </c>
      <c r="G635" s="24" t="n">
        <v>1.0441</v>
      </c>
      <c r="H635" s="24" t="n">
        <v>0.4564</v>
      </c>
      <c r="I635" s="22" t="s">
        <v>203</v>
      </c>
      <c r="J635" s="22"/>
      <c r="K635" s="23" t="n">
        <v>2817.32</v>
      </c>
      <c r="L635" s="22" t="s">
        <v>204</v>
      </c>
      <c r="M635" s="22" t="s">
        <v>205</v>
      </c>
    </row>
    <row r="636" customFormat="false" ht="15" hidden="false" customHeight="false" outlineLevel="0" collapsed="false">
      <c r="A636" s="22" t="s">
        <v>2077</v>
      </c>
      <c r="B636" s="22" t="s">
        <v>2078</v>
      </c>
      <c r="C636" s="22" t="s">
        <v>17</v>
      </c>
      <c r="D636" s="22" t="s">
        <v>58</v>
      </c>
      <c r="E636" s="22" t="s">
        <v>2079</v>
      </c>
      <c r="F636" s="23" t="n">
        <v>35512.76</v>
      </c>
      <c r="G636" s="24" t="n">
        <v>1.1492</v>
      </c>
      <c r="H636" s="24" t="n">
        <v>0.4151</v>
      </c>
      <c r="I636" s="22" t="s">
        <v>203</v>
      </c>
      <c r="J636" s="22"/>
      <c r="K636" s="23" t="n">
        <v>22454.71</v>
      </c>
      <c r="L636" s="22" t="s">
        <v>204</v>
      </c>
      <c r="M636" s="22" t="s">
        <v>205</v>
      </c>
    </row>
    <row r="637" customFormat="false" ht="15" hidden="false" customHeight="false" outlineLevel="0" collapsed="false">
      <c r="A637" s="22" t="s">
        <v>2080</v>
      </c>
      <c r="B637" s="22" t="s">
        <v>2081</v>
      </c>
      <c r="C637" s="22" t="s">
        <v>19</v>
      </c>
      <c r="D637" s="22" t="s">
        <v>60</v>
      </c>
      <c r="E637" s="22" t="s">
        <v>2082</v>
      </c>
      <c r="F637" s="23" t="n">
        <v>17512.15</v>
      </c>
      <c r="G637" s="24" t="n">
        <v>1.209</v>
      </c>
      <c r="H637" s="24" t="n">
        <v>0.4275</v>
      </c>
      <c r="I637" s="22" t="s">
        <v>203</v>
      </c>
      <c r="J637" s="22"/>
      <c r="K637" s="23" t="n">
        <v>12089.22</v>
      </c>
      <c r="L637" s="22" t="s">
        <v>204</v>
      </c>
      <c r="M637" s="22" t="s">
        <v>205</v>
      </c>
    </row>
    <row r="638" customFormat="false" ht="15" hidden="false" customHeight="false" outlineLevel="0" collapsed="false">
      <c r="A638" s="22" t="s">
        <v>2083</v>
      </c>
      <c r="B638" s="22" t="s">
        <v>2084</v>
      </c>
      <c r="C638" s="22" t="s">
        <v>15</v>
      </c>
      <c r="D638" s="22" t="s">
        <v>62</v>
      </c>
      <c r="E638" s="22" t="s">
        <v>337</v>
      </c>
      <c r="F638" s="23" t="n">
        <v>1807085.57</v>
      </c>
      <c r="G638" s="24" t="n">
        <v>1.2205</v>
      </c>
      <c r="H638" s="24" t="n">
        <v>0.7991</v>
      </c>
      <c r="I638" s="22" t="s">
        <v>203</v>
      </c>
      <c r="J638" s="22"/>
      <c r="K638" s="23" t="n">
        <v>2332238.19</v>
      </c>
      <c r="L638" s="22" t="s">
        <v>204</v>
      </c>
      <c r="M638" s="22" t="s">
        <v>205</v>
      </c>
    </row>
    <row r="639" customFormat="false" ht="15" hidden="false" customHeight="false" outlineLevel="0" collapsed="false">
      <c r="A639" s="22" t="s">
        <v>2085</v>
      </c>
      <c r="B639" s="22" t="s">
        <v>2086</v>
      </c>
      <c r="C639" s="22" t="s">
        <v>17</v>
      </c>
      <c r="D639" s="22" t="s">
        <v>58</v>
      </c>
      <c r="E639" s="22" t="s">
        <v>2087</v>
      </c>
      <c r="F639" s="23" t="n">
        <v>50697.15</v>
      </c>
      <c r="G639" s="24" t="n">
        <v>1.1927</v>
      </c>
      <c r="H639" s="24" t="n">
        <v>0.959</v>
      </c>
      <c r="I639" s="22" t="s">
        <v>203</v>
      </c>
      <c r="J639" s="22"/>
      <c r="K639" s="23" t="n">
        <v>76861.36</v>
      </c>
      <c r="L639" s="22" t="s">
        <v>204</v>
      </c>
      <c r="M639" s="22" t="s">
        <v>205</v>
      </c>
    </row>
    <row r="640" customFormat="false" ht="15" hidden="false" customHeight="false" outlineLevel="0" collapsed="false">
      <c r="A640" s="22" t="s">
        <v>2088</v>
      </c>
      <c r="B640" s="22" t="s">
        <v>2089</v>
      </c>
      <c r="C640" s="22" t="s">
        <v>15</v>
      </c>
      <c r="D640" s="22" t="s">
        <v>60</v>
      </c>
      <c r="E640" s="22" t="s">
        <v>2090</v>
      </c>
      <c r="F640" s="23" t="n">
        <v>16437.87</v>
      </c>
      <c r="G640" s="24" t="n">
        <v>1.1128</v>
      </c>
      <c r="H640" s="24" t="n">
        <v>0.4022</v>
      </c>
      <c r="I640" s="22" t="s">
        <v>203</v>
      </c>
      <c r="J640" s="22"/>
      <c r="K640" s="23" t="n">
        <v>9735.54</v>
      </c>
      <c r="L640" s="22" t="s">
        <v>204</v>
      </c>
      <c r="M640" s="22" t="s">
        <v>205</v>
      </c>
    </row>
    <row r="641" customFormat="false" ht="15" hidden="false" customHeight="false" outlineLevel="0" collapsed="false">
      <c r="A641" s="22" t="s">
        <v>2091</v>
      </c>
      <c r="B641" s="22" t="s">
        <v>2092</v>
      </c>
      <c r="C641" s="22" t="s">
        <v>15</v>
      </c>
      <c r="D641" s="22" t="s">
        <v>59</v>
      </c>
      <c r="E641" s="22" t="s">
        <v>2093</v>
      </c>
      <c r="F641" s="23" t="n">
        <v>74320.65</v>
      </c>
      <c r="G641" s="24" t="n">
        <v>1.1237</v>
      </c>
      <c r="H641" s="24" t="n">
        <v>0.5169</v>
      </c>
      <c r="I641" s="22" t="s">
        <v>203</v>
      </c>
      <c r="J641" s="22"/>
      <c r="K641" s="23" t="n">
        <v>57124.4</v>
      </c>
      <c r="L641" s="22" t="s">
        <v>204</v>
      </c>
      <c r="M641" s="22" t="s">
        <v>205</v>
      </c>
    </row>
    <row r="642" customFormat="false" ht="15" hidden="false" customHeight="false" outlineLevel="0" collapsed="false">
      <c r="A642" s="22" t="s">
        <v>2094</v>
      </c>
      <c r="B642" s="22" t="s">
        <v>2095</v>
      </c>
      <c r="C642" s="22" t="s">
        <v>17</v>
      </c>
      <c r="D642" s="22" t="s">
        <v>59</v>
      </c>
      <c r="E642" s="22" t="s">
        <v>2096</v>
      </c>
      <c r="F642" s="23" t="n">
        <v>124167.49</v>
      </c>
      <c r="G642" s="24" t="n">
        <v>1.1232</v>
      </c>
      <c r="H642" s="24" t="n">
        <v>0.953</v>
      </c>
      <c r="I642" s="22" t="s">
        <v>203</v>
      </c>
      <c r="J642" s="22"/>
      <c r="K642" s="23" t="n">
        <v>176170.26</v>
      </c>
      <c r="L642" s="22" t="s">
        <v>204</v>
      </c>
      <c r="M642" s="22" t="s">
        <v>205</v>
      </c>
    </row>
    <row r="643" customFormat="false" ht="15" hidden="false" customHeight="false" outlineLevel="0" collapsed="false">
      <c r="A643" s="22" t="s">
        <v>2097</v>
      </c>
      <c r="B643" s="22" t="s">
        <v>2098</v>
      </c>
      <c r="C643" s="22" t="s">
        <v>19</v>
      </c>
      <c r="D643" s="22" t="s">
        <v>61</v>
      </c>
      <c r="E643" s="22" t="s">
        <v>2099</v>
      </c>
      <c r="F643" s="23" t="n">
        <v>8973.12</v>
      </c>
      <c r="G643" s="24" t="n">
        <v>1.1353</v>
      </c>
      <c r="H643" s="24" t="n">
        <v>0.6901</v>
      </c>
      <c r="I643" s="22" t="s">
        <v>203</v>
      </c>
      <c r="J643" s="22"/>
      <c r="K643" s="23" t="n">
        <v>9389.94</v>
      </c>
      <c r="L643" s="22" t="s">
        <v>204</v>
      </c>
      <c r="M643" s="22" t="s">
        <v>205</v>
      </c>
    </row>
    <row r="644" customFormat="false" ht="15" hidden="false" customHeight="false" outlineLevel="0" collapsed="false">
      <c r="A644" s="22" t="s">
        <v>2100</v>
      </c>
      <c r="B644" s="22" t="s">
        <v>2101</v>
      </c>
      <c r="C644" s="22" t="s">
        <v>15</v>
      </c>
      <c r="D644" s="22" t="s">
        <v>59</v>
      </c>
      <c r="E644" s="22" t="s">
        <v>2102</v>
      </c>
      <c r="F644" s="23" t="n">
        <v>68057.12</v>
      </c>
      <c r="G644" s="24" t="n">
        <v>1.2036</v>
      </c>
      <c r="H644" s="24" t="n">
        <v>0.7072</v>
      </c>
      <c r="I644" s="22" t="s">
        <v>203</v>
      </c>
      <c r="J644" s="22"/>
      <c r="K644" s="23" t="n">
        <v>76657.26</v>
      </c>
      <c r="L644" s="22" t="s">
        <v>204</v>
      </c>
      <c r="M644" s="22" t="s">
        <v>205</v>
      </c>
    </row>
    <row r="645" customFormat="false" ht="15" hidden="false" customHeight="false" outlineLevel="0" collapsed="false">
      <c r="A645" s="22" t="s">
        <v>2103</v>
      </c>
      <c r="B645" s="22" t="s">
        <v>2104</v>
      </c>
      <c r="C645" s="22" t="s">
        <v>15</v>
      </c>
      <c r="D645" s="22" t="s">
        <v>62</v>
      </c>
      <c r="E645" s="22" t="s">
        <v>2105</v>
      </c>
      <c r="F645" s="23" t="n">
        <v>782083.34</v>
      </c>
      <c r="G645" s="24" t="n">
        <v>1.0309</v>
      </c>
      <c r="H645" s="24" t="n">
        <v>0.1048</v>
      </c>
      <c r="I645" s="22" t="s">
        <v>2106</v>
      </c>
      <c r="J645" s="22" t="s">
        <v>2107</v>
      </c>
      <c r="K645" s="23" t="n">
        <v>111811.41</v>
      </c>
      <c r="L645" s="22" t="s">
        <v>204</v>
      </c>
      <c r="M645" s="22" t="s">
        <v>205</v>
      </c>
    </row>
    <row r="646" customFormat="false" ht="15" hidden="false" customHeight="false" outlineLevel="0" collapsed="false">
      <c r="A646" s="22" t="s">
        <v>2108</v>
      </c>
      <c r="B646" s="22" t="s">
        <v>2109</v>
      </c>
      <c r="C646" s="22" t="s">
        <v>15</v>
      </c>
      <c r="D646" s="22" t="s">
        <v>61</v>
      </c>
      <c r="E646" s="22" t="s">
        <v>2110</v>
      </c>
      <c r="F646" s="23" t="n">
        <v>8997.98</v>
      </c>
      <c r="G646" s="24" t="n">
        <v>1.092</v>
      </c>
      <c r="H646" s="24" t="n">
        <v>0.5015</v>
      </c>
      <c r="I646" s="22" t="s">
        <v>203</v>
      </c>
      <c r="J646" s="22"/>
      <c r="K646" s="23" t="n">
        <v>6520.69</v>
      </c>
      <c r="L646" s="22" t="s">
        <v>204</v>
      </c>
      <c r="M646" s="22" t="s">
        <v>205</v>
      </c>
    </row>
    <row r="647" customFormat="false" ht="15" hidden="false" customHeight="false" outlineLevel="0" collapsed="false">
      <c r="A647" s="22" t="s">
        <v>2111</v>
      </c>
      <c r="B647" s="22" t="s">
        <v>2112</v>
      </c>
      <c r="C647" s="22" t="s">
        <v>17</v>
      </c>
      <c r="D647" s="22" t="s">
        <v>61</v>
      </c>
      <c r="E647" s="22" t="s">
        <v>2113</v>
      </c>
      <c r="F647" s="23" t="n">
        <v>3723.27</v>
      </c>
      <c r="G647" s="24" t="n">
        <v>1.0087</v>
      </c>
      <c r="H647" s="24" t="n">
        <v>0.2903</v>
      </c>
      <c r="I647" s="22" t="s">
        <v>203</v>
      </c>
      <c r="J647" s="22"/>
      <c r="K647" s="23" t="n">
        <v>1445.13</v>
      </c>
      <c r="L647" s="22" t="s">
        <v>204</v>
      </c>
      <c r="M647" s="22" t="s">
        <v>205</v>
      </c>
    </row>
    <row r="648" customFormat="false" ht="15" hidden="false" customHeight="false" outlineLevel="0" collapsed="false">
      <c r="A648" s="22" t="s">
        <v>2114</v>
      </c>
      <c r="B648" s="22" t="s">
        <v>2115</v>
      </c>
      <c r="C648" s="22" t="s">
        <v>15</v>
      </c>
      <c r="D648" s="22" t="s">
        <v>58</v>
      </c>
      <c r="E648" s="22" t="s">
        <v>2116</v>
      </c>
      <c r="F648" s="23" t="n">
        <v>44478.4</v>
      </c>
      <c r="G648" s="24" t="n">
        <v>1.0151</v>
      </c>
      <c r="H648" s="24" t="n">
        <v>0.2016</v>
      </c>
      <c r="I648" s="22" t="s">
        <v>203</v>
      </c>
      <c r="J648" s="22"/>
      <c r="K648" s="23" t="n">
        <v>12044.92</v>
      </c>
      <c r="L648" s="22" t="s">
        <v>204</v>
      </c>
      <c r="M648" s="22" t="s">
        <v>205</v>
      </c>
    </row>
    <row r="649" customFormat="false" ht="15" hidden="false" customHeight="false" outlineLevel="0" collapsed="false">
      <c r="A649" s="22" t="s">
        <v>2117</v>
      </c>
      <c r="B649" s="22" t="s">
        <v>2118</v>
      </c>
      <c r="C649" s="22" t="s">
        <v>17</v>
      </c>
      <c r="D649" s="22" t="s">
        <v>60</v>
      </c>
      <c r="E649" s="22" t="s">
        <v>2119</v>
      </c>
      <c r="F649" s="23" t="n">
        <v>19002.72</v>
      </c>
      <c r="G649" s="24" t="n">
        <v>1.0463</v>
      </c>
      <c r="H649" s="24" t="n">
        <v>0.5793</v>
      </c>
      <c r="I649" s="22" t="s">
        <v>203</v>
      </c>
      <c r="J649" s="22"/>
      <c r="K649" s="23" t="n">
        <v>15266.88</v>
      </c>
      <c r="L649" s="22" t="s">
        <v>204</v>
      </c>
      <c r="M649" s="22" t="s">
        <v>205</v>
      </c>
    </row>
    <row r="650" customFormat="false" ht="15" hidden="false" customHeight="false" outlineLevel="0" collapsed="false">
      <c r="A650" s="22" t="s">
        <v>2120</v>
      </c>
      <c r="B650" s="22" t="s">
        <v>2121</v>
      </c>
      <c r="C650" s="22" t="s">
        <v>15</v>
      </c>
      <c r="D650" s="22" t="s">
        <v>58</v>
      </c>
      <c r="E650" s="22" t="s">
        <v>2122</v>
      </c>
      <c r="F650" s="23" t="n">
        <v>51378.73</v>
      </c>
      <c r="G650" s="24" t="n">
        <v>1.0043</v>
      </c>
      <c r="H650" s="24" t="n">
        <v>0.4341</v>
      </c>
      <c r="I650" s="22" t="s">
        <v>203</v>
      </c>
      <c r="J650" s="22"/>
      <c r="K650" s="23" t="n">
        <v>29640.93</v>
      </c>
      <c r="L650" s="22" t="s">
        <v>204</v>
      </c>
      <c r="M650" s="22" t="s">
        <v>205</v>
      </c>
    </row>
    <row r="651" customFormat="false" ht="15" hidden="false" customHeight="false" outlineLevel="0" collapsed="false">
      <c r="A651" s="22" t="s">
        <v>2123</v>
      </c>
      <c r="B651" s="22" t="s">
        <v>2124</v>
      </c>
      <c r="C651" s="22" t="s">
        <v>17</v>
      </c>
      <c r="D651" s="22" t="s">
        <v>60</v>
      </c>
      <c r="E651" s="22" t="s">
        <v>2125</v>
      </c>
      <c r="F651" s="23" t="n">
        <v>10470.23</v>
      </c>
      <c r="G651" s="24" t="n">
        <v>1.1023</v>
      </c>
      <c r="H651" s="24" t="n">
        <v>0.9865</v>
      </c>
      <c r="I651" s="22" t="s">
        <v>203</v>
      </c>
      <c r="J651" s="22"/>
      <c r="K651" s="23" t="n">
        <v>15091.34</v>
      </c>
      <c r="L651" s="22" t="s">
        <v>204</v>
      </c>
      <c r="M651" s="22" t="s">
        <v>205</v>
      </c>
    </row>
    <row r="652" customFormat="false" ht="15" hidden="false" customHeight="false" outlineLevel="0" collapsed="false">
      <c r="A652" s="22" t="s">
        <v>2126</v>
      </c>
      <c r="B652" s="22" t="s">
        <v>2127</v>
      </c>
      <c r="C652" s="22" t="s">
        <v>15</v>
      </c>
      <c r="D652" s="22" t="s">
        <v>61</v>
      </c>
      <c r="E652" s="22" t="s">
        <v>1182</v>
      </c>
      <c r="F652" s="23" t="n">
        <v>7354</v>
      </c>
      <c r="G652" s="24" t="n">
        <v>1.1015</v>
      </c>
      <c r="H652" s="24" t="n">
        <v>0.5342</v>
      </c>
      <c r="I652" s="22" t="s">
        <v>203</v>
      </c>
      <c r="J652" s="22"/>
      <c r="K652" s="23" t="n">
        <v>5726.21</v>
      </c>
      <c r="L652" s="22" t="s">
        <v>204</v>
      </c>
      <c r="M652" s="22" t="s">
        <v>205</v>
      </c>
    </row>
    <row r="653" customFormat="false" ht="15" hidden="false" customHeight="false" outlineLevel="0" collapsed="false">
      <c r="A653" s="22" t="s">
        <v>2128</v>
      </c>
      <c r="B653" s="22" t="s">
        <v>2129</v>
      </c>
      <c r="C653" s="22" t="s">
        <v>15</v>
      </c>
      <c r="D653" s="22" t="s">
        <v>60</v>
      </c>
      <c r="E653" s="22" t="s">
        <v>2130</v>
      </c>
      <c r="F653" s="23" t="n">
        <v>24102.63</v>
      </c>
      <c r="G653" s="24" t="n">
        <v>1.2597</v>
      </c>
      <c r="H653" s="24" t="n">
        <v>0.107</v>
      </c>
      <c r="I653" s="22" t="s">
        <v>203</v>
      </c>
      <c r="J653" s="22"/>
      <c r="K653" s="23" t="n">
        <v>4299.03</v>
      </c>
      <c r="L653" s="22" t="s">
        <v>204</v>
      </c>
      <c r="M653" s="22" t="s">
        <v>205</v>
      </c>
    </row>
    <row r="654" customFormat="false" ht="15" hidden="false" customHeight="false" outlineLevel="0" collapsed="false">
      <c r="A654" s="22" t="s">
        <v>2131</v>
      </c>
      <c r="B654" s="22" t="s">
        <v>2132</v>
      </c>
      <c r="C654" s="22" t="s">
        <v>17</v>
      </c>
      <c r="D654" s="22" t="s">
        <v>61</v>
      </c>
      <c r="E654" s="22" t="s">
        <v>1382</v>
      </c>
      <c r="F654" s="23" t="n">
        <v>2040.22</v>
      </c>
      <c r="G654" s="24" t="n">
        <v>1.1409</v>
      </c>
      <c r="H654" s="24" t="n">
        <v>0.0169</v>
      </c>
      <c r="I654" s="22" t="s">
        <v>203</v>
      </c>
      <c r="J654" s="22"/>
      <c r="K654" s="23" t="n">
        <v>52.14</v>
      </c>
      <c r="L654" s="22" t="s">
        <v>204</v>
      </c>
      <c r="M654" s="22" t="s">
        <v>205</v>
      </c>
    </row>
    <row r="655" customFormat="false" ht="15" hidden="false" customHeight="false" outlineLevel="0" collapsed="false">
      <c r="A655" s="22" t="s">
        <v>2133</v>
      </c>
      <c r="B655" s="22" t="s">
        <v>2134</v>
      </c>
      <c r="C655" s="22" t="s">
        <v>17</v>
      </c>
      <c r="D655" s="22" t="s">
        <v>58</v>
      </c>
      <c r="E655" s="22" t="s">
        <v>2135</v>
      </c>
      <c r="F655" s="23" t="n">
        <v>55576.5</v>
      </c>
      <c r="G655" s="24" t="n">
        <v>1.1515</v>
      </c>
      <c r="H655" s="24" t="n">
        <v>0.4781</v>
      </c>
      <c r="I655" s="22" t="s">
        <v>203</v>
      </c>
      <c r="J655" s="22"/>
      <c r="K655" s="23" t="n">
        <v>40555.39</v>
      </c>
      <c r="L655" s="22" t="s">
        <v>204</v>
      </c>
      <c r="M655" s="22" t="s">
        <v>205</v>
      </c>
    </row>
    <row r="656" customFormat="false" ht="15" hidden="false" customHeight="false" outlineLevel="0" collapsed="false">
      <c r="A656" s="22" t="s">
        <v>2136</v>
      </c>
      <c r="B656" s="22" t="s">
        <v>2137</v>
      </c>
      <c r="C656" s="22" t="s">
        <v>15</v>
      </c>
      <c r="D656" s="22" t="s">
        <v>59</v>
      </c>
      <c r="E656" s="22" t="s">
        <v>2138</v>
      </c>
      <c r="F656" s="23" t="n">
        <v>154004.01</v>
      </c>
      <c r="G656" s="24" t="n">
        <v>1.1543</v>
      </c>
      <c r="H656" s="24" t="n">
        <v>0.3399</v>
      </c>
      <c r="I656" s="22" t="s">
        <v>203</v>
      </c>
      <c r="J656" s="22"/>
      <c r="K656" s="23" t="n">
        <v>79957.12</v>
      </c>
      <c r="L656" s="22" t="s">
        <v>204</v>
      </c>
      <c r="M656" s="22" t="s">
        <v>205</v>
      </c>
    </row>
    <row r="657" customFormat="false" ht="15" hidden="false" customHeight="false" outlineLevel="0" collapsed="false">
      <c r="A657" s="22" t="s">
        <v>2139</v>
      </c>
      <c r="B657" s="22" t="s">
        <v>2140</v>
      </c>
      <c r="C657" s="22" t="s">
        <v>15</v>
      </c>
      <c r="D657" s="22" t="s">
        <v>60</v>
      </c>
      <c r="E657" s="22" t="s">
        <v>2141</v>
      </c>
      <c r="F657" s="23" t="n">
        <v>15755.75</v>
      </c>
      <c r="G657" s="24" t="n">
        <v>1.0294</v>
      </c>
      <c r="H657" s="24" t="n">
        <v>0.2056</v>
      </c>
      <c r="I657" s="22" t="s">
        <v>203</v>
      </c>
      <c r="J657" s="22"/>
      <c r="K657" s="23" t="n">
        <v>4412.67</v>
      </c>
      <c r="L657" s="22" t="s">
        <v>204</v>
      </c>
      <c r="M657" s="22" t="s">
        <v>205</v>
      </c>
    </row>
    <row r="658" customFormat="false" ht="15" hidden="false" customHeight="false" outlineLevel="0" collapsed="false">
      <c r="A658" s="22" t="s">
        <v>2142</v>
      </c>
      <c r="B658" s="22" t="s">
        <v>2143</v>
      </c>
      <c r="C658" s="22" t="s">
        <v>15</v>
      </c>
      <c r="D658" s="22" t="s">
        <v>60</v>
      </c>
      <c r="E658" s="22" t="s">
        <v>2144</v>
      </c>
      <c r="F658" s="23" t="n">
        <v>19067.39</v>
      </c>
      <c r="G658" s="24" t="n">
        <v>1.0097</v>
      </c>
      <c r="H658" s="24" t="n">
        <v>0.1815</v>
      </c>
      <c r="I658" s="22" t="s">
        <v>203</v>
      </c>
      <c r="J658" s="22"/>
      <c r="K658" s="23" t="n">
        <v>4623.98</v>
      </c>
      <c r="L658" s="22" t="s">
        <v>204</v>
      </c>
      <c r="M658" s="22" t="s">
        <v>205</v>
      </c>
    </row>
    <row r="659" customFormat="false" ht="15" hidden="false" customHeight="false" outlineLevel="0" collapsed="false">
      <c r="A659" s="22" t="s">
        <v>2145</v>
      </c>
      <c r="B659" s="22" t="s">
        <v>2146</v>
      </c>
      <c r="C659" s="22" t="s">
        <v>15</v>
      </c>
      <c r="D659" s="22" t="s">
        <v>61</v>
      </c>
      <c r="E659" s="22" t="s">
        <v>2147</v>
      </c>
      <c r="F659" s="23" t="n">
        <v>9916.56</v>
      </c>
      <c r="G659" s="24" t="n">
        <v>1.2483</v>
      </c>
      <c r="H659" s="24" t="n">
        <v>0.5192</v>
      </c>
      <c r="I659" s="22" t="s">
        <v>203</v>
      </c>
      <c r="J659" s="22"/>
      <c r="K659" s="23" t="n">
        <v>8504.91</v>
      </c>
      <c r="L659" s="22" t="s">
        <v>204</v>
      </c>
      <c r="M659" s="22" t="s">
        <v>205</v>
      </c>
    </row>
    <row r="660" customFormat="false" ht="15" hidden="false" customHeight="false" outlineLevel="0" collapsed="false">
      <c r="A660" s="22" t="s">
        <v>2148</v>
      </c>
      <c r="B660" s="22" t="s">
        <v>2149</v>
      </c>
      <c r="C660" s="22" t="s">
        <v>17</v>
      </c>
      <c r="D660" s="22" t="s">
        <v>60</v>
      </c>
      <c r="E660" s="22" t="s">
        <v>2150</v>
      </c>
      <c r="F660" s="23" t="n">
        <v>12954.36</v>
      </c>
      <c r="G660" s="24" t="n">
        <v>1.0543</v>
      </c>
      <c r="H660" s="24" t="n">
        <v>0.099</v>
      </c>
      <c r="I660" s="22" t="s">
        <v>203</v>
      </c>
      <c r="J660" s="22"/>
      <c r="K660" s="23" t="n">
        <v>1792.21</v>
      </c>
      <c r="L660" s="22" t="s">
        <v>204</v>
      </c>
      <c r="M660" s="22" t="s">
        <v>205</v>
      </c>
    </row>
    <row r="661" customFormat="false" ht="15" hidden="false" customHeight="false" outlineLevel="0" collapsed="false">
      <c r="A661" s="22" t="s">
        <v>2151</v>
      </c>
      <c r="B661" s="22" t="s">
        <v>2152</v>
      </c>
      <c r="C661" s="22" t="s">
        <v>17</v>
      </c>
      <c r="D661" s="22" t="s">
        <v>60</v>
      </c>
      <c r="E661" s="22" t="s">
        <v>2153</v>
      </c>
      <c r="F661" s="23" t="n">
        <v>31448.88</v>
      </c>
      <c r="G661" s="24" t="n">
        <v>1.1971</v>
      </c>
      <c r="H661" s="24" t="n">
        <v>0.3191</v>
      </c>
      <c r="I661" s="22" t="s">
        <v>203</v>
      </c>
      <c r="J661" s="22"/>
      <c r="K661" s="23" t="n">
        <v>15923.45</v>
      </c>
      <c r="L661" s="22" t="s">
        <v>204</v>
      </c>
      <c r="M661" s="22" t="s">
        <v>205</v>
      </c>
    </row>
    <row r="662" customFormat="false" ht="15" hidden="false" customHeight="false" outlineLevel="0" collapsed="false">
      <c r="A662" s="22" t="s">
        <v>2154</v>
      </c>
      <c r="B662" s="22" t="s">
        <v>2155</v>
      </c>
      <c r="C662" s="22" t="s">
        <v>15</v>
      </c>
      <c r="D662" s="22" t="s">
        <v>58</v>
      </c>
      <c r="E662" s="22" t="s">
        <v>2156</v>
      </c>
      <c r="F662" s="23" t="n">
        <v>82225.41</v>
      </c>
      <c r="G662" s="24" t="n">
        <v>1.0346</v>
      </c>
      <c r="H662" s="24" t="n">
        <v>0.1532</v>
      </c>
      <c r="I662" s="22" t="s">
        <v>203</v>
      </c>
      <c r="J662" s="22"/>
      <c r="K662" s="23" t="n">
        <v>17246.17</v>
      </c>
      <c r="L662" s="22" t="s">
        <v>204</v>
      </c>
      <c r="M662" s="22" t="s">
        <v>205</v>
      </c>
    </row>
    <row r="663" customFormat="false" ht="15" hidden="false" customHeight="false" outlineLevel="0" collapsed="false">
      <c r="A663" s="22" t="s">
        <v>2157</v>
      </c>
      <c r="B663" s="22" t="s">
        <v>2158</v>
      </c>
      <c r="C663" s="22" t="s">
        <v>17</v>
      </c>
      <c r="D663" s="22" t="s">
        <v>59</v>
      </c>
      <c r="E663" s="22" t="s">
        <v>2159</v>
      </c>
      <c r="F663" s="23" t="n">
        <v>138752.58</v>
      </c>
      <c r="G663" s="24" t="n">
        <v>1.1135</v>
      </c>
      <c r="H663" s="24" t="n">
        <v>0.5107</v>
      </c>
      <c r="I663" s="22" t="s">
        <v>203</v>
      </c>
      <c r="J663" s="22"/>
      <c r="K663" s="23" t="n">
        <v>104585.59</v>
      </c>
      <c r="L663" s="22" t="s">
        <v>204</v>
      </c>
      <c r="M663" s="22" t="s">
        <v>205</v>
      </c>
    </row>
    <row r="664" customFormat="false" ht="15" hidden="false" customHeight="false" outlineLevel="0" collapsed="false">
      <c r="A664" s="22" t="s">
        <v>2160</v>
      </c>
      <c r="B664" s="22" t="s">
        <v>2161</v>
      </c>
      <c r="C664" s="22" t="s">
        <v>15</v>
      </c>
      <c r="D664" s="22" t="s">
        <v>58</v>
      </c>
      <c r="E664" s="22" t="s">
        <v>2162</v>
      </c>
      <c r="F664" s="23" t="n">
        <v>49513.05</v>
      </c>
      <c r="G664" s="24" t="n">
        <v>1.048</v>
      </c>
      <c r="H664" s="24" t="n">
        <v>0.3854</v>
      </c>
      <c r="I664" s="22" t="s">
        <v>203</v>
      </c>
      <c r="J664" s="22"/>
      <c r="K664" s="23" t="n">
        <v>26463.54</v>
      </c>
      <c r="L664" s="22" t="s">
        <v>204</v>
      </c>
      <c r="M664" s="22" t="s">
        <v>205</v>
      </c>
    </row>
    <row r="665" customFormat="false" ht="15" hidden="false" customHeight="false" outlineLevel="0" collapsed="false">
      <c r="A665" s="22" t="s">
        <v>2163</v>
      </c>
      <c r="B665" s="22" t="s">
        <v>2164</v>
      </c>
      <c r="C665" s="22" t="s">
        <v>15</v>
      </c>
      <c r="D665" s="22" t="s">
        <v>61</v>
      </c>
      <c r="E665" s="22" t="s">
        <v>2165</v>
      </c>
      <c r="F665" s="23" t="n">
        <v>3943.01</v>
      </c>
      <c r="G665" s="24" t="n">
        <v>1.2726</v>
      </c>
      <c r="H665" s="24" t="n">
        <v>0.8138</v>
      </c>
      <c r="I665" s="22" t="s">
        <v>203</v>
      </c>
      <c r="J665" s="22"/>
      <c r="K665" s="23" t="n">
        <v>5403.72</v>
      </c>
      <c r="L665" s="22" t="s">
        <v>204</v>
      </c>
      <c r="M665" s="22" t="s">
        <v>205</v>
      </c>
    </row>
    <row r="666" customFormat="false" ht="15" hidden="false" customHeight="false" outlineLevel="0" collapsed="false">
      <c r="A666" s="22" t="s">
        <v>2166</v>
      </c>
      <c r="B666" s="22" t="s">
        <v>2167</v>
      </c>
      <c r="C666" s="22" t="s">
        <v>15</v>
      </c>
      <c r="D666" s="22" t="s">
        <v>59</v>
      </c>
      <c r="E666" s="22" t="s">
        <v>2168</v>
      </c>
      <c r="F666" s="23" t="n">
        <v>153162.98</v>
      </c>
      <c r="G666" s="24" t="n">
        <v>1.0617</v>
      </c>
      <c r="H666" s="24" t="n">
        <v>0.01</v>
      </c>
      <c r="I666" s="22" t="s">
        <v>203</v>
      </c>
      <c r="J666" s="22"/>
      <c r="K666" s="23" t="n">
        <v>2151.84</v>
      </c>
      <c r="L666" s="22" t="s">
        <v>204</v>
      </c>
      <c r="M666" s="22" t="s">
        <v>205</v>
      </c>
    </row>
    <row r="667" customFormat="false" ht="15" hidden="false" customHeight="false" outlineLevel="0" collapsed="false">
      <c r="A667" s="22" t="s">
        <v>2169</v>
      </c>
      <c r="B667" s="22" t="s">
        <v>2170</v>
      </c>
      <c r="C667" s="22" t="s">
        <v>17</v>
      </c>
      <c r="D667" s="22" t="s">
        <v>60</v>
      </c>
      <c r="E667" s="22" t="s">
        <v>2171</v>
      </c>
      <c r="F667" s="23" t="n">
        <v>26226.7</v>
      </c>
      <c r="G667" s="24" t="n">
        <v>1.187</v>
      </c>
      <c r="H667" s="24" t="n">
        <v>0.7772</v>
      </c>
      <c r="I667" s="22" t="s">
        <v>203</v>
      </c>
      <c r="J667" s="22"/>
      <c r="K667" s="23" t="n">
        <v>32070.21</v>
      </c>
      <c r="L667" s="22" t="s">
        <v>204</v>
      </c>
      <c r="M667" s="22" t="s">
        <v>205</v>
      </c>
    </row>
    <row r="668" customFormat="false" ht="15" hidden="false" customHeight="false" outlineLevel="0" collapsed="false">
      <c r="A668" s="22" t="s">
        <v>2172</v>
      </c>
      <c r="B668" s="22" t="s">
        <v>2173</v>
      </c>
      <c r="C668" s="22" t="s">
        <v>17</v>
      </c>
      <c r="D668" s="22" t="s">
        <v>61</v>
      </c>
      <c r="E668" s="22" t="s">
        <v>2174</v>
      </c>
      <c r="F668" s="23" t="n">
        <v>8617.97</v>
      </c>
      <c r="G668" s="24" t="n">
        <v>1.2089</v>
      </c>
      <c r="H668" s="24" t="n">
        <v>0.3309</v>
      </c>
      <c r="I668" s="22" t="s">
        <v>203</v>
      </c>
      <c r="J668" s="22"/>
      <c r="K668" s="23" t="n">
        <v>4569.48</v>
      </c>
      <c r="L668" s="22" t="s">
        <v>204</v>
      </c>
      <c r="M668" s="22" t="s">
        <v>205</v>
      </c>
    </row>
    <row r="669" customFormat="false" ht="15" hidden="false" customHeight="false" outlineLevel="0" collapsed="false">
      <c r="A669" s="22" t="s">
        <v>2175</v>
      </c>
      <c r="B669" s="22" t="s">
        <v>2176</v>
      </c>
      <c r="C669" s="22" t="s">
        <v>17</v>
      </c>
      <c r="D669" s="22" t="s">
        <v>60</v>
      </c>
      <c r="E669" s="22" t="s">
        <v>2177</v>
      </c>
      <c r="F669" s="23" t="n">
        <v>10942.47</v>
      </c>
      <c r="G669" s="24" t="n">
        <v>1.2387</v>
      </c>
      <c r="H669" s="24" t="n">
        <v>0.8317</v>
      </c>
      <c r="I669" s="22" t="s">
        <v>203</v>
      </c>
      <c r="J669" s="22"/>
      <c r="K669" s="23" t="n">
        <v>14942.49</v>
      </c>
      <c r="L669" s="22" t="s">
        <v>204</v>
      </c>
      <c r="M669" s="22" t="s">
        <v>205</v>
      </c>
    </row>
    <row r="670" customFormat="false" ht="15" hidden="false" customHeight="false" outlineLevel="0" collapsed="false">
      <c r="A670" s="22" t="s">
        <v>2178</v>
      </c>
      <c r="B670" s="22" t="s">
        <v>2179</v>
      </c>
      <c r="C670" s="22" t="s">
        <v>17</v>
      </c>
      <c r="D670" s="22" t="s">
        <v>60</v>
      </c>
      <c r="E670" s="22" t="s">
        <v>2180</v>
      </c>
      <c r="F670" s="23" t="n">
        <v>20716.68</v>
      </c>
      <c r="G670" s="24" t="n">
        <v>1.2382</v>
      </c>
      <c r="H670" s="24" t="n">
        <v>0.7559</v>
      </c>
      <c r="I670" s="22" t="s">
        <v>203</v>
      </c>
      <c r="J670" s="22"/>
      <c r="K670" s="23" t="n">
        <v>25701</v>
      </c>
      <c r="L670" s="22" t="s">
        <v>204</v>
      </c>
      <c r="M670" s="22" t="s">
        <v>205</v>
      </c>
    </row>
    <row r="671" customFormat="false" ht="15" hidden="false" customHeight="false" outlineLevel="0" collapsed="false">
      <c r="A671" s="22" t="s">
        <v>2181</v>
      </c>
      <c r="B671" s="22" t="s">
        <v>2182</v>
      </c>
      <c r="C671" s="22" t="s">
        <v>19</v>
      </c>
      <c r="D671" s="22" t="s">
        <v>60</v>
      </c>
      <c r="E671" s="22" t="s">
        <v>2183</v>
      </c>
      <c r="F671" s="23" t="n">
        <v>28387.05</v>
      </c>
      <c r="G671" s="24" t="n">
        <v>1.0296</v>
      </c>
      <c r="H671" s="24" t="n">
        <v>0.791</v>
      </c>
      <c r="I671" s="22" t="s">
        <v>203</v>
      </c>
      <c r="J671" s="22"/>
      <c r="K671" s="23" t="n">
        <v>30878.9</v>
      </c>
      <c r="L671" s="22" t="s">
        <v>204</v>
      </c>
      <c r="M671" s="22" t="s">
        <v>205</v>
      </c>
    </row>
    <row r="672" customFormat="false" ht="15" hidden="false" customHeight="false" outlineLevel="0" collapsed="false">
      <c r="A672" s="22" t="s">
        <v>2184</v>
      </c>
      <c r="B672" s="22" t="s">
        <v>2185</v>
      </c>
      <c r="C672" s="22" t="s">
        <v>17</v>
      </c>
      <c r="D672" s="22" t="s">
        <v>60</v>
      </c>
      <c r="E672" s="22" t="s">
        <v>2186</v>
      </c>
      <c r="F672" s="23" t="n">
        <v>12545.96</v>
      </c>
      <c r="G672" s="24" t="n">
        <v>1.0296</v>
      </c>
      <c r="H672" s="24" t="n">
        <v>0.0954</v>
      </c>
      <c r="I672" s="22" t="s">
        <v>203</v>
      </c>
      <c r="J672" s="22"/>
      <c r="K672" s="23" t="n">
        <v>1633.41</v>
      </c>
      <c r="L672" s="22" t="s">
        <v>204</v>
      </c>
      <c r="M672" s="22" t="s">
        <v>205</v>
      </c>
    </row>
    <row r="673" customFormat="false" ht="15" hidden="false" customHeight="false" outlineLevel="0" collapsed="false">
      <c r="A673" s="22" t="s">
        <v>2187</v>
      </c>
      <c r="B673" s="22" t="s">
        <v>2188</v>
      </c>
      <c r="C673" s="22" t="s">
        <v>19</v>
      </c>
      <c r="D673" s="22" t="s">
        <v>58</v>
      </c>
      <c r="E673" s="22" t="s">
        <v>2189</v>
      </c>
      <c r="F673" s="23" t="n">
        <v>45887.19</v>
      </c>
      <c r="G673" s="24" t="n">
        <v>1.0698</v>
      </c>
      <c r="H673" s="24" t="n">
        <v>0.5656</v>
      </c>
      <c r="I673" s="22" t="s">
        <v>203</v>
      </c>
      <c r="J673" s="22"/>
      <c r="K673" s="23" t="n">
        <v>37085.15</v>
      </c>
      <c r="L673" s="22" t="s">
        <v>204</v>
      </c>
      <c r="M673" s="22" t="s">
        <v>205</v>
      </c>
    </row>
    <row r="674" customFormat="false" ht="15" hidden="false" customHeight="false" outlineLevel="0" collapsed="false">
      <c r="A674" s="22" t="s">
        <v>2190</v>
      </c>
      <c r="B674" s="22" t="s">
        <v>2191</v>
      </c>
      <c r="C674" s="22" t="s">
        <v>15</v>
      </c>
      <c r="D674" s="22" t="s">
        <v>59</v>
      </c>
      <c r="E674" s="22" t="s">
        <v>2192</v>
      </c>
      <c r="F674" s="23" t="n">
        <v>86330.31</v>
      </c>
      <c r="G674" s="24" t="n">
        <v>1.0922</v>
      </c>
      <c r="H674" s="24" t="n">
        <v>0.6261</v>
      </c>
      <c r="I674" s="22" t="s">
        <v>203</v>
      </c>
      <c r="J674" s="22"/>
      <c r="K674" s="23" t="n">
        <v>78120.4</v>
      </c>
      <c r="L674" s="22" t="s">
        <v>204</v>
      </c>
      <c r="M674" s="22" t="s">
        <v>205</v>
      </c>
    </row>
    <row r="675" customFormat="false" ht="15" hidden="false" customHeight="false" outlineLevel="0" collapsed="false">
      <c r="A675" s="22" t="s">
        <v>2193</v>
      </c>
      <c r="B675" s="22" t="s">
        <v>2194</v>
      </c>
      <c r="C675" s="22" t="s">
        <v>17</v>
      </c>
      <c r="D675" s="22" t="s">
        <v>59</v>
      </c>
      <c r="E675" s="22" t="s">
        <v>2195</v>
      </c>
      <c r="F675" s="23" t="n">
        <v>72829.07</v>
      </c>
      <c r="G675" s="24" t="n">
        <v>1.1782</v>
      </c>
      <c r="H675" s="24" t="n">
        <v>0.5668</v>
      </c>
      <c r="I675" s="22" t="s">
        <v>203</v>
      </c>
      <c r="J675" s="22"/>
      <c r="K675" s="23" t="n">
        <v>64465.64</v>
      </c>
      <c r="L675" s="22" t="s">
        <v>204</v>
      </c>
      <c r="M675" s="22" t="s">
        <v>205</v>
      </c>
    </row>
    <row r="676" customFormat="false" ht="15" hidden="false" customHeight="false" outlineLevel="0" collapsed="false">
      <c r="A676" s="22" t="s">
        <v>2196</v>
      </c>
      <c r="B676" s="22" t="s">
        <v>2197</v>
      </c>
      <c r="C676" s="22" t="s">
        <v>17</v>
      </c>
      <c r="D676" s="22" t="s">
        <v>58</v>
      </c>
      <c r="E676" s="22" t="s">
        <v>2198</v>
      </c>
      <c r="F676" s="23" t="n">
        <v>70584.72</v>
      </c>
      <c r="G676" s="24" t="n">
        <v>1.1906</v>
      </c>
      <c r="H676" s="24" t="n">
        <v>0.2871</v>
      </c>
      <c r="I676" s="22" t="s">
        <v>203</v>
      </c>
      <c r="J676" s="22"/>
      <c r="K676" s="23" t="n">
        <v>31980.44</v>
      </c>
      <c r="L676" s="22" t="s">
        <v>204</v>
      </c>
      <c r="M676" s="22" t="s">
        <v>205</v>
      </c>
    </row>
    <row r="677" customFormat="false" ht="15" hidden="false" customHeight="false" outlineLevel="0" collapsed="false">
      <c r="A677" s="22" t="s">
        <v>2199</v>
      </c>
      <c r="B677" s="22" t="s">
        <v>2200</v>
      </c>
      <c r="C677" s="22" t="s">
        <v>15</v>
      </c>
      <c r="D677" s="22" t="s">
        <v>58</v>
      </c>
      <c r="E677" s="22" t="s">
        <v>2201</v>
      </c>
      <c r="F677" s="23" t="n">
        <v>26864.37</v>
      </c>
      <c r="G677" s="24" t="n">
        <v>1.0379</v>
      </c>
      <c r="H677" s="24" t="n">
        <v>0.2779</v>
      </c>
      <c r="I677" s="22" t="s">
        <v>203</v>
      </c>
      <c r="J677" s="22"/>
      <c r="K677" s="23" t="n">
        <v>10253.59</v>
      </c>
      <c r="L677" s="22" t="s">
        <v>204</v>
      </c>
      <c r="M677" s="22" t="s">
        <v>205</v>
      </c>
    </row>
    <row r="678" customFormat="false" ht="15" hidden="false" customHeight="false" outlineLevel="0" collapsed="false">
      <c r="A678" s="22" t="s">
        <v>2202</v>
      </c>
      <c r="B678" s="22" t="s">
        <v>2203</v>
      </c>
      <c r="C678" s="22" t="s">
        <v>15</v>
      </c>
      <c r="D678" s="22" t="s">
        <v>58</v>
      </c>
      <c r="E678" s="22" t="s">
        <v>975</v>
      </c>
      <c r="F678" s="23" t="n">
        <v>36534.56</v>
      </c>
      <c r="G678" s="24" t="n">
        <v>1.0522</v>
      </c>
      <c r="H678" s="24" t="n">
        <v>0.4482</v>
      </c>
      <c r="I678" s="22" t="s">
        <v>203</v>
      </c>
      <c r="J678" s="22"/>
      <c r="K678" s="23" t="n">
        <v>22799.71</v>
      </c>
      <c r="L678" s="22" t="s">
        <v>204</v>
      </c>
      <c r="M678" s="22" t="s">
        <v>205</v>
      </c>
    </row>
    <row r="679" customFormat="false" ht="15" hidden="false" customHeight="false" outlineLevel="0" collapsed="false">
      <c r="A679" s="22" t="s">
        <v>2204</v>
      </c>
      <c r="B679" s="22" t="s">
        <v>2205</v>
      </c>
      <c r="C679" s="22" t="s">
        <v>15</v>
      </c>
      <c r="D679" s="22" t="s">
        <v>61</v>
      </c>
      <c r="E679" s="22" t="s">
        <v>2206</v>
      </c>
      <c r="F679" s="23" t="n">
        <v>4515.09</v>
      </c>
      <c r="G679" s="24" t="n">
        <v>1.0159</v>
      </c>
      <c r="H679" s="24" t="n">
        <v>0.4261</v>
      </c>
      <c r="I679" s="22" t="s">
        <v>203</v>
      </c>
      <c r="J679" s="22"/>
      <c r="K679" s="23" t="n">
        <v>2586.33</v>
      </c>
      <c r="L679" s="22" t="s">
        <v>204</v>
      </c>
      <c r="M679" s="22" t="s">
        <v>205</v>
      </c>
    </row>
    <row r="680" customFormat="false" ht="15" hidden="false" customHeight="false" outlineLevel="0" collapsed="false">
      <c r="A680" s="22" t="s">
        <v>2207</v>
      </c>
      <c r="B680" s="22" t="s">
        <v>2208</v>
      </c>
      <c r="C680" s="22" t="s">
        <v>15</v>
      </c>
      <c r="D680" s="22" t="s">
        <v>60</v>
      </c>
      <c r="E680" s="22" t="s">
        <v>2209</v>
      </c>
      <c r="F680" s="23" t="n">
        <v>32993.86</v>
      </c>
      <c r="G680" s="24" t="n">
        <v>1.1115</v>
      </c>
      <c r="H680" s="24" t="n">
        <v>0.7501</v>
      </c>
      <c r="I680" s="22" t="s">
        <v>203</v>
      </c>
      <c r="J680" s="22"/>
      <c r="K680" s="23" t="n">
        <v>36401.31</v>
      </c>
      <c r="L680" s="22" t="s">
        <v>204</v>
      </c>
      <c r="M680" s="22" t="s">
        <v>205</v>
      </c>
    </row>
    <row r="681" customFormat="false" ht="15" hidden="false" customHeight="false" outlineLevel="0" collapsed="false">
      <c r="A681" s="22" t="s">
        <v>2210</v>
      </c>
      <c r="B681" s="22" t="s">
        <v>2211</v>
      </c>
      <c r="C681" s="22" t="s">
        <v>15</v>
      </c>
      <c r="D681" s="22" t="s">
        <v>60</v>
      </c>
      <c r="E681" s="22" t="s">
        <v>2212</v>
      </c>
      <c r="F681" s="23" t="n">
        <v>23092.04</v>
      </c>
      <c r="G681" s="24" t="n">
        <v>1.0127</v>
      </c>
      <c r="H681" s="24" t="n">
        <v>0.1949</v>
      </c>
      <c r="I681" s="22" t="s">
        <v>203</v>
      </c>
      <c r="J681" s="22"/>
      <c r="K681" s="23" t="n">
        <v>6031.29</v>
      </c>
      <c r="L681" s="22" t="s">
        <v>204</v>
      </c>
      <c r="M681" s="22" t="s">
        <v>205</v>
      </c>
    </row>
    <row r="682" customFormat="false" ht="15" hidden="false" customHeight="false" outlineLevel="0" collapsed="false">
      <c r="A682" s="22" t="s">
        <v>2213</v>
      </c>
      <c r="B682" s="22" t="s">
        <v>2214</v>
      </c>
      <c r="C682" s="22" t="s">
        <v>17</v>
      </c>
      <c r="D682" s="22" t="s">
        <v>59</v>
      </c>
      <c r="E682" s="22" t="s">
        <v>2215</v>
      </c>
      <c r="F682" s="23" t="n">
        <v>62027.05</v>
      </c>
      <c r="G682" s="24" t="n">
        <v>1.0861</v>
      </c>
      <c r="H682" s="24" t="n">
        <v>0.6647</v>
      </c>
      <c r="I682" s="22" t="s">
        <v>203</v>
      </c>
      <c r="J682" s="22"/>
      <c r="K682" s="23" t="n">
        <v>59354.18</v>
      </c>
      <c r="L682" s="22" t="s">
        <v>204</v>
      </c>
      <c r="M682" s="22" t="s">
        <v>205</v>
      </c>
    </row>
    <row r="683" customFormat="false" ht="15" hidden="false" customHeight="false" outlineLevel="0" collapsed="false">
      <c r="A683" s="22" t="s">
        <v>2216</v>
      </c>
      <c r="B683" s="22" t="s">
        <v>2217</v>
      </c>
      <c r="C683" s="22" t="s">
        <v>17</v>
      </c>
      <c r="D683" s="22" t="s">
        <v>61</v>
      </c>
      <c r="E683" s="22" t="s">
        <v>2218</v>
      </c>
      <c r="F683" s="23" t="n">
        <v>6772.28</v>
      </c>
      <c r="G683" s="24" t="n">
        <v>1.0767</v>
      </c>
      <c r="H683" s="24" t="n">
        <v>0.6645</v>
      </c>
      <c r="I683" s="22" t="s">
        <v>203</v>
      </c>
      <c r="J683" s="22"/>
      <c r="K683" s="23" t="n">
        <v>6422.43</v>
      </c>
      <c r="L683" s="22" t="s">
        <v>204</v>
      </c>
      <c r="M683" s="22" t="s">
        <v>205</v>
      </c>
    </row>
    <row r="684" customFormat="false" ht="15" hidden="false" customHeight="false" outlineLevel="0" collapsed="false">
      <c r="A684" s="22" t="s">
        <v>2219</v>
      </c>
      <c r="B684" s="22" t="s">
        <v>2220</v>
      </c>
      <c r="C684" s="22" t="s">
        <v>17</v>
      </c>
      <c r="D684" s="22" t="s">
        <v>58</v>
      </c>
      <c r="E684" s="22" t="s">
        <v>2221</v>
      </c>
      <c r="F684" s="23" t="n">
        <v>45296.53</v>
      </c>
      <c r="G684" s="24" t="n">
        <v>1.2038</v>
      </c>
      <c r="H684" s="24" t="n">
        <v>0.4238</v>
      </c>
      <c r="I684" s="22" t="s">
        <v>203</v>
      </c>
      <c r="J684" s="22"/>
      <c r="K684" s="23" t="n">
        <v>30630.56</v>
      </c>
      <c r="L684" s="22" t="s">
        <v>204</v>
      </c>
      <c r="M684" s="22" t="s">
        <v>205</v>
      </c>
    </row>
    <row r="685" customFormat="false" ht="15" hidden="false" customHeight="false" outlineLevel="0" collapsed="false">
      <c r="A685" s="22" t="s">
        <v>2222</v>
      </c>
      <c r="B685" s="22" t="s">
        <v>2223</v>
      </c>
      <c r="C685" s="22" t="s">
        <v>19</v>
      </c>
      <c r="D685" s="22" t="s">
        <v>59</v>
      </c>
      <c r="E685" s="22" t="s">
        <v>2224</v>
      </c>
      <c r="F685" s="23" t="n">
        <v>124667.52</v>
      </c>
      <c r="G685" s="24" t="n">
        <v>1.2021</v>
      </c>
      <c r="H685" s="24" t="n">
        <v>0.8965</v>
      </c>
      <c r="I685" s="22" t="s">
        <v>203</v>
      </c>
      <c r="J685" s="22"/>
      <c r="K685" s="23" t="n">
        <v>179448.89</v>
      </c>
      <c r="L685" s="22" t="s">
        <v>204</v>
      </c>
      <c r="M685" s="22" t="s">
        <v>205</v>
      </c>
    </row>
    <row r="686" customFormat="false" ht="15" hidden="false" customHeight="false" outlineLevel="0" collapsed="false">
      <c r="A686" s="22" t="s">
        <v>2225</v>
      </c>
      <c r="B686" s="22" t="s">
        <v>2226</v>
      </c>
      <c r="C686" s="22" t="s">
        <v>17</v>
      </c>
      <c r="D686" s="22" t="s">
        <v>59</v>
      </c>
      <c r="E686" s="22" t="s">
        <v>2227</v>
      </c>
      <c r="F686" s="23" t="n">
        <v>163755.74</v>
      </c>
      <c r="G686" s="24" t="n">
        <v>1.0724</v>
      </c>
      <c r="H686" s="24" t="n">
        <v>0.5504</v>
      </c>
      <c r="I686" s="22" t="s">
        <v>203</v>
      </c>
      <c r="J686" s="22"/>
      <c r="K686" s="23" t="n">
        <v>128116.91</v>
      </c>
      <c r="L686" s="22" t="s">
        <v>204</v>
      </c>
      <c r="M686" s="22" t="s">
        <v>205</v>
      </c>
    </row>
    <row r="687" customFormat="false" ht="15" hidden="false" customHeight="false" outlineLevel="0" collapsed="false">
      <c r="A687" s="22" t="s">
        <v>2228</v>
      </c>
      <c r="B687" s="22" t="s">
        <v>2229</v>
      </c>
      <c r="C687" s="22" t="s">
        <v>15</v>
      </c>
      <c r="D687" s="22" t="s">
        <v>60</v>
      </c>
      <c r="E687" s="22" t="s">
        <v>2230</v>
      </c>
      <c r="F687" s="23" t="n">
        <v>22976.43</v>
      </c>
      <c r="G687" s="24" t="n">
        <v>1.1566</v>
      </c>
      <c r="H687" s="24" t="n">
        <v>0.9974</v>
      </c>
      <c r="I687" s="22" t="s">
        <v>203</v>
      </c>
      <c r="J687" s="22"/>
      <c r="K687" s="23" t="n">
        <v>35074.41</v>
      </c>
      <c r="L687" s="22" t="s">
        <v>204</v>
      </c>
      <c r="M687" s="22" t="s">
        <v>205</v>
      </c>
    </row>
    <row r="688" customFormat="false" ht="15" hidden="false" customHeight="false" outlineLevel="0" collapsed="false">
      <c r="A688" s="22" t="s">
        <v>2231</v>
      </c>
      <c r="B688" s="22" t="s">
        <v>2232</v>
      </c>
      <c r="C688" s="22" t="s">
        <v>17</v>
      </c>
      <c r="D688" s="22" t="s">
        <v>60</v>
      </c>
      <c r="E688" s="22" t="s">
        <v>2233</v>
      </c>
      <c r="F688" s="23" t="n">
        <v>7022.36</v>
      </c>
      <c r="G688" s="24" t="n">
        <v>1.1222</v>
      </c>
      <c r="H688" s="24" t="n">
        <v>0.2799</v>
      </c>
      <c r="I688" s="22" t="s">
        <v>203</v>
      </c>
      <c r="J688" s="22"/>
      <c r="K688" s="23" t="n">
        <v>2923.69</v>
      </c>
      <c r="L688" s="22" t="s">
        <v>204</v>
      </c>
      <c r="M688" s="22" t="s">
        <v>205</v>
      </c>
    </row>
    <row r="689" customFormat="false" ht="15" hidden="false" customHeight="false" outlineLevel="0" collapsed="false">
      <c r="A689" s="22" t="s">
        <v>2234</v>
      </c>
      <c r="B689" s="22" t="s">
        <v>2235</v>
      </c>
      <c r="C689" s="22" t="s">
        <v>15</v>
      </c>
      <c r="D689" s="22" t="s">
        <v>58</v>
      </c>
      <c r="E689" s="22" t="s">
        <v>2236</v>
      </c>
      <c r="F689" s="23" t="n">
        <v>67551.35</v>
      </c>
      <c r="G689" s="24" t="n">
        <v>1.0537</v>
      </c>
      <c r="H689" s="24" t="n">
        <v>0.9419</v>
      </c>
      <c r="I689" s="22" t="s">
        <v>203</v>
      </c>
      <c r="J689" s="22"/>
      <c r="K689" s="23" t="n">
        <v>88717.86</v>
      </c>
      <c r="L689" s="22" t="s">
        <v>204</v>
      </c>
      <c r="M689" s="22" t="s">
        <v>205</v>
      </c>
    </row>
    <row r="690" customFormat="false" ht="15" hidden="false" customHeight="false" outlineLevel="0" collapsed="false">
      <c r="A690" s="22" t="s">
        <v>2237</v>
      </c>
      <c r="B690" s="22" t="s">
        <v>2238</v>
      </c>
      <c r="C690" s="22" t="s">
        <v>17</v>
      </c>
      <c r="D690" s="22" t="s">
        <v>58</v>
      </c>
      <c r="E690" s="22" t="s">
        <v>2239</v>
      </c>
      <c r="F690" s="23" t="n">
        <v>83955.95</v>
      </c>
      <c r="G690" s="24" t="n">
        <v>1.2973</v>
      </c>
      <c r="H690" s="24" t="n">
        <v>0.4156</v>
      </c>
      <c r="I690" s="22" t="s">
        <v>203</v>
      </c>
      <c r="J690" s="22"/>
      <c r="K690" s="23" t="n">
        <v>59998.74</v>
      </c>
      <c r="L690" s="22" t="s">
        <v>204</v>
      </c>
      <c r="M690" s="22" t="s">
        <v>205</v>
      </c>
    </row>
    <row r="691" customFormat="false" ht="15" hidden="false" customHeight="false" outlineLevel="0" collapsed="false">
      <c r="A691" s="22" t="s">
        <v>2240</v>
      </c>
      <c r="B691" s="22" t="s">
        <v>2241</v>
      </c>
      <c r="C691" s="22" t="s">
        <v>17</v>
      </c>
      <c r="D691" s="22" t="s">
        <v>61</v>
      </c>
      <c r="E691" s="22" t="s">
        <v>2242</v>
      </c>
      <c r="F691" s="23" t="n">
        <v>9610.3</v>
      </c>
      <c r="G691" s="24" t="n">
        <v>1.194</v>
      </c>
      <c r="H691" s="24" t="n">
        <v>0.4762</v>
      </c>
      <c r="I691" s="22" t="s">
        <v>203</v>
      </c>
      <c r="J691" s="22"/>
      <c r="K691" s="23" t="n">
        <v>7242.78</v>
      </c>
      <c r="L691" s="22" t="s">
        <v>204</v>
      </c>
      <c r="M691" s="22" t="s">
        <v>205</v>
      </c>
    </row>
    <row r="692" customFormat="false" ht="15" hidden="false" customHeight="false" outlineLevel="0" collapsed="false">
      <c r="A692" s="22" t="s">
        <v>2243</v>
      </c>
      <c r="B692" s="22" t="s">
        <v>2244</v>
      </c>
      <c r="C692" s="22" t="s">
        <v>15</v>
      </c>
      <c r="D692" s="22" t="s">
        <v>60</v>
      </c>
      <c r="E692" s="22" t="s">
        <v>2245</v>
      </c>
      <c r="F692" s="23" t="n">
        <v>23305.94</v>
      </c>
      <c r="G692" s="24" t="n">
        <v>1.0245</v>
      </c>
      <c r="H692" s="24" t="n">
        <v>0.7063</v>
      </c>
      <c r="I692" s="22" t="s">
        <v>203</v>
      </c>
      <c r="J692" s="22"/>
      <c r="K692" s="23" t="n">
        <v>22316.34</v>
      </c>
      <c r="L692" s="22" t="s">
        <v>204</v>
      </c>
      <c r="M692" s="22" t="s">
        <v>205</v>
      </c>
    </row>
    <row r="693" customFormat="false" ht="15" hidden="false" customHeight="false" outlineLevel="0" collapsed="false">
      <c r="A693" s="22" t="s">
        <v>2246</v>
      </c>
      <c r="B693" s="22" t="s">
        <v>2247</v>
      </c>
      <c r="C693" s="22" t="s">
        <v>15</v>
      </c>
      <c r="D693" s="22" t="s">
        <v>58</v>
      </c>
      <c r="E693" s="22" t="s">
        <v>2248</v>
      </c>
      <c r="F693" s="23" t="n">
        <v>60115.15</v>
      </c>
      <c r="G693" s="24" t="n">
        <v>1.1902</v>
      </c>
      <c r="H693" s="24" t="n">
        <v>0.7983</v>
      </c>
      <c r="I693" s="22" t="s">
        <v>203</v>
      </c>
      <c r="J693" s="22"/>
      <c r="K693" s="23" t="n">
        <v>75583.2</v>
      </c>
      <c r="L693" s="22" t="s">
        <v>204</v>
      </c>
      <c r="M693" s="22" t="s">
        <v>205</v>
      </c>
    </row>
    <row r="694" customFormat="false" ht="15" hidden="false" customHeight="false" outlineLevel="0" collapsed="false">
      <c r="A694" s="22" t="s">
        <v>2249</v>
      </c>
      <c r="B694" s="22" t="s">
        <v>2250</v>
      </c>
      <c r="C694" s="22" t="s">
        <v>15</v>
      </c>
      <c r="D694" s="22" t="s">
        <v>58</v>
      </c>
      <c r="E694" s="22" t="s">
        <v>2251</v>
      </c>
      <c r="F694" s="23" t="n">
        <v>25932.68</v>
      </c>
      <c r="G694" s="24" t="n">
        <v>1.0088</v>
      </c>
      <c r="H694" s="24" t="n">
        <v>0.7957</v>
      </c>
      <c r="I694" s="22" t="s">
        <v>203</v>
      </c>
      <c r="J694" s="22"/>
      <c r="K694" s="23" t="n">
        <v>27545.91</v>
      </c>
      <c r="L694" s="22" t="s">
        <v>204</v>
      </c>
      <c r="M694" s="22" t="s">
        <v>205</v>
      </c>
    </row>
    <row r="695" customFormat="false" ht="15" hidden="false" customHeight="false" outlineLevel="0" collapsed="false">
      <c r="A695" s="22" t="s">
        <v>2252</v>
      </c>
      <c r="B695" s="22" t="s">
        <v>2253</v>
      </c>
      <c r="C695" s="22" t="s">
        <v>17</v>
      </c>
      <c r="D695" s="22" t="s">
        <v>61</v>
      </c>
      <c r="E695" s="22" t="s">
        <v>2254</v>
      </c>
      <c r="F695" s="23" t="n">
        <v>6011.18</v>
      </c>
      <c r="G695" s="24" t="n">
        <v>1.0721</v>
      </c>
      <c r="H695" s="24" t="n">
        <v>0.0739</v>
      </c>
      <c r="I695" s="22" t="s">
        <v>203</v>
      </c>
      <c r="J695" s="22"/>
      <c r="K695" s="23" t="n">
        <v>631.27</v>
      </c>
      <c r="L695" s="22" t="s">
        <v>204</v>
      </c>
      <c r="M695" s="22" t="s">
        <v>205</v>
      </c>
    </row>
    <row r="696" customFormat="false" ht="15" hidden="false" customHeight="false" outlineLevel="0" collapsed="false">
      <c r="A696" s="22" t="s">
        <v>2255</v>
      </c>
      <c r="B696" s="22" t="s">
        <v>2256</v>
      </c>
      <c r="C696" s="22" t="s">
        <v>15</v>
      </c>
      <c r="D696" s="22" t="s">
        <v>60</v>
      </c>
      <c r="E696" s="22" t="s">
        <v>2257</v>
      </c>
      <c r="F696" s="23" t="n">
        <v>8279.88</v>
      </c>
      <c r="G696" s="24" t="n">
        <v>1.0201</v>
      </c>
      <c r="H696" s="24" t="n">
        <v>0.7861</v>
      </c>
      <c r="I696" s="22" t="s">
        <v>203</v>
      </c>
      <c r="J696" s="22"/>
      <c r="K696" s="23" t="n">
        <v>8786.18</v>
      </c>
      <c r="L696" s="22" t="s">
        <v>204</v>
      </c>
      <c r="M696" s="22" t="s">
        <v>205</v>
      </c>
    </row>
    <row r="697" customFormat="false" ht="15" hidden="false" customHeight="false" outlineLevel="0" collapsed="false">
      <c r="A697" s="22" t="s">
        <v>2258</v>
      </c>
      <c r="B697" s="22" t="s">
        <v>2259</v>
      </c>
      <c r="C697" s="22" t="s">
        <v>17</v>
      </c>
      <c r="D697" s="22" t="s">
        <v>60</v>
      </c>
      <c r="E697" s="22" t="s">
        <v>2260</v>
      </c>
      <c r="F697" s="23" t="n">
        <v>29278.12</v>
      </c>
      <c r="G697" s="24" t="n">
        <v>1.0044</v>
      </c>
      <c r="H697" s="24" t="n">
        <v>0.7808</v>
      </c>
      <c r="I697" s="22" t="s">
        <v>203</v>
      </c>
      <c r="J697" s="22"/>
      <c r="K697" s="23" t="n">
        <v>30434.38</v>
      </c>
      <c r="L697" s="22" t="s">
        <v>204</v>
      </c>
      <c r="M697" s="22" t="s">
        <v>205</v>
      </c>
    </row>
    <row r="698" customFormat="false" ht="15" hidden="false" customHeight="false" outlineLevel="0" collapsed="false">
      <c r="A698" s="22" t="s">
        <v>2261</v>
      </c>
      <c r="B698" s="22" t="s">
        <v>2262</v>
      </c>
      <c r="C698" s="22" t="s">
        <v>17</v>
      </c>
      <c r="D698" s="22" t="s">
        <v>60</v>
      </c>
      <c r="E698" s="22" t="s">
        <v>2263</v>
      </c>
      <c r="F698" s="23" t="n">
        <v>19920.71</v>
      </c>
      <c r="G698" s="24" t="n">
        <v>1.0795</v>
      </c>
      <c r="H698" s="24" t="n">
        <v>0.1231</v>
      </c>
      <c r="I698" s="22" t="s">
        <v>203</v>
      </c>
      <c r="J698" s="22"/>
      <c r="K698" s="23" t="n">
        <v>3508.81</v>
      </c>
      <c r="L698" s="22" t="s">
        <v>204</v>
      </c>
      <c r="M698" s="22" t="s">
        <v>205</v>
      </c>
    </row>
    <row r="699" customFormat="false" ht="15" hidden="false" customHeight="false" outlineLevel="0" collapsed="false">
      <c r="A699" s="22" t="s">
        <v>2264</v>
      </c>
      <c r="B699" s="22" t="s">
        <v>2265</v>
      </c>
      <c r="C699" s="22" t="s">
        <v>15</v>
      </c>
      <c r="D699" s="22" t="s">
        <v>60</v>
      </c>
      <c r="E699" s="22" t="s">
        <v>2266</v>
      </c>
      <c r="F699" s="23" t="n">
        <v>10596.51</v>
      </c>
      <c r="G699" s="24" t="n">
        <v>1.0107</v>
      </c>
      <c r="H699" s="24" t="n">
        <v>0.3394</v>
      </c>
      <c r="I699" s="22" t="s">
        <v>203</v>
      </c>
      <c r="J699" s="22"/>
      <c r="K699" s="23" t="n">
        <v>4810.08</v>
      </c>
      <c r="L699" s="22" t="s">
        <v>204</v>
      </c>
      <c r="M699" s="22" t="s">
        <v>205</v>
      </c>
    </row>
    <row r="700" customFormat="false" ht="15" hidden="false" customHeight="false" outlineLevel="0" collapsed="false">
      <c r="A700" s="22" t="s">
        <v>2267</v>
      </c>
      <c r="B700" s="22" t="s">
        <v>2268</v>
      </c>
      <c r="C700" s="22" t="s">
        <v>15</v>
      </c>
      <c r="D700" s="22" t="s">
        <v>59</v>
      </c>
      <c r="E700" s="22" t="s">
        <v>2269</v>
      </c>
      <c r="F700" s="23" t="n">
        <v>88748.91</v>
      </c>
      <c r="G700" s="24" t="n">
        <v>1.0569</v>
      </c>
      <c r="H700" s="24" t="n">
        <v>0.6658</v>
      </c>
      <c r="I700" s="22" t="s">
        <v>203</v>
      </c>
      <c r="J700" s="22"/>
      <c r="K700" s="23" t="n">
        <v>82641.08</v>
      </c>
      <c r="L700" s="22" t="s">
        <v>204</v>
      </c>
      <c r="M700" s="22" t="s">
        <v>205</v>
      </c>
    </row>
    <row r="701" customFormat="false" ht="15" hidden="false" customHeight="false" outlineLevel="0" collapsed="false">
      <c r="A701" s="22" t="s">
        <v>2270</v>
      </c>
      <c r="B701" s="22" t="s">
        <v>2271</v>
      </c>
      <c r="C701" s="22" t="s">
        <v>15</v>
      </c>
      <c r="D701" s="22" t="s">
        <v>61</v>
      </c>
      <c r="E701" s="22" t="s">
        <v>2272</v>
      </c>
      <c r="F701" s="23" t="n">
        <v>4429.62</v>
      </c>
      <c r="G701" s="24" t="n">
        <v>1.215</v>
      </c>
      <c r="H701" s="24" t="n">
        <v>0.3641</v>
      </c>
      <c r="I701" s="22" t="s">
        <v>203</v>
      </c>
      <c r="J701" s="22"/>
      <c r="K701" s="23" t="n">
        <v>2593.1</v>
      </c>
      <c r="L701" s="22" t="s">
        <v>204</v>
      </c>
      <c r="M701" s="22" t="s">
        <v>205</v>
      </c>
    </row>
    <row r="702" customFormat="false" ht="15" hidden="false" customHeight="false" outlineLevel="0" collapsed="false">
      <c r="A702" s="22" t="s">
        <v>2273</v>
      </c>
      <c r="B702" s="22" t="s">
        <v>2274</v>
      </c>
      <c r="C702" s="22" t="s">
        <v>17</v>
      </c>
      <c r="D702" s="22" t="s">
        <v>58</v>
      </c>
      <c r="E702" s="22" t="s">
        <v>2275</v>
      </c>
      <c r="F702" s="23" t="n">
        <v>86455.48</v>
      </c>
      <c r="G702" s="24" t="n">
        <v>1.2366</v>
      </c>
      <c r="H702" s="24" t="n">
        <v>0.4601</v>
      </c>
      <c r="I702" s="22" t="s">
        <v>203</v>
      </c>
      <c r="J702" s="22"/>
      <c r="K702" s="23" t="n">
        <v>65200.17</v>
      </c>
      <c r="L702" s="22" t="s">
        <v>204</v>
      </c>
      <c r="M702" s="22" t="s">
        <v>205</v>
      </c>
    </row>
    <row r="703" customFormat="false" ht="15" hidden="false" customHeight="false" outlineLevel="0" collapsed="false">
      <c r="A703" s="22" t="s">
        <v>2276</v>
      </c>
      <c r="B703" s="22" t="s">
        <v>2277</v>
      </c>
      <c r="C703" s="22" t="s">
        <v>15</v>
      </c>
      <c r="D703" s="22" t="s">
        <v>58</v>
      </c>
      <c r="E703" s="22" t="s">
        <v>2278</v>
      </c>
      <c r="F703" s="23" t="n">
        <v>84672.26</v>
      </c>
      <c r="G703" s="24" t="n">
        <v>1.1557</v>
      </c>
      <c r="H703" s="24" t="n">
        <v>0.6628</v>
      </c>
      <c r="I703" s="22" t="s">
        <v>203</v>
      </c>
      <c r="J703" s="22"/>
      <c r="K703" s="23" t="n">
        <v>85827.02</v>
      </c>
      <c r="L703" s="22" t="s">
        <v>204</v>
      </c>
      <c r="M703" s="22" t="s">
        <v>205</v>
      </c>
    </row>
    <row r="704" customFormat="false" ht="15" hidden="false" customHeight="false" outlineLevel="0" collapsed="false">
      <c r="A704" s="22" t="s">
        <v>2279</v>
      </c>
      <c r="B704" s="22" t="s">
        <v>2280</v>
      </c>
      <c r="C704" s="22" t="s">
        <v>15</v>
      </c>
      <c r="D704" s="22" t="s">
        <v>60</v>
      </c>
      <c r="E704" s="22" t="s">
        <v>2281</v>
      </c>
      <c r="F704" s="23" t="n">
        <v>17278.11</v>
      </c>
      <c r="G704" s="24" t="n">
        <v>1.1973</v>
      </c>
      <c r="H704" s="24" t="n">
        <v>0.1933</v>
      </c>
      <c r="I704" s="22" t="s">
        <v>203</v>
      </c>
      <c r="J704" s="22"/>
      <c r="K704" s="23" t="n">
        <v>5291.59</v>
      </c>
      <c r="L704" s="22" t="s">
        <v>204</v>
      </c>
      <c r="M704" s="22" t="s">
        <v>205</v>
      </c>
    </row>
    <row r="705" customFormat="false" ht="15" hidden="false" customHeight="false" outlineLevel="0" collapsed="false">
      <c r="A705" s="22" t="s">
        <v>2282</v>
      </c>
      <c r="B705" s="22" t="s">
        <v>2283</v>
      </c>
      <c r="C705" s="22" t="s">
        <v>17</v>
      </c>
      <c r="D705" s="22" t="s">
        <v>59</v>
      </c>
      <c r="E705" s="22" t="s">
        <v>2284</v>
      </c>
      <c r="F705" s="23" t="n">
        <v>40853.16</v>
      </c>
      <c r="G705" s="24" t="n">
        <v>1.0887</v>
      </c>
      <c r="H705" s="24" t="n">
        <v>0.7772</v>
      </c>
      <c r="I705" s="22" t="s">
        <v>203</v>
      </c>
      <c r="J705" s="22"/>
      <c r="K705" s="23" t="n">
        <v>45818.55</v>
      </c>
      <c r="L705" s="22" t="s">
        <v>204</v>
      </c>
      <c r="M705" s="22" t="s">
        <v>205</v>
      </c>
    </row>
    <row r="706" customFormat="false" ht="15" hidden="false" customHeight="false" outlineLevel="0" collapsed="false">
      <c r="A706" s="22" t="s">
        <v>2285</v>
      </c>
      <c r="B706" s="22" t="s">
        <v>2286</v>
      </c>
      <c r="C706" s="22" t="s">
        <v>15</v>
      </c>
      <c r="D706" s="22" t="s">
        <v>61</v>
      </c>
      <c r="E706" s="22" t="s">
        <v>2287</v>
      </c>
      <c r="F706" s="23" t="n">
        <v>5908.88</v>
      </c>
      <c r="G706" s="24" t="n">
        <v>1.1442</v>
      </c>
      <c r="H706" s="24" t="n">
        <v>0.5346</v>
      </c>
      <c r="I706" s="22" t="s">
        <v>203</v>
      </c>
      <c r="J706" s="22"/>
      <c r="K706" s="23" t="n">
        <v>4782.9</v>
      </c>
      <c r="L706" s="22" t="s">
        <v>204</v>
      </c>
      <c r="M706" s="22" t="s">
        <v>205</v>
      </c>
    </row>
    <row r="707" customFormat="false" ht="15" hidden="false" customHeight="false" outlineLevel="0" collapsed="false">
      <c r="A707" s="22" t="s">
        <v>2288</v>
      </c>
      <c r="B707" s="22" t="s">
        <v>2289</v>
      </c>
      <c r="C707" s="22" t="s">
        <v>15</v>
      </c>
      <c r="D707" s="22" t="s">
        <v>60</v>
      </c>
      <c r="E707" s="22" t="s">
        <v>2290</v>
      </c>
      <c r="F707" s="23" t="n">
        <v>24969.17</v>
      </c>
      <c r="G707" s="24" t="n">
        <v>1.0127</v>
      </c>
      <c r="H707" s="24" t="n">
        <v>0.2233</v>
      </c>
      <c r="I707" s="22" t="s">
        <v>203</v>
      </c>
      <c r="J707" s="22"/>
      <c r="K707" s="23" t="n">
        <v>7471.86</v>
      </c>
      <c r="L707" s="22" t="s">
        <v>204</v>
      </c>
      <c r="M707" s="22" t="s">
        <v>205</v>
      </c>
    </row>
    <row r="708" customFormat="false" ht="15" hidden="false" customHeight="false" outlineLevel="0" collapsed="false">
      <c r="A708" s="22" t="s">
        <v>2291</v>
      </c>
      <c r="B708" s="22" t="s">
        <v>2292</v>
      </c>
      <c r="C708" s="22" t="s">
        <v>15</v>
      </c>
      <c r="D708" s="22" t="s">
        <v>61</v>
      </c>
      <c r="E708" s="22" t="s">
        <v>751</v>
      </c>
      <c r="F708" s="23" t="n">
        <v>9968.91</v>
      </c>
      <c r="G708" s="24" t="n">
        <v>1.2177</v>
      </c>
      <c r="H708" s="24" t="n">
        <v>0.7353</v>
      </c>
      <c r="I708" s="22" t="s">
        <v>203</v>
      </c>
      <c r="J708" s="22"/>
      <c r="K708" s="23" t="n">
        <v>11811.58</v>
      </c>
      <c r="L708" s="22" t="s">
        <v>204</v>
      </c>
      <c r="M708" s="22" t="s">
        <v>205</v>
      </c>
    </row>
    <row r="709" customFormat="false" ht="15" hidden="false" customHeight="false" outlineLevel="0" collapsed="false">
      <c r="A709" s="22" t="s">
        <v>2293</v>
      </c>
      <c r="B709" s="22" t="s">
        <v>2294</v>
      </c>
      <c r="C709" s="22" t="s">
        <v>15</v>
      </c>
      <c r="D709" s="22" t="s">
        <v>61</v>
      </c>
      <c r="E709" s="22" t="s">
        <v>2295</v>
      </c>
      <c r="F709" s="23" t="n">
        <v>4336.82</v>
      </c>
      <c r="G709" s="24" t="n">
        <v>1.185</v>
      </c>
      <c r="H709" s="24" t="n">
        <v>0.877</v>
      </c>
      <c r="I709" s="22" t="s">
        <v>203</v>
      </c>
      <c r="J709" s="22"/>
      <c r="K709" s="23" t="n">
        <v>5964.1</v>
      </c>
      <c r="L709" s="22" t="s">
        <v>204</v>
      </c>
      <c r="M709" s="22" t="s">
        <v>205</v>
      </c>
    </row>
    <row r="710" customFormat="false" ht="15" hidden="false" customHeight="false" outlineLevel="0" collapsed="false">
      <c r="A710" s="22" t="s">
        <v>2296</v>
      </c>
      <c r="B710" s="22" t="s">
        <v>2297</v>
      </c>
      <c r="C710" s="22" t="s">
        <v>17</v>
      </c>
      <c r="D710" s="22" t="s">
        <v>59</v>
      </c>
      <c r="E710" s="22" t="s">
        <v>2298</v>
      </c>
      <c r="F710" s="23" t="n">
        <v>139202.56</v>
      </c>
      <c r="G710" s="24" t="n">
        <v>1.0271</v>
      </c>
      <c r="H710" s="24" t="n">
        <v>0.9405</v>
      </c>
      <c r="I710" s="22" t="s">
        <v>203</v>
      </c>
      <c r="J710" s="22"/>
      <c r="K710" s="23" t="n">
        <v>178235.19</v>
      </c>
      <c r="L710" s="22" t="s">
        <v>204</v>
      </c>
      <c r="M710" s="22" t="s">
        <v>205</v>
      </c>
    </row>
    <row r="711" customFormat="false" ht="15" hidden="false" customHeight="false" outlineLevel="0" collapsed="false">
      <c r="A711" s="22" t="s">
        <v>2299</v>
      </c>
      <c r="B711" s="22" t="s">
        <v>2300</v>
      </c>
      <c r="C711" s="22" t="s">
        <v>15</v>
      </c>
      <c r="D711" s="22" t="s">
        <v>61</v>
      </c>
      <c r="E711" s="22" t="s">
        <v>2301</v>
      </c>
      <c r="F711" s="23" t="n">
        <v>4123</v>
      </c>
      <c r="G711" s="24" t="n">
        <v>1.0466</v>
      </c>
      <c r="H711" s="24" t="n">
        <v>0.2343</v>
      </c>
      <c r="I711" s="22" t="s">
        <v>203</v>
      </c>
      <c r="J711" s="22"/>
      <c r="K711" s="23" t="n">
        <v>1337.89</v>
      </c>
      <c r="L711" s="22" t="s">
        <v>204</v>
      </c>
      <c r="M711" s="22" t="s">
        <v>205</v>
      </c>
    </row>
    <row r="712" customFormat="false" ht="15" hidden="false" customHeight="false" outlineLevel="0" collapsed="false">
      <c r="A712" s="22" t="s">
        <v>2302</v>
      </c>
      <c r="B712" s="22" t="s">
        <v>2303</v>
      </c>
      <c r="C712" s="22" t="s">
        <v>15</v>
      </c>
      <c r="D712" s="22" t="s">
        <v>59</v>
      </c>
      <c r="E712" s="22" t="s">
        <v>2304</v>
      </c>
      <c r="F712" s="23" t="n">
        <v>74173.49</v>
      </c>
      <c r="G712" s="24" t="n">
        <v>1.1151</v>
      </c>
      <c r="H712" s="24" t="n">
        <v>0.8146</v>
      </c>
      <c r="I712" s="22" t="s">
        <v>203</v>
      </c>
      <c r="J712" s="22"/>
      <c r="K712" s="23" t="n">
        <v>89158.39</v>
      </c>
      <c r="L712" s="22" t="s">
        <v>204</v>
      </c>
      <c r="M712" s="22" t="s">
        <v>205</v>
      </c>
    </row>
    <row r="713" customFormat="false" ht="15" hidden="false" customHeight="false" outlineLevel="0" collapsed="false">
      <c r="A713" s="22" t="s">
        <v>2305</v>
      </c>
      <c r="B713" s="22" t="s">
        <v>2306</v>
      </c>
      <c r="C713" s="22" t="s">
        <v>15</v>
      </c>
      <c r="D713" s="22" t="s">
        <v>61</v>
      </c>
      <c r="E713" s="22" t="s">
        <v>2307</v>
      </c>
      <c r="F713" s="23" t="n">
        <v>8936.36</v>
      </c>
      <c r="G713" s="24" t="n">
        <v>1.0609</v>
      </c>
      <c r="H713" s="24" t="n">
        <v>0.1253</v>
      </c>
      <c r="I713" s="22" t="s">
        <v>203</v>
      </c>
      <c r="J713" s="22"/>
      <c r="K713" s="23" t="n">
        <v>1571.96</v>
      </c>
      <c r="L713" s="22" t="s">
        <v>204</v>
      </c>
      <c r="M713" s="22" t="s">
        <v>205</v>
      </c>
    </row>
    <row r="714" customFormat="false" ht="15" hidden="false" customHeight="false" outlineLevel="0" collapsed="false">
      <c r="A714" s="22" t="s">
        <v>2308</v>
      </c>
      <c r="B714" s="22" t="s">
        <v>2309</v>
      </c>
      <c r="C714" s="22" t="s">
        <v>19</v>
      </c>
      <c r="D714" s="22" t="s">
        <v>60</v>
      </c>
      <c r="E714" s="22" t="s">
        <v>2310</v>
      </c>
      <c r="F714" s="23" t="n">
        <v>32775.67</v>
      </c>
      <c r="G714" s="24" t="n">
        <v>1.0742</v>
      </c>
      <c r="H714" s="24" t="n">
        <v>0.7148</v>
      </c>
      <c r="I714" s="22" t="s">
        <v>203</v>
      </c>
      <c r="J714" s="22"/>
      <c r="K714" s="23" t="n">
        <v>33613.82</v>
      </c>
      <c r="L714" s="22" t="s">
        <v>204</v>
      </c>
      <c r="M714" s="22" t="s">
        <v>205</v>
      </c>
    </row>
    <row r="715" customFormat="false" ht="15" hidden="false" customHeight="false" outlineLevel="0" collapsed="false">
      <c r="A715" s="22" t="s">
        <v>2311</v>
      </c>
      <c r="B715" s="22" t="s">
        <v>2312</v>
      </c>
      <c r="C715" s="22" t="s">
        <v>15</v>
      </c>
      <c r="D715" s="22" t="s">
        <v>59</v>
      </c>
      <c r="E715" s="22" t="s">
        <v>2313</v>
      </c>
      <c r="F715" s="23" t="n">
        <v>147039.52</v>
      </c>
      <c r="G715" s="24" t="n">
        <v>1.079</v>
      </c>
      <c r="H715" s="24" t="n">
        <v>0.6099</v>
      </c>
      <c r="I715" s="22" t="s">
        <v>203</v>
      </c>
      <c r="J715" s="22"/>
      <c r="K715" s="23" t="n">
        <v>128047</v>
      </c>
      <c r="L715" s="22" t="s">
        <v>204</v>
      </c>
      <c r="M715" s="22" t="s">
        <v>205</v>
      </c>
    </row>
    <row r="716" customFormat="false" ht="15" hidden="false" customHeight="false" outlineLevel="0" collapsed="false">
      <c r="A716" s="22" t="s">
        <v>2314</v>
      </c>
      <c r="B716" s="22" t="s">
        <v>2315</v>
      </c>
      <c r="C716" s="22" t="s">
        <v>17</v>
      </c>
      <c r="D716" s="22" t="s">
        <v>58</v>
      </c>
      <c r="E716" s="22" t="s">
        <v>2316</v>
      </c>
      <c r="F716" s="23" t="n">
        <v>63138.2</v>
      </c>
      <c r="G716" s="24" t="n">
        <v>1.2602</v>
      </c>
      <c r="H716" s="24" t="n">
        <v>0.4349</v>
      </c>
      <c r="I716" s="22" t="s">
        <v>203</v>
      </c>
      <c r="J716" s="22"/>
      <c r="K716" s="23" t="n">
        <v>45866.52</v>
      </c>
      <c r="L716" s="22" t="s">
        <v>204</v>
      </c>
      <c r="M716" s="22" t="s">
        <v>205</v>
      </c>
    </row>
    <row r="717" customFormat="false" ht="15" hidden="false" customHeight="false" outlineLevel="0" collapsed="false">
      <c r="A717" s="22" t="s">
        <v>2317</v>
      </c>
      <c r="B717" s="22" t="s">
        <v>2318</v>
      </c>
      <c r="C717" s="22" t="s">
        <v>19</v>
      </c>
      <c r="D717" s="22" t="s">
        <v>58</v>
      </c>
      <c r="E717" s="22" t="s">
        <v>2319</v>
      </c>
      <c r="F717" s="23" t="n">
        <v>56769.56</v>
      </c>
      <c r="G717" s="24" t="n">
        <v>1.1632</v>
      </c>
      <c r="H717" s="24" t="n">
        <v>0.2342</v>
      </c>
      <c r="I717" s="22" t="s">
        <v>203</v>
      </c>
      <c r="J717" s="22"/>
      <c r="K717" s="23" t="n">
        <v>20656.34</v>
      </c>
      <c r="L717" s="22" t="s">
        <v>204</v>
      </c>
      <c r="M717" s="22" t="s">
        <v>205</v>
      </c>
    </row>
    <row r="718" customFormat="false" ht="15" hidden="false" customHeight="false" outlineLevel="0" collapsed="false">
      <c r="A718" s="22" t="s">
        <v>2320</v>
      </c>
      <c r="B718" s="22" t="s">
        <v>2321</v>
      </c>
      <c r="C718" s="22" t="s">
        <v>15</v>
      </c>
      <c r="D718" s="22" t="s">
        <v>58</v>
      </c>
      <c r="E718" s="22" t="s">
        <v>2322</v>
      </c>
      <c r="F718" s="23" t="n">
        <v>21310.51</v>
      </c>
      <c r="G718" s="24" t="n">
        <v>1.0327</v>
      </c>
      <c r="H718" s="24" t="n">
        <v>0.1686</v>
      </c>
      <c r="I718" s="22" t="s">
        <v>203</v>
      </c>
      <c r="J718" s="22"/>
      <c r="K718" s="23" t="n">
        <v>4909.99</v>
      </c>
      <c r="L718" s="22" t="s">
        <v>204</v>
      </c>
      <c r="M718" s="22" t="s">
        <v>205</v>
      </c>
    </row>
    <row r="719" customFormat="false" ht="15" hidden="false" customHeight="false" outlineLevel="0" collapsed="false">
      <c r="A719" s="22" t="s">
        <v>2323</v>
      </c>
      <c r="B719" s="22" t="s">
        <v>2324</v>
      </c>
      <c r="C719" s="22" t="s">
        <v>19</v>
      </c>
      <c r="D719" s="22" t="s">
        <v>58</v>
      </c>
      <c r="E719" s="22" t="s">
        <v>2325</v>
      </c>
      <c r="F719" s="23" t="n">
        <v>66660.74</v>
      </c>
      <c r="G719" s="24" t="n">
        <v>1.2663</v>
      </c>
      <c r="H719" s="24" t="n">
        <v>0.3336</v>
      </c>
      <c r="I719" s="22" t="s">
        <v>203</v>
      </c>
      <c r="J719" s="22"/>
      <c r="K719" s="23" t="n">
        <v>37612.25</v>
      </c>
      <c r="L719" s="22" t="s">
        <v>204</v>
      </c>
      <c r="M719" s="22" t="s">
        <v>205</v>
      </c>
    </row>
    <row r="720" customFormat="false" ht="15" hidden="false" customHeight="false" outlineLevel="0" collapsed="false">
      <c r="A720" s="22" t="s">
        <v>2326</v>
      </c>
      <c r="B720" s="22" t="s">
        <v>2327</v>
      </c>
      <c r="C720" s="22" t="s">
        <v>17</v>
      </c>
      <c r="D720" s="22" t="s">
        <v>60</v>
      </c>
      <c r="E720" s="22" t="s">
        <v>2328</v>
      </c>
      <c r="F720" s="23" t="n">
        <v>26950.79</v>
      </c>
      <c r="G720" s="24" t="n">
        <v>1.0852</v>
      </c>
      <c r="H720" s="24" t="n">
        <v>0.274</v>
      </c>
      <c r="I720" s="22" t="s">
        <v>203</v>
      </c>
      <c r="J720" s="22"/>
      <c r="K720" s="23" t="n">
        <v>10622.01</v>
      </c>
      <c r="L720" s="22" t="s">
        <v>204</v>
      </c>
      <c r="M720" s="22" t="s">
        <v>205</v>
      </c>
    </row>
    <row r="721" customFormat="false" ht="15" hidden="false" customHeight="false" outlineLevel="0" collapsed="false">
      <c r="A721" s="22" t="s">
        <v>2329</v>
      </c>
      <c r="B721" s="22" t="s">
        <v>2330</v>
      </c>
      <c r="C721" s="22" t="s">
        <v>17</v>
      </c>
      <c r="D721" s="22" t="s">
        <v>59</v>
      </c>
      <c r="E721" s="22" t="s">
        <v>2331</v>
      </c>
      <c r="F721" s="23" t="n">
        <v>59151.58</v>
      </c>
      <c r="G721" s="24" t="n">
        <v>1.0797</v>
      </c>
      <c r="H721" s="24" t="n">
        <v>0.6164</v>
      </c>
      <c r="I721" s="22" t="s">
        <v>203</v>
      </c>
      <c r="J721" s="22"/>
      <c r="K721" s="23" t="n">
        <v>52180.33</v>
      </c>
      <c r="L721" s="22" t="s">
        <v>204</v>
      </c>
      <c r="M721" s="22" t="s">
        <v>205</v>
      </c>
    </row>
    <row r="722" customFormat="false" ht="15" hidden="false" customHeight="false" outlineLevel="0" collapsed="false">
      <c r="A722" s="22" t="s">
        <v>2332</v>
      </c>
      <c r="B722" s="22" t="s">
        <v>2333</v>
      </c>
      <c r="C722" s="22" t="s">
        <v>15</v>
      </c>
      <c r="D722" s="22" t="s">
        <v>60</v>
      </c>
      <c r="E722" s="22" t="s">
        <v>2334</v>
      </c>
      <c r="F722" s="23" t="n">
        <v>7991.74</v>
      </c>
      <c r="G722" s="24" t="n">
        <v>1.2426</v>
      </c>
      <c r="H722" s="24" t="n">
        <v>0.276</v>
      </c>
      <c r="I722" s="22" t="s">
        <v>203</v>
      </c>
      <c r="J722" s="22"/>
      <c r="K722" s="23" t="n">
        <v>3626.91</v>
      </c>
      <c r="L722" s="22" t="s">
        <v>204</v>
      </c>
      <c r="M722" s="22" t="s">
        <v>205</v>
      </c>
    </row>
    <row r="723" customFormat="false" ht="15" hidden="false" customHeight="false" outlineLevel="0" collapsed="false">
      <c r="A723" s="22" t="s">
        <v>2335</v>
      </c>
      <c r="B723" s="22" t="s">
        <v>2336</v>
      </c>
      <c r="C723" s="22" t="s">
        <v>15</v>
      </c>
      <c r="D723" s="22" t="s">
        <v>58</v>
      </c>
      <c r="E723" s="22" t="s">
        <v>2337</v>
      </c>
      <c r="F723" s="23" t="n">
        <v>63092.19</v>
      </c>
      <c r="G723" s="24" t="n">
        <v>1.2191</v>
      </c>
      <c r="H723" s="24" t="n">
        <v>0.9105</v>
      </c>
      <c r="I723" s="22" t="s">
        <v>203</v>
      </c>
      <c r="J723" s="22"/>
      <c r="K723" s="23" t="n">
        <v>92672.35</v>
      </c>
      <c r="L723" s="22" t="s">
        <v>204</v>
      </c>
      <c r="M723" s="22" t="s">
        <v>205</v>
      </c>
    </row>
    <row r="724" customFormat="false" ht="15" hidden="false" customHeight="false" outlineLevel="0" collapsed="false">
      <c r="A724" s="22" t="s">
        <v>2338</v>
      </c>
      <c r="B724" s="22" t="s">
        <v>2339</v>
      </c>
      <c r="C724" s="22" t="s">
        <v>15</v>
      </c>
      <c r="D724" s="22" t="s">
        <v>61</v>
      </c>
      <c r="E724" s="22" t="s">
        <v>2340</v>
      </c>
      <c r="F724" s="23" t="n">
        <v>3071.08</v>
      </c>
      <c r="G724" s="24" t="n">
        <v>1.228</v>
      </c>
      <c r="H724" s="24" t="n">
        <v>0.866</v>
      </c>
      <c r="I724" s="22" t="s">
        <v>203</v>
      </c>
      <c r="J724" s="22"/>
      <c r="K724" s="23" t="n">
        <v>4321.78</v>
      </c>
      <c r="L724" s="22" t="s">
        <v>204</v>
      </c>
      <c r="M724" s="22" t="s">
        <v>205</v>
      </c>
    </row>
    <row r="725" customFormat="false" ht="15" hidden="false" customHeight="false" outlineLevel="0" collapsed="false">
      <c r="A725" s="22" t="s">
        <v>2341</v>
      </c>
      <c r="B725" s="22" t="s">
        <v>2342</v>
      </c>
      <c r="C725" s="22" t="s">
        <v>15</v>
      </c>
      <c r="D725" s="22" t="s">
        <v>58</v>
      </c>
      <c r="E725" s="22" t="s">
        <v>2165</v>
      </c>
      <c r="F725" s="23" t="n">
        <v>22837.25</v>
      </c>
      <c r="G725" s="24" t="n">
        <v>1.2828</v>
      </c>
      <c r="H725" s="24" t="n">
        <v>0.9069</v>
      </c>
      <c r="I725" s="22" t="s">
        <v>203</v>
      </c>
      <c r="J725" s="22"/>
      <c r="K725" s="23" t="n">
        <v>35157.46</v>
      </c>
      <c r="L725" s="22" t="s">
        <v>204</v>
      </c>
      <c r="M725" s="22" t="s">
        <v>205</v>
      </c>
    </row>
    <row r="726" customFormat="false" ht="15" hidden="false" customHeight="false" outlineLevel="0" collapsed="false">
      <c r="A726" s="22" t="s">
        <v>2343</v>
      </c>
      <c r="B726" s="22" t="s">
        <v>2344</v>
      </c>
      <c r="C726" s="22" t="s">
        <v>19</v>
      </c>
      <c r="D726" s="22" t="s">
        <v>59</v>
      </c>
      <c r="E726" s="22" t="s">
        <v>2345</v>
      </c>
      <c r="F726" s="23" t="n">
        <v>140685.77</v>
      </c>
      <c r="G726" s="24" t="n">
        <v>1.036</v>
      </c>
      <c r="H726" s="24" t="n">
        <v>0.7517</v>
      </c>
      <c r="I726" s="22" t="s">
        <v>203</v>
      </c>
      <c r="J726" s="22"/>
      <c r="K726" s="23" t="n">
        <v>146335.95</v>
      </c>
      <c r="L726" s="22" t="s">
        <v>204</v>
      </c>
      <c r="M726" s="22" t="s">
        <v>205</v>
      </c>
    </row>
    <row r="727" customFormat="false" ht="15" hidden="false" customHeight="false" outlineLevel="0" collapsed="false">
      <c r="A727" s="22" t="s">
        <v>2346</v>
      </c>
      <c r="B727" s="22" t="s">
        <v>2347</v>
      </c>
      <c r="C727" s="22" t="s">
        <v>15</v>
      </c>
      <c r="D727" s="22" t="s">
        <v>58</v>
      </c>
      <c r="E727" s="22" t="s">
        <v>1903</v>
      </c>
      <c r="F727" s="23" t="n">
        <v>36945.97</v>
      </c>
      <c r="G727" s="24" t="n">
        <v>1.0318</v>
      </c>
      <c r="H727" s="24" t="n">
        <v>0.1522</v>
      </c>
      <c r="I727" s="22" t="s">
        <v>203</v>
      </c>
      <c r="J727" s="22"/>
      <c r="K727" s="23" t="n">
        <v>7677.72</v>
      </c>
      <c r="L727" s="22" t="s">
        <v>204</v>
      </c>
      <c r="M727" s="22" t="s">
        <v>205</v>
      </c>
    </row>
    <row r="728" customFormat="false" ht="15" hidden="false" customHeight="false" outlineLevel="0" collapsed="false">
      <c r="A728" s="22" t="s">
        <v>2348</v>
      </c>
      <c r="B728" s="22" t="s">
        <v>2349</v>
      </c>
      <c r="C728" s="22" t="s">
        <v>15</v>
      </c>
      <c r="D728" s="22" t="s">
        <v>60</v>
      </c>
      <c r="E728" s="22" t="s">
        <v>2350</v>
      </c>
      <c r="F728" s="23" t="n">
        <v>23399.54</v>
      </c>
      <c r="G728" s="24" t="n">
        <v>1.076</v>
      </c>
      <c r="H728" s="24" t="n">
        <v>0.2781</v>
      </c>
      <c r="I728" s="22" t="s">
        <v>203</v>
      </c>
      <c r="J728" s="22"/>
      <c r="K728" s="23" t="n">
        <v>9265.65</v>
      </c>
      <c r="L728" s="22" t="s">
        <v>204</v>
      </c>
      <c r="M728" s="22" t="s">
        <v>205</v>
      </c>
    </row>
    <row r="729" customFormat="false" ht="15" hidden="false" customHeight="false" outlineLevel="0" collapsed="false">
      <c r="A729" s="22" t="s">
        <v>2351</v>
      </c>
      <c r="B729" s="22" t="s">
        <v>2352</v>
      </c>
      <c r="C729" s="22" t="s">
        <v>17</v>
      </c>
      <c r="D729" s="22" t="s">
        <v>59</v>
      </c>
      <c r="E729" s="22" t="s">
        <v>2353</v>
      </c>
      <c r="F729" s="23" t="n">
        <v>124421.6</v>
      </c>
      <c r="G729" s="24" t="n">
        <v>1.2704</v>
      </c>
      <c r="H729" s="24" t="n">
        <v>0.1278</v>
      </c>
      <c r="I729" s="22" t="s">
        <v>203</v>
      </c>
      <c r="J729" s="22"/>
      <c r="K729" s="23" t="n">
        <v>26775.76</v>
      </c>
      <c r="L729" s="22" t="s">
        <v>204</v>
      </c>
      <c r="M729" s="22" t="s">
        <v>205</v>
      </c>
    </row>
    <row r="730" customFormat="false" ht="15" hidden="false" customHeight="false" outlineLevel="0" collapsed="false">
      <c r="A730" s="22" t="s">
        <v>2354</v>
      </c>
      <c r="B730" s="22" t="s">
        <v>2355</v>
      </c>
      <c r="C730" s="22" t="s">
        <v>17</v>
      </c>
      <c r="D730" s="22" t="s">
        <v>60</v>
      </c>
      <c r="E730" s="22" t="s">
        <v>2356</v>
      </c>
      <c r="F730" s="23" t="n">
        <v>9904.22</v>
      </c>
      <c r="G730" s="24" t="n">
        <v>1.2638</v>
      </c>
      <c r="H730" s="24" t="n">
        <v>0.8877</v>
      </c>
      <c r="I730" s="22" t="s">
        <v>203</v>
      </c>
      <c r="J730" s="22"/>
      <c r="K730" s="23" t="n">
        <v>14727.86</v>
      </c>
      <c r="L730" s="22" t="s">
        <v>204</v>
      </c>
      <c r="M730" s="22" t="s">
        <v>205</v>
      </c>
    </row>
    <row r="731" customFormat="false" ht="15" hidden="false" customHeight="false" outlineLevel="0" collapsed="false">
      <c r="A731" s="22" t="s">
        <v>2357</v>
      </c>
      <c r="B731" s="22" t="s">
        <v>2358</v>
      </c>
      <c r="C731" s="22" t="s">
        <v>19</v>
      </c>
      <c r="D731" s="22" t="s">
        <v>59</v>
      </c>
      <c r="E731" s="22" t="s">
        <v>2359</v>
      </c>
      <c r="F731" s="23" t="n">
        <v>83694.85</v>
      </c>
      <c r="G731" s="24" t="n">
        <v>1.253</v>
      </c>
      <c r="H731" s="24" t="n">
        <v>0.4881</v>
      </c>
      <c r="I731" s="22" t="s">
        <v>203</v>
      </c>
      <c r="J731" s="22"/>
      <c r="K731" s="23" t="n">
        <v>68368.36</v>
      </c>
      <c r="L731" s="22" t="s">
        <v>204</v>
      </c>
      <c r="M731" s="22" t="s">
        <v>205</v>
      </c>
    </row>
    <row r="732" customFormat="false" ht="15" hidden="false" customHeight="false" outlineLevel="0" collapsed="false">
      <c r="A732" s="22" t="s">
        <v>2360</v>
      </c>
      <c r="B732" s="22" t="s">
        <v>2361</v>
      </c>
      <c r="C732" s="22" t="s">
        <v>15</v>
      </c>
      <c r="D732" s="22" t="s">
        <v>58</v>
      </c>
      <c r="E732" s="22" t="s">
        <v>2362</v>
      </c>
      <c r="F732" s="23" t="n">
        <v>72407.45</v>
      </c>
      <c r="G732" s="24" t="n">
        <v>1.0125</v>
      </c>
      <c r="H732" s="24" t="n">
        <v>0.9723</v>
      </c>
      <c r="I732" s="22" t="s">
        <v>203</v>
      </c>
      <c r="J732" s="22"/>
      <c r="K732" s="23" t="n">
        <v>94326.53</v>
      </c>
      <c r="L732" s="22" t="s">
        <v>204</v>
      </c>
      <c r="M732" s="22" t="s">
        <v>205</v>
      </c>
    </row>
    <row r="733" customFormat="false" ht="15" hidden="false" customHeight="false" outlineLevel="0" collapsed="false">
      <c r="A733" s="22" t="s">
        <v>2363</v>
      </c>
      <c r="B733" s="22" t="s">
        <v>2364</v>
      </c>
      <c r="C733" s="22" t="s">
        <v>15</v>
      </c>
      <c r="D733" s="22" t="s">
        <v>60</v>
      </c>
      <c r="E733" s="22" t="s">
        <v>2365</v>
      </c>
      <c r="F733" s="23" t="n">
        <v>30023.9</v>
      </c>
      <c r="G733" s="24" t="n">
        <v>1.0394</v>
      </c>
      <c r="H733" s="24" t="n">
        <v>0.4557</v>
      </c>
      <c r="I733" s="22" t="s">
        <v>203</v>
      </c>
      <c r="J733" s="22"/>
      <c r="K733" s="23" t="n">
        <v>18818.46</v>
      </c>
      <c r="L733" s="22" t="s">
        <v>204</v>
      </c>
      <c r="M733" s="22" t="s">
        <v>205</v>
      </c>
    </row>
    <row r="734" customFormat="false" ht="15" hidden="false" customHeight="false" outlineLevel="0" collapsed="false">
      <c r="A734" s="22" t="s">
        <v>2366</v>
      </c>
      <c r="B734" s="22" t="s">
        <v>2367</v>
      </c>
      <c r="C734" s="22" t="s">
        <v>19</v>
      </c>
      <c r="D734" s="22" t="s">
        <v>61</v>
      </c>
      <c r="E734" s="22" t="s">
        <v>2368</v>
      </c>
      <c r="F734" s="23" t="n">
        <v>7140.42</v>
      </c>
      <c r="G734" s="24" t="n">
        <v>1.0016</v>
      </c>
      <c r="H734" s="24" t="n">
        <v>0.3279</v>
      </c>
      <c r="I734" s="22" t="s">
        <v>203</v>
      </c>
      <c r="J734" s="22"/>
      <c r="K734" s="23" t="n">
        <v>3132.25</v>
      </c>
      <c r="L734" s="22" t="s">
        <v>204</v>
      </c>
      <c r="M734" s="22" t="s">
        <v>205</v>
      </c>
    </row>
    <row r="735" customFormat="false" ht="15" hidden="false" customHeight="false" outlineLevel="0" collapsed="false">
      <c r="A735" s="22" t="s">
        <v>2369</v>
      </c>
      <c r="B735" s="22" t="s">
        <v>2370</v>
      </c>
      <c r="C735" s="22" t="s">
        <v>15</v>
      </c>
      <c r="D735" s="22" t="s">
        <v>58</v>
      </c>
      <c r="E735" s="22" t="s">
        <v>2371</v>
      </c>
      <c r="F735" s="23" t="n">
        <v>37341.4</v>
      </c>
      <c r="G735" s="24" t="n">
        <v>1.2661</v>
      </c>
      <c r="H735" s="24" t="n">
        <v>0.277</v>
      </c>
      <c r="I735" s="22" t="s">
        <v>203</v>
      </c>
      <c r="J735" s="22"/>
      <c r="K735" s="23" t="n">
        <v>17329.8</v>
      </c>
      <c r="L735" s="22" t="s">
        <v>204</v>
      </c>
      <c r="M735" s="22" t="s">
        <v>205</v>
      </c>
    </row>
    <row r="736" customFormat="false" ht="15" hidden="false" customHeight="false" outlineLevel="0" collapsed="false">
      <c r="A736" s="22" t="s">
        <v>2372</v>
      </c>
      <c r="B736" s="22" t="s">
        <v>2373</v>
      </c>
      <c r="C736" s="22" t="s">
        <v>17</v>
      </c>
      <c r="D736" s="22" t="s">
        <v>58</v>
      </c>
      <c r="E736" s="22" t="s">
        <v>2374</v>
      </c>
      <c r="F736" s="23" t="n">
        <v>68930.88</v>
      </c>
      <c r="G736" s="24" t="n">
        <v>1.2594</v>
      </c>
      <c r="H736" s="24" t="n">
        <v>0.6823</v>
      </c>
      <c r="I736" s="22" t="s">
        <v>203</v>
      </c>
      <c r="J736" s="22"/>
      <c r="K736" s="23" t="n">
        <v>78510.47</v>
      </c>
      <c r="L736" s="22" t="s">
        <v>204</v>
      </c>
      <c r="M736" s="22" t="s">
        <v>205</v>
      </c>
    </row>
    <row r="737" customFormat="false" ht="15" hidden="false" customHeight="false" outlineLevel="0" collapsed="false">
      <c r="A737" s="22" t="s">
        <v>2375</v>
      </c>
      <c r="B737" s="22" t="s">
        <v>2376</v>
      </c>
      <c r="C737" s="22" t="s">
        <v>17</v>
      </c>
      <c r="D737" s="22" t="s">
        <v>60</v>
      </c>
      <c r="E737" s="22" t="s">
        <v>2377</v>
      </c>
      <c r="F737" s="23" t="n">
        <v>14104.69</v>
      </c>
      <c r="G737" s="24" t="n">
        <v>1.0568</v>
      </c>
      <c r="H737" s="24" t="n">
        <v>0.9598</v>
      </c>
      <c r="I737" s="22" t="s">
        <v>203</v>
      </c>
      <c r="J737" s="22"/>
      <c r="K737" s="23" t="n">
        <v>18963.21</v>
      </c>
      <c r="L737" s="22" t="s">
        <v>204</v>
      </c>
      <c r="M737" s="22" t="s">
        <v>205</v>
      </c>
    </row>
    <row r="738" customFormat="false" ht="15" hidden="false" customHeight="false" outlineLevel="0" collapsed="false">
      <c r="A738" s="22" t="s">
        <v>2378</v>
      </c>
      <c r="B738" s="22" t="s">
        <v>2379</v>
      </c>
      <c r="C738" s="22" t="s">
        <v>17</v>
      </c>
      <c r="D738" s="22" t="s">
        <v>59</v>
      </c>
      <c r="E738" s="22" t="s">
        <v>2380</v>
      </c>
      <c r="F738" s="23" t="n">
        <v>34882.99</v>
      </c>
      <c r="G738" s="24" t="n">
        <v>1.019</v>
      </c>
      <c r="H738" s="24" t="n">
        <v>0.8811</v>
      </c>
      <c r="I738" s="22" t="s">
        <v>203</v>
      </c>
      <c r="J738" s="22"/>
      <c r="K738" s="23" t="n">
        <v>41513.35</v>
      </c>
      <c r="L738" s="22" t="s">
        <v>204</v>
      </c>
      <c r="M738" s="22" t="s">
        <v>205</v>
      </c>
    </row>
    <row r="739" customFormat="false" ht="15" hidden="false" customHeight="false" outlineLevel="0" collapsed="false">
      <c r="A739" s="22" t="s">
        <v>2381</v>
      </c>
      <c r="B739" s="22" t="s">
        <v>2382</v>
      </c>
      <c r="C739" s="22" t="s">
        <v>15</v>
      </c>
      <c r="D739" s="22" t="s">
        <v>58</v>
      </c>
      <c r="E739" s="22" t="s">
        <v>2383</v>
      </c>
      <c r="F739" s="23" t="n">
        <v>27747.94</v>
      </c>
      <c r="G739" s="24" t="n">
        <v>1.0083</v>
      </c>
      <c r="H739" s="24" t="n">
        <v>0.4629</v>
      </c>
      <c r="I739" s="22" t="s">
        <v>203</v>
      </c>
      <c r="J739" s="22"/>
      <c r="K739" s="23" t="n">
        <v>17138.11</v>
      </c>
      <c r="L739" s="22" t="s">
        <v>204</v>
      </c>
      <c r="M739" s="22" t="s">
        <v>205</v>
      </c>
    </row>
    <row r="740" customFormat="false" ht="15" hidden="false" customHeight="false" outlineLevel="0" collapsed="false">
      <c r="A740" s="22" t="s">
        <v>2384</v>
      </c>
      <c r="B740" s="22" t="s">
        <v>2385</v>
      </c>
      <c r="C740" s="22" t="s">
        <v>15</v>
      </c>
      <c r="D740" s="22" t="s">
        <v>59</v>
      </c>
      <c r="E740" s="22" t="s">
        <v>2386</v>
      </c>
      <c r="F740" s="23" t="n">
        <v>90962.93</v>
      </c>
      <c r="G740" s="24" t="n">
        <v>1.0299</v>
      </c>
      <c r="H740" s="24" t="n">
        <v>0.2351</v>
      </c>
      <c r="I740" s="22" t="s">
        <v>203</v>
      </c>
      <c r="J740" s="22"/>
      <c r="K740" s="23" t="n">
        <v>29145.22</v>
      </c>
      <c r="L740" s="22" t="s">
        <v>204</v>
      </c>
      <c r="M740" s="22" t="s">
        <v>205</v>
      </c>
    </row>
    <row r="741" customFormat="false" ht="15" hidden="false" customHeight="false" outlineLevel="0" collapsed="false">
      <c r="A741" s="22" t="s">
        <v>2387</v>
      </c>
      <c r="B741" s="22" t="s">
        <v>2388</v>
      </c>
      <c r="C741" s="22" t="s">
        <v>15</v>
      </c>
      <c r="D741" s="22" t="s">
        <v>61</v>
      </c>
      <c r="E741" s="22" t="s">
        <v>2389</v>
      </c>
      <c r="F741" s="23" t="n">
        <v>8480.86</v>
      </c>
      <c r="G741" s="24" t="n">
        <v>1.2361</v>
      </c>
      <c r="H741" s="24" t="n">
        <v>0.1642</v>
      </c>
      <c r="I741" s="22" t="s">
        <v>203</v>
      </c>
      <c r="J741" s="22"/>
      <c r="K741" s="23" t="n">
        <v>2277.83</v>
      </c>
      <c r="L741" s="22" t="s">
        <v>204</v>
      </c>
      <c r="M741" s="22" t="s">
        <v>205</v>
      </c>
    </row>
    <row r="742" customFormat="false" ht="15" hidden="false" customHeight="false" outlineLevel="0" collapsed="false">
      <c r="A742" s="22" t="s">
        <v>2390</v>
      </c>
      <c r="B742" s="22" t="s">
        <v>2391</v>
      </c>
      <c r="C742" s="22" t="s">
        <v>17</v>
      </c>
      <c r="D742" s="22" t="s">
        <v>59</v>
      </c>
      <c r="E742" s="22" t="s">
        <v>1838</v>
      </c>
      <c r="F742" s="23" t="n">
        <v>50185.88</v>
      </c>
      <c r="G742" s="24" t="n">
        <v>1.2784</v>
      </c>
      <c r="H742" s="24" t="n">
        <v>0.9035</v>
      </c>
      <c r="I742" s="22" t="s">
        <v>203</v>
      </c>
      <c r="J742" s="22"/>
      <c r="K742" s="23" t="n">
        <v>76833.6</v>
      </c>
      <c r="L742" s="22" t="s">
        <v>204</v>
      </c>
      <c r="M742" s="22" t="s">
        <v>205</v>
      </c>
    </row>
    <row r="743" customFormat="false" ht="15" hidden="false" customHeight="false" outlineLevel="0" collapsed="false">
      <c r="A743" s="22" t="s">
        <v>2392</v>
      </c>
      <c r="B743" s="22" t="s">
        <v>2393</v>
      </c>
      <c r="C743" s="22" t="s">
        <v>15</v>
      </c>
      <c r="D743" s="22" t="s">
        <v>60</v>
      </c>
      <c r="E743" s="22" t="s">
        <v>2394</v>
      </c>
      <c r="F743" s="23" t="n">
        <v>10371.29</v>
      </c>
      <c r="G743" s="24" t="n">
        <v>1.0646</v>
      </c>
      <c r="H743" s="24" t="n">
        <v>0.8166</v>
      </c>
      <c r="I743" s="22" t="s">
        <v>203</v>
      </c>
      <c r="J743" s="22"/>
      <c r="K743" s="23" t="n">
        <v>11931.19</v>
      </c>
      <c r="L743" s="22" t="s">
        <v>204</v>
      </c>
      <c r="M743" s="22" t="s">
        <v>205</v>
      </c>
    </row>
    <row r="744" customFormat="false" ht="15" hidden="false" customHeight="false" outlineLevel="0" collapsed="false">
      <c r="A744" s="22" t="s">
        <v>2395</v>
      </c>
      <c r="B744" s="22" t="s">
        <v>2396</v>
      </c>
      <c r="C744" s="22" t="s">
        <v>17</v>
      </c>
      <c r="D744" s="22" t="s">
        <v>61</v>
      </c>
      <c r="E744" s="22" t="s">
        <v>2397</v>
      </c>
      <c r="F744" s="23" t="n">
        <v>3989.51</v>
      </c>
      <c r="G744" s="24" t="n">
        <v>1.0862</v>
      </c>
      <c r="H744" s="24" t="n">
        <v>0.5911</v>
      </c>
      <c r="I744" s="22" t="s">
        <v>203</v>
      </c>
      <c r="J744" s="22"/>
      <c r="K744" s="23" t="n">
        <v>3395.2</v>
      </c>
      <c r="L744" s="22" t="s">
        <v>204</v>
      </c>
      <c r="M744" s="22" t="s">
        <v>205</v>
      </c>
    </row>
    <row r="745" customFormat="false" ht="15" hidden="false" customHeight="false" outlineLevel="0" collapsed="false">
      <c r="A745" s="22" t="s">
        <v>2398</v>
      </c>
      <c r="B745" s="22" t="s">
        <v>2399</v>
      </c>
      <c r="C745" s="22" t="s">
        <v>15</v>
      </c>
      <c r="D745" s="22" t="s">
        <v>58</v>
      </c>
      <c r="E745" s="22" t="s">
        <v>2400</v>
      </c>
      <c r="F745" s="23" t="n">
        <v>71052.1</v>
      </c>
      <c r="G745" s="24" t="n">
        <v>1.2036</v>
      </c>
      <c r="H745" s="24" t="n">
        <v>0.658</v>
      </c>
      <c r="I745" s="22" t="s">
        <v>203</v>
      </c>
      <c r="J745" s="22"/>
      <c r="K745" s="23" t="n">
        <v>74462.95</v>
      </c>
      <c r="L745" s="22" t="s">
        <v>204</v>
      </c>
      <c r="M745" s="22" t="s">
        <v>205</v>
      </c>
    </row>
    <row r="746" customFormat="false" ht="15" hidden="false" customHeight="false" outlineLevel="0" collapsed="false">
      <c r="A746" s="22" t="s">
        <v>2401</v>
      </c>
      <c r="B746" s="22" t="s">
        <v>2402</v>
      </c>
      <c r="C746" s="22" t="s">
        <v>17</v>
      </c>
      <c r="D746" s="22" t="s">
        <v>58</v>
      </c>
      <c r="E746" s="22" t="s">
        <v>2403</v>
      </c>
      <c r="F746" s="23" t="n">
        <v>27607.38</v>
      </c>
      <c r="G746" s="24" t="n">
        <v>1.0668</v>
      </c>
      <c r="H746" s="24" t="n">
        <v>0.5697</v>
      </c>
      <c r="I746" s="22" t="s">
        <v>203</v>
      </c>
      <c r="J746" s="22"/>
      <c r="K746" s="23" t="n">
        <v>22239.71</v>
      </c>
      <c r="L746" s="22" t="s">
        <v>204</v>
      </c>
      <c r="M746" s="22" t="s">
        <v>205</v>
      </c>
    </row>
    <row r="747" customFormat="false" ht="15" hidden="false" customHeight="false" outlineLevel="0" collapsed="false">
      <c r="A747" s="22" t="s">
        <v>2404</v>
      </c>
      <c r="B747" s="22" t="s">
        <v>2405</v>
      </c>
      <c r="C747" s="22" t="s">
        <v>15</v>
      </c>
      <c r="D747" s="22" t="s">
        <v>60</v>
      </c>
      <c r="E747" s="22" t="s">
        <v>1433</v>
      </c>
      <c r="F747" s="23" t="n">
        <v>24544.87</v>
      </c>
      <c r="G747" s="24" t="n">
        <v>1.1275</v>
      </c>
      <c r="H747" s="24" t="n">
        <v>0.9118</v>
      </c>
      <c r="I747" s="22" t="s">
        <v>203</v>
      </c>
      <c r="J747" s="22"/>
      <c r="K747" s="23" t="n">
        <v>33391.21</v>
      </c>
      <c r="L747" s="22" t="s">
        <v>204</v>
      </c>
      <c r="M747" s="22" t="s">
        <v>205</v>
      </c>
    </row>
    <row r="748" customFormat="false" ht="15" hidden="false" customHeight="false" outlineLevel="0" collapsed="false">
      <c r="A748" s="22" t="s">
        <v>2406</v>
      </c>
      <c r="B748" s="22" t="s">
        <v>2407</v>
      </c>
      <c r="C748" s="22" t="s">
        <v>17</v>
      </c>
      <c r="D748" s="22" t="s">
        <v>60</v>
      </c>
      <c r="E748" s="22" t="s">
        <v>2408</v>
      </c>
      <c r="F748" s="23" t="n">
        <v>26037.28</v>
      </c>
      <c r="G748" s="24" t="n">
        <v>1.048</v>
      </c>
      <c r="H748" s="24" t="n">
        <v>0.5864</v>
      </c>
      <c r="I748" s="22" t="s">
        <v>203</v>
      </c>
      <c r="J748" s="22"/>
      <c r="K748" s="23" t="n">
        <v>21209.26</v>
      </c>
      <c r="L748" s="22" t="s">
        <v>204</v>
      </c>
      <c r="M748" s="22" t="s">
        <v>205</v>
      </c>
    </row>
    <row r="749" customFormat="false" ht="15" hidden="false" customHeight="false" outlineLevel="0" collapsed="false">
      <c r="A749" s="22" t="s">
        <v>2409</v>
      </c>
      <c r="B749" s="22" t="s">
        <v>2410</v>
      </c>
      <c r="C749" s="22" t="s">
        <v>15</v>
      </c>
      <c r="D749" s="22" t="s">
        <v>61</v>
      </c>
      <c r="E749" s="22" t="s">
        <v>2411</v>
      </c>
      <c r="F749" s="23" t="n">
        <v>5952.61</v>
      </c>
      <c r="G749" s="24" t="n">
        <v>1.0868</v>
      </c>
      <c r="H749" s="24" t="n">
        <v>0.9597</v>
      </c>
      <c r="I749" s="22" t="s">
        <v>203</v>
      </c>
      <c r="J749" s="22"/>
      <c r="K749" s="23" t="n">
        <v>8215.76</v>
      </c>
      <c r="L749" s="22" t="s">
        <v>204</v>
      </c>
      <c r="M749" s="22" t="s">
        <v>205</v>
      </c>
    </row>
    <row r="750" customFormat="false" ht="15" hidden="false" customHeight="false" outlineLevel="0" collapsed="false">
      <c r="A750" s="22" t="s">
        <v>2412</v>
      </c>
      <c r="B750" s="22" t="s">
        <v>2413</v>
      </c>
      <c r="C750" s="22" t="s">
        <v>15</v>
      </c>
      <c r="D750" s="22" t="s">
        <v>58</v>
      </c>
      <c r="E750" s="22" t="s">
        <v>2414</v>
      </c>
      <c r="F750" s="23" t="n">
        <v>71979.45</v>
      </c>
      <c r="G750" s="24" t="n">
        <v>1.2644</v>
      </c>
      <c r="H750" s="24" t="n">
        <v>0.0589</v>
      </c>
      <c r="I750" s="22" t="s">
        <v>203</v>
      </c>
      <c r="J750" s="22"/>
      <c r="K750" s="23" t="n">
        <v>7093.55</v>
      </c>
      <c r="L750" s="22" t="s">
        <v>204</v>
      </c>
      <c r="M750" s="22" t="s">
        <v>205</v>
      </c>
    </row>
    <row r="751" customFormat="false" ht="15" hidden="false" customHeight="false" outlineLevel="0" collapsed="false">
      <c r="A751" s="22" t="s">
        <v>2415</v>
      </c>
      <c r="B751" s="22" t="s">
        <v>2416</v>
      </c>
      <c r="C751" s="22" t="s">
        <v>17</v>
      </c>
      <c r="D751" s="22" t="s">
        <v>61</v>
      </c>
      <c r="E751" s="22" t="s">
        <v>2417</v>
      </c>
      <c r="F751" s="23" t="n">
        <v>2701.17</v>
      </c>
      <c r="G751" s="24" t="n">
        <v>1.1664</v>
      </c>
      <c r="H751" s="24" t="n">
        <v>0.4431</v>
      </c>
      <c r="I751" s="22" t="s">
        <v>203</v>
      </c>
      <c r="J751" s="22"/>
      <c r="K751" s="23" t="n">
        <v>1850.44</v>
      </c>
      <c r="L751" s="22" t="s">
        <v>204</v>
      </c>
      <c r="M751" s="22" t="s">
        <v>205</v>
      </c>
    </row>
    <row r="752" customFormat="false" ht="15" hidden="false" customHeight="false" outlineLevel="0" collapsed="false">
      <c r="A752" s="22" t="s">
        <v>2418</v>
      </c>
      <c r="B752" s="22" t="s">
        <v>2419</v>
      </c>
      <c r="C752" s="22" t="s">
        <v>17</v>
      </c>
      <c r="D752" s="22" t="s">
        <v>58</v>
      </c>
      <c r="E752" s="22" t="s">
        <v>2420</v>
      </c>
      <c r="F752" s="23" t="n">
        <v>32101.8</v>
      </c>
      <c r="G752" s="24" t="n">
        <v>1.234</v>
      </c>
      <c r="H752" s="24" t="n">
        <v>0.2642</v>
      </c>
      <c r="I752" s="22" t="s">
        <v>203</v>
      </c>
      <c r="J752" s="22"/>
      <c r="K752" s="23" t="n">
        <v>13872.41</v>
      </c>
      <c r="L752" s="22" t="s">
        <v>204</v>
      </c>
      <c r="M752" s="22" t="s">
        <v>205</v>
      </c>
    </row>
    <row r="753" customFormat="false" ht="15" hidden="false" customHeight="false" outlineLevel="0" collapsed="false">
      <c r="A753" s="22" t="s">
        <v>2421</v>
      </c>
      <c r="B753" s="22" t="s">
        <v>2422</v>
      </c>
      <c r="C753" s="22" t="s">
        <v>15</v>
      </c>
      <c r="D753" s="22" t="s">
        <v>61</v>
      </c>
      <c r="E753" s="22" t="s">
        <v>2423</v>
      </c>
      <c r="F753" s="23" t="n">
        <v>5100.53</v>
      </c>
      <c r="G753" s="24" t="n">
        <v>1.2628</v>
      </c>
      <c r="H753" s="24" t="n">
        <v>0.0814</v>
      </c>
      <c r="I753" s="22" t="s">
        <v>203</v>
      </c>
      <c r="J753" s="22"/>
      <c r="K753" s="23" t="n">
        <v>693.79</v>
      </c>
      <c r="L753" s="22" t="s">
        <v>204</v>
      </c>
      <c r="M753" s="22" t="s">
        <v>205</v>
      </c>
    </row>
    <row r="754" customFormat="false" ht="15" hidden="false" customHeight="false" outlineLevel="0" collapsed="false">
      <c r="A754" s="22" t="s">
        <v>2424</v>
      </c>
      <c r="B754" s="22" t="s">
        <v>2425</v>
      </c>
      <c r="C754" s="22" t="s">
        <v>15</v>
      </c>
      <c r="D754" s="22" t="s">
        <v>60</v>
      </c>
      <c r="E754" s="22" t="s">
        <v>2426</v>
      </c>
      <c r="F754" s="23" t="n">
        <v>15022.02</v>
      </c>
      <c r="G754" s="24" t="n">
        <v>1.2458</v>
      </c>
      <c r="H754" s="24" t="n">
        <v>0.2774</v>
      </c>
      <c r="I754" s="22" t="s">
        <v>203</v>
      </c>
      <c r="J754" s="22"/>
      <c r="K754" s="23" t="n">
        <v>6869.71</v>
      </c>
      <c r="L754" s="22" t="s">
        <v>204</v>
      </c>
      <c r="M754" s="22" t="s">
        <v>205</v>
      </c>
    </row>
    <row r="755" customFormat="false" ht="15" hidden="false" customHeight="false" outlineLevel="0" collapsed="false">
      <c r="A755" s="22" t="s">
        <v>2427</v>
      </c>
      <c r="B755" s="22" t="s">
        <v>2428</v>
      </c>
      <c r="C755" s="22" t="s">
        <v>17</v>
      </c>
      <c r="D755" s="22" t="s">
        <v>61</v>
      </c>
      <c r="E755" s="22" t="s">
        <v>2429</v>
      </c>
      <c r="F755" s="23" t="n">
        <v>8397.66</v>
      </c>
      <c r="G755" s="24" t="n">
        <v>1.0932</v>
      </c>
      <c r="H755" s="24" t="n">
        <v>0.5499</v>
      </c>
      <c r="I755" s="22" t="s">
        <v>203</v>
      </c>
      <c r="J755" s="22"/>
      <c r="K755" s="23" t="n">
        <v>6691.39</v>
      </c>
      <c r="L755" s="22" t="s">
        <v>204</v>
      </c>
      <c r="M755" s="22" t="s">
        <v>205</v>
      </c>
    </row>
    <row r="756" customFormat="false" ht="15" hidden="false" customHeight="false" outlineLevel="0" collapsed="false">
      <c r="A756" s="22" t="s">
        <v>2430</v>
      </c>
      <c r="B756" s="22" t="s">
        <v>2431</v>
      </c>
      <c r="C756" s="22" t="s">
        <v>19</v>
      </c>
      <c r="D756" s="22" t="s">
        <v>60</v>
      </c>
      <c r="E756" s="22" t="s">
        <v>2432</v>
      </c>
      <c r="F756" s="23" t="n">
        <v>12009.04</v>
      </c>
      <c r="G756" s="24" t="n">
        <v>1.0421</v>
      </c>
      <c r="H756" s="24" t="n">
        <v>0.884</v>
      </c>
      <c r="I756" s="22" t="s">
        <v>203</v>
      </c>
      <c r="J756" s="22"/>
      <c r="K756" s="23" t="n">
        <v>14776.33</v>
      </c>
      <c r="L756" s="22" t="s">
        <v>204</v>
      </c>
      <c r="M756" s="22" t="s">
        <v>205</v>
      </c>
    </row>
    <row r="757" customFormat="false" ht="15" hidden="false" customHeight="false" outlineLevel="0" collapsed="false">
      <c r="A757" s="22" t="s">
        <v>2433</v>
      </c>
      <c r="B757" s="22" t="s">
        <v>2434</v>
      </c>
      <c r="C757" s="22" t="s">
        <v>17</v>
      </c>
      <c r="D757" s="22" t="s">
        <v>60</v>
      </c>
      <c r="E757" s="22" t="s">
        <v>2435</v>
      </c>
      <c r="F757" s="23" t="n">
        <v>7173.8</v>
      </c>
      <c r="G757" s="24" t="n">
        <v>1.1503</v>
      </c>
      <c r="H757" s="24" t="n">
        <v>0.1838</v>
      </c>
      <c r="I757" s="22" t="s">
        <v>203</v>
      </c>
      <c r="J757" s="22"/>
      <c r="K757" s="23" t="n">
        <v>2010.39</v>
      </c>
      <c r="L757" s="22" t="s">
        <v>204</v>
      </c>
      <c r="M757" s="22" t="s">
        <v>205</v>
      </c>
    </row>
    <row r="758" customFormat="false" ht="15" hidden="false" customHeight="false" outlineLevel="0" collapsed="false">
      <c r="A758" s="22" t="s">
        <v>2436</v>
      </c>
      <c r="B758" s="22" t="s">
        <v>2437</v>
      </c>
      <c r="C758" s="22" t="s">
        <v>17</v>
      </c>
      <c r="D758" s="22" t="s">
        <v>61</v>
      </c>
      <c r="E758" s="22" t="s">
        <v>2438</v>
      </c>
      <c r="F758" s="23" t="n">
        <v>6757.48</v>
      </c>
      <c r="G758" s="24" t="n">
        <v>1.2538</v>
      </c>
      <c r="H758" s="24" t="n">
        <v>0.5251</v>
      </c>
      <c r="I758" s="22" t="s">
        <v>203</v>
      </c>
      <c r="J758" s="22"/>
      <c r="K758" s="23" t="n">
        <v>5896.98</v>
      </c>
      <c r="L758" s="22" t="s">
        <v>204</v>
      </c>
      <c r="M758" s="22" t="s">
        <v>205</v>
      </c>
    </row>
    <row r="759" customFormat="false" ht="15" hidden="false" customHeight="false" outlineLevel="0" collapsed="false">
      <c r="A759" s="22" t="s">
        <v>2439</v>
      </c>
      <c r="B759" s="22" t="s">
        <v>2440</v>
      </c>
      <c r="C759" s="22" t="s">
        <v>15</v>
      </c>
      <c r="D759" s="22" t="s">
        <v>60</v>
      </c>
      <c r="E759" s="22" t="s">
        <v>2441</v>
      </c>
      <c r="F759" s="23" t="n">
        <v>7990.33</v>
      </c>
      <c r="G759" s="24" t="n">
        <v>1.0832</v>
      </c>
      <c r="H759" s="24" t="n">
        <v>0.3482</v>
      </c>
      <c r="I759" s="22" t="s">
        <v>203</v>
      </c>
      <c r="J759" s="22"/>
      <c r="K759" s="23" t="n">
        <v>3988.02</v>
      </c>
      <c r="L759" s="22" t="s">
        <v>204</v>
      </c>
      <c r="M759" s="22" t="s">
        <v>205</v>
      </c>
    </row>
    <row r="760" customFormat="false" ht="15" hidden="false" customHeight="false" outlineLevel="0" collapsed="false">
      <c r="A760" s="22" t="s">
        <v>2442</v>
      </c>
      <c r="B760" s="22" t="s">
        <v>2443</v>
      </c>
      <c r="C760" s="22" t="s">
        <v>17</v>
      </c>
      <c r="D760" s="22" t="s">
        <v>59</v>
      </c>
      <c r="E760" s="22" t="s">
        <v>2444</v>
      </c>
      <c r="F760" s="23" t="n">
        <v>146208.22</v>
      </c>
      <c r="G760" s="24" t="n">
        <v>1.0207</v>
      </c>
      <c r="H760" s="24" t="n">
        <v>0.0907</v>
      </c>
      <c r="I760" s="22" t="s">
        <v>203</v>
      </c>
      <c r="J760" s="22"/>
      <c r="K760" s="23" t="n">
        <v>17941.22</v>
      </c>
      <c r="L760" s="22" t="s">
        <v>204</v>
      </c>
      <c r="M760" s="22" t="s">
        <v>205</v>
      </c>
    </row>
    <row r="761" customFormat="false" ht="15" hidden="false" customHeight="false" outlineLevel="0" collapsed="false">
      <c r="A761" s="22" t="s">
        <v>2445</v>
      </c>
      <c r="B761" s="22" t="s">
        <v>2446</v>
      </c>
      <c r="C761" s="22" t="s">
        <v>15</v>
      </c>
      <c r="D761" s="22" t="s">
        <v>59</v>
      </c>
      <c r="E761" s="22" t="s">
        <v>2447</v>
      </c>
      <c r="F761" s="23" t="n">
        <v>55498.48</v>
      </c>
      <c r="G761" s="24" t="n">
        <v>1.2533</v>
      </c>
      <c r="H761" s="24" t="n">
        <v>0.9232</v>
      </c>
      <c r="I761" s="22" t="s">
        <v>203</v>
      </c>
      <c r="J761" s="22"/>
      <c r="K761" s="23" t="n">
        <v>84974.22</v>
      </c>
      <c r="L761" s="22" t="s">
        <v>204</v>
      </c>
      <c r="M761" s="22" t="s">
        <v>205</v>
      </c>
    </row>
    <row r="762" customFormat="false" ht="15" hidden="false" customHeight="false" outlineLevel="0" collapsed="false">
      <c r="A762" s="22" t="s">
        <v>2448</v>
      </c>
      <c r="B762" s="22" t="s">
        <v>2449</v>
      </c>
      <c r="C762" s="22" t="s">
        <v>17</v>
      </c>
      <c r="D762" s="22" t="s">
        <v>60</v>
      </c>
      <c r="E762" s="22" t="s">
        <v>2450</v>
      </c>
      <c r="F762" s="23" t="n">
        <v>11590.24</v>
      </c>
      <c r="G762" s="24" t="n">
        <v>1.0301</v>
      </c>
      <c r="H762" s="24" t="n">
        <v>0.4371</v>
      </c>
      <c r="I762" s="22" t="s">
        <v>203</v>
      </c>
      <c r="J762" s="22"/>
      <c r="K762" s="23" t="n">
        <v>6917.15</v>
      </c>
      <c r="L762" s="22" t="s">
        <v>204</v>
      </c>
      <c r="M762" s="22" t="s">
        <v>205</v>
      </c>
    </row>
    <row r="763" customFormat="false" ht="15" hidden="false" customHeight="false" outlineLevel="0" collapsed="false">
      <c r="A763" s="22" t="s">
        <v>2451</v>
      </c>
      <c r="B763" s="22" t="s">
        <v>2452</v>
      </c>
      <c r="C763" s="22" t="s">
        <v>17</v>
      </c>
      <c r="D763" s="22" t="s">
        <v>58</v>
      </c>
      <c r="E763" s="22" t="s">
        <v>1909</v>
      </c>
      <c r="F763" s="23" t="n">
        <v>71047.83</v>
      </c>
      <c r="G763" s="24" t="n">
        <v>1.0687</v>
      </c>
      <c r="H763" s="24" t="n">
        <v>0.2036</v>
      </c>
      <c r="I763" s="22" t="s">
        <v>203</v>
      </c>
      <c r="J763" s="22"/>
      <c r="K763" s="23" t="n">
        <v>20490.81</v>
      </c>
      <c r="L763" s="22" t="s">
        <v>204</v>
      </c>
      <c r="M763" s="22" t="s">
        <v>205</v>
      </c>
    </row>
    <row r="764" customFormat="false" ht="15" hidden="false" customHeight="false" outlineLevel="0" collapsed="false">
      <c r="A764" s="22" t="s">
        <v>2453</v>
      </c>
      <c r="B764" s="22" t="s">
        <v>2454</v>
      </c>
      <c r="C764" s="22" t="s">
        <v>17</v>
      </c>
      <c r="D764" s="22" t="s">
        <v>61</v>
      </c>
      <c r="E764" s="22" t="s">
        <v>2455</v>
      </c>
      <c r="F764" s="23" t="n">
        <v>8808.16</v>
      </c>
      <c r="G764" s="24" t="n">
        <v>1.1972</v>
      </c>
      <c r="H764" s="24" t="n">
        <v>0.8306</v>
      </c>
      <c r="I764" s="22" t="s">
        <v>203</v>
      </c>
      <c r="J764" s="22"/>
      <c r="K764" s="23" t="n">
        <v>11609.63</v>
      </c>
      <c r="L764" s="22" t="s">
        <v>204</v>
      </c>
      <c r="M764" s="22" t="s">
        <v>205</v>
      </c>
    </row>
    <row r="765" customFormat="false" ht="15" hidden="false" customHeight="false" outlineLevel="0" collapsed="false">
      <c r="A765" s="22" t="s">
        <v>2456</v>
      </c>
      <c r="B765" s="22" t="s">
        <v>2457</v>
      </c>
      <c r="C765" s="22" t="s">
        <v>17</v>
      </c>
      <c r="D765" s="22" t="s">
        <v>58</v>
      </c>
      <c r="E765" s="22" t="s">
        <v>2380</v>
      </c>
      <c r="F765" s="23" t="n">
        <v>40479.45</v>
      </c>
      <c r="G765" s="24" t="n">
        <v>1.2954</v>
      </c>
      <c r="H765" s="24" t="n">
        <v>0.9049</v>
      </c>
      <c r="I765" s="22" t="s">
        <v>203</v>
      </c>
      <c r="J765" s="22"/>
      <c r="K765" s="23" t="n">
        <v>62894.66</v>
      </c>
      <c r="L765" s="22" t="s">
        <v>204</v>
      </c>
      <c r="M765" s="22" t="s">
        <v>205</v>
      </c>
    </row>
    <row r="766" customFormat="false" ht="15" hidden="false" customHeight="false" outlineLevel="0" collapsed="false">
      <c r="A766" s="22" t="s">
        <v>2458</v>
      </c>
      <c r="B766" s="22" t="s">
        <v>2459</v>
      </c>
      <c r="C766" s="22" t="s">
        <v>19</v>
      </c>
      <c r="D766" s="22" t="s">
        <v>61</v>
      </c>
      <c r="E766" s="22" t="s">
        <v>2460</v>
      </c>
      <c r="F766" s="23" t="n">
        <v>6318.09</v>
      </c>
      <c r="G766" s="24" t="n">
        <v>1.1981</v>
      </c>
      <c r="H766" s="24" t="n">
        <v>0.3345</v>
      </c>
      <c r="I766" s="22" t="s">
        <v>203</v>
      </c>
      <c r="J766" s="22"/>
      <c r="K766" s="23" t="n">
        <v>3381.98</v>
      </c>
      <c r="L766" s="22" t="s">
        <v>204</v>
      </c>
      <c r="M766" s="22" t="s">
        <v>205</v>
      </c>
    </row>
    <row r="767" customFormat="false" ht="15" hidden="false" customHeight="false" outlineLevel="0" collapsed="false">
      <c r="A767" s="22" t="s">
        <v>2461</v>
      </c>
      <c r="B767" s="22" t="s">
        <v>2462</v>
      </c>
      <c r="C767" s="22" t="s">
        <v>17</v>
      </c>
      <c r="D767" s="22" t="s">
        <v>58</v>
      </c>
      <c r="E767" s="22" t="s">
        <v>2463</v>
      </c>
      <c r="F767" s="23" t="n">
        <v>87470.47</v>
      </c>
      <c r="G767" s="24" t="n">
        <v>1.2073</v>
      </c>
      <c r="H767" s="24" t="n">
        <v>0.3559</v>
      </c>
      <c r="I767" s="22" t="s">
        <v>203</v>
      </c>
      <c r="J767" s="22"/>
      <c r="K767" s="23" t="n">
        <v>49817.2</v>
      </c>
      <c r="L767" s="22" t="s">
        <v>204</v>
      </c>
      <c r="M767" s="22" t="s">
        <v>205</v>
      </c>
    </row>
    <row r="768" customFormat="false" ht="15" hidden="false" customHeight="false" outlineLevel="0" collapsed="false">
      <c r="A768" s="22" t="s">
        <v>2464</v>
      </c>
      <c r="B768" s="22" t="s">
        <v>2465</v>
      </c>
      <c r="C768" s="22" t="s">
        <v>15</v>
      </c>
      <c r="D768" s="22" t="s">
        <v>60</v>
      </c>
      <c r="E768" s="22" t="s">
        <v>2466</v>
      </c>
      <c r="F768" s="23" t="n">
        <v>13064.28</v>
      </c>
      <c r="G768" s="24" t="n">
        <v>1.2416</v>
      </c>
      <c r="H768" s="24" t="n">
        <v>0.7922</v>
      </c>
      <c r="I768" s="22" t="s">
        <v>203</v>
      </c>
      <c r="J768" s="22"/>
      <c r="K768" s="23" t="n">
        <v>17004.24</v>
      </c>
      <c r="L768" s="22" t="s">
        <v>204</v>
      </c>
      <c r="M768" s="22" t="s">
        <v>205</v>
      </c>
    </row>
    <row r="769" customFormat="false" ht="15" hidden="false" customHeight="false" outlineLevel="0" collapsed="false">
      <c r="A769" s="22" t="s">
        <v>2467</v>
      </c>
      <c r="B769" s="22" t="s">
        <v>2468</v>
      </c>
      <c r="C769" s="22" t="s">
        <v>19</v>
      </c>
      <c r="D769" s="22" t="s">
        <v>60</v>
      </c>
      <c r="E769" s="22" t="s">
        <v>2469</v>
      </c>
      <c r="F769" s="23" t="n">
        <v>13624.75</v>
      </c>
      <c r="G769" s="24" t="n">
        <v>1.1234</v>
      </c>
      <c r="H769" s="24" t="n">
        <v>0.955</v>
      </c>
      <c r="I769" s="22" t="s">
        <v>203</v>
      </c>
      <c r="J769" s="22"/>
      <c r="K769" s="23" t="n">
        <v>19523.73</v>
      </c>
      <c r="L769" s="22" t="s">
        <v>204</v>
      </c>
      <c r="M769" s="22" t="s">
        <v>205</v>
      </c>
    </row>
    <row r="770" customFormat="false" ht="15" hidden="false" customHeight="false" outlineLevel="0" collapsed="false">
      <c r="A770" s="22" t="s">
        <v>2470</v>
      </c>
      <c r="B770" s="22" t="s">
        <v>2471</v>
      </c>
      <c r="C770" s="22" t="s">
        <v>19</v>
      </c>
      <c r="D770" s="22" t="s">
        <v>58</v>
      </c>
      <c r="E770" s="22" t="s">
        <v>2472</v>
      </c>
      <c r="F770" s="23" t="n">
        <v>79868.8</v>
      </c>
      <c r="G770" s="24" t="n">
        <v>1.0063</v>
      </c>
      <c r="H770" s="24" t="n">
        <v>0.5867</v>
      </c>
      <c r="I770" s="22" t="s">
        <v>203</v>
      </c>
      <c r="J770" s="22"/>
      <c r="K770" s="23" t="n">
        <v>62982.12</v>
      </c>
      <c r="L770" s="22" t="s">
        <v>204</v>
      </c>
      <c r="M770" s="22" t="s">
        <v>205</v>
      </c>
    </row>
    <row r="771" customFormat="false" ht="15" hidden="false" customHeight="false" outlineLevel="0" collapsed="false">
      <c r="A771" s="22" t="s">
        <v>2473</v>
      </c>
      <c r="B771" s="22" t="s">
        <v>2474</v>
      </c>
      <c r="C771" s="22" t="s">
        <v>19</v>
      </c>
      <c r="D771" s="22" t="s">
        <v>61</v>
      </c>
      <c r="E771" s="22" t="s">
        <v>2475</v>
      </c>
      <c r="F771" s="23" t="n">
        <v>9992.3</v>
      </c>
      <c r="G771" s="24" t="n">
        <v>1.1797</v>
      </c>
      <c r="H771" s="24" t="n">
        <v>0.6207</v>
      </c>
      <c r="I771" s="22" t="s">
        <v>203</v>
      </c>
      <c r="J771" s="22"/>
      <c r="K771" s="23" t="n">
        <v>9772.72</v>
      </c>
      <c r="L771" s="22" t="s">
        <v>204</v>
      </c>
      <c r="M771" s="22" t="s">
        <v>205</v>
      </c>
    </row>
    <row r="772" customFormat="false" ht="15" hidden="false" customHeight="false" outlineLevel="0" collapsed="false">
      <c r="A772" s="22" t="s">
        <v>2476</v>
      </c>
      <c r="B772" s="22" t="s">
        <v>2477</v>
      </c>
      <c r="C772" s="22" t="s">
        <v>15</v>
      </c>
      <c r="D772" s="22" t="s">
        <v>59</v>
      </c>
      <c r="E772" s="22" t="s">
        <v>2478</v>
      </c>
      <c r="F772" s="23" t="n">
        <v>77429.66</v>
      </c>
      <c r="G772" s="24" t="n">
        <v>1.1127</v>
      </c>
      <c r="H772" s="24" t="n">
        <v>0.599</v>
      </c>
      <c r="I772" s="22" t="s">
        <v>203</v>
      </c>
      <c r="J772" s="22"/>
      <c r="K772" s="23" t="n">
        <v>68291.64</v>
      </c>
      <c r="L772" s="22" t="s">
        <v>204</v>
      </c>
      <c r="M772" s="22" t="s">
        <v>205</v>
      </c>
    </row>
    <row r="773" customFormat="false" ht="15" hidden="false" customHeight="false" outlineLevel="0" collapsed="false">
      <c r="A773" s="22" t="s">
        <v>2479</v>
      </c>
      <c r="B773" s="22" t="s">
        <v>2480</v>
      </c>
      <c r="C773" s="22" t="s">
        <v>19</v>
      </c>
      <c r="D773" s="22" t="s">
        <v>58</v>
      </c>
      <c r="E773" s="22" t="s">
        <v>2481</v>
      </c>
      <c r="F773" s="23" t="n">
        <v>44398.07</v>
      </c>
      <c r="G773" s="24" t="n">
        <v>1.2214</v>
      </c>
      <c r="H773" s="24" t="n">
        <v>0.7229</v>
      </c>
      <c r="I773" s="22" t="s">
        <v>203</v>
      </c>
      <c r="J773" s="22"/>
      <c r="K773" s="23" t="n">
        <v>52359.66</v>
      </c>
      <c r="L773" s="22" t="s">
        <v>204</v>
      </c>
      <c r="M773" s="22" t="s">
        <v>205</v>
      </c>
    </row>
    <row r="774" customFormat="false" ht="15" hidden="false" customHeight="false" outlineLevel="0" collapsed="false">
      <c r="A774" s="22" t="s">
        <v>2482</v>
      </c>
      <c r="B774" s="22" t="s">
        <v>2483</v>
      </c>
      <c r="C774" s="22" t="s">
        <v>15</v>
      </c>
      <c r="D774" s="22" t="s">
        <v>58</v>
      </c>
      <c r="E774" s="22" t="s">
        <v>2484</v>
      </c>
      <c r="F774" s="23" t="n">
        <v>63240.1</v>
      </c>
      <c r="G774" s="24" t="n">
        <v>1.2537</v>
      </c>
      <c r="H774" s="24" t="n">
        <v>0.87</v>
      </c>
      <c r="I774" s="22" t="s">
        <v>203</v>
      </c>
      <c r="J774" s="22"/>
      <c r="K774" s="23" t="n">
        <v>91276.86</v>
      </c>
      <c r="L774" s="22" t="s">
        <v>204</v>
      </c>
      <c r="M774" s="22" t="s">
        <v>205</v>
      </c>
    </row>
    <row r="775" customFormat="false" ht="15" hidden="false" customHeight="false" outlineLevel="0" collapsed="false">
      <c r="A775" s="22" t="s">
        <v>2485</v>
      </c>
      <c r="B775" s="22" t="s">
        <v>2486</v>
      </c>
      <c r="C775" s="22" t="s">
        <v>17</v>
      </c>
      <c r="D775" s="22" t="s">
        <v>58</v>
      </c>
      <c r="E775" s="22" t="s">
        <v>2487</v>
      </c>
      <c r="F775" s="23" t="n">
        <v>87134.03</v>
      </c>
      <c r="G775" s="24" t="n">
        <v>1.0585</v>
      </c>
      <c r="H775" s="24" t="n">
        <v>0.2045</v>
      </c>
      <c r="I775" s="22" t="s">
        <v>203</v>
      </c>
      <c r="J775" s="22"/>
      <c r="K775" s="23" t="n">
        <v>25000.38</v>
      </c>
      <c r="L775" s="22" t="s">
        <v>204</v>
      </c>
      <c r="M775" s="22" t="s">
        <v>205</v>
      </c>
    </row>
    <row r="776" customFormat="false" ht="15" hidden="false" customHeight="false" outlineLevel="0" collapsed="false">
      <c r="A776" s="22" t="s">
        <v>2488</v>
      </c>
      <c r="B776" s="22" t="s">
        <v>2489</v>
      </c>
      <c r="C776" s="22" t="s">
        <v>15</v>
      </c>
      <c r="D776" s="22" t="s">
        <v>58</v>
      </c>
      <c r="E776" s="22" t="s">
        <v>2490</v>
      </c>
      <c r="F776" s="23" t="n">
        <v>38465.09</v>
      </c>
      <c r="G776" s="24" t="n">
        <v>1.0945</v>
      </c>
      <c r="H776" s="24" t="n">
        <v>0.673</v>
      </c>
      <c r="I776" s="22" t="s">
        <v>203</v>
      </c>
      <c r="J776" s="22"/>
      <c r="K776" s="23" t="n">
        <v>37493.23</v>
      </c>
      <c r="L776" s="22" t="s">
        <v>204</v>
      </c>
      <c r="M776" s="22" t="s">
        <v>205</v>
      </c>
    </row>
    <row r="777" customFormat="false" ht="15" hidden="false" customHeight="false" outlineLevel="0" collapsed="false">
      <c r="A777" s="22" t="s">
        <v>2491</v>
      </c>
      <c r="B777" s="22" t="s">
        <v>2492</v>
      </c>
      <c r="C777" s="22" t="s">
        <v>17</v>
      </c>
      <c r="D777" s="22" t="s">
        <v>60</v>
      </c>
      <c r="E777" s="22" t="s">
        <v>2493</v>
      </c>
      <c r="F777" s="23" t="n">
        <v>21673.2</v>
      </c>
      <c r="G777" s="24" t="n">
        <v>1.2111</v>
      </c>
      <c r="H777" s="24" t="n">
        <v>0.8882</v>
      </c>
      <c r="I777" s="22" t="s">
        <v>203</v>
      </c>
      <c r="J777" s="22"/>
      <c r="K777" s="23" t="n">
        <v>30902.14</v>
      </c>
      <c r="L777" s="22" t="s">
        <v>204</v>
      </c>
      <c r="M777" s="22" t="s">
        <v>205</v>
      </c>
    </row>
    <row r="778" customFormat="false" ht="15" hidden="false" customHeight="false" outlineLevel="0" collapsed="false">
      <c r="A778" s="22" t="s">
        <v>2494</v>
      </c>
      <c r="B778" s="22" t="s">
        <v>2495</v>
      </c>
      <c r="C778" s="22" t="s">
        <v>17</v>
      </c>
      <c r="D778" s="22" t="s">
        <v>60</v>
      </c>
      <c r="E778" s="22" t="s">
        <v>2496</v>
      </c>
      <c r="F778" s="23" t="n">
        <v>27925.26</v>
      </c>
      <c r="G778" s="24" t="n">
        <v>1.2369</v>
      </c>
      <c r="H778" s="24" t="n">
        <v>0.0614</v>
      </c>
      <c r="I778" s="22" t="s">
        <v>203</v>
      </c>
      <c r="J778" s="22"/>
      <c r="K778" s="23" t="n">
        <v>2811.09</v>
      </c>
      <c r="L778" s="22" t="s">
        <v>204</v>
      </c>
      <c r="M778" s="22" t="s">
        <v>205</v>
      </c>
    </row>
    <row r="779" customFormat="false" ht="15" hidden="false" customHeight="false" outlineLevel="0" collapsed="false">
      <c r="A779" s="22" t="s">
        <v>2497</v>
      </c>
      <c r="B779" s="22" t="s">
        <v>2498</v>
      </c>
      <c r="C779" s="22" t="s">
        <v>17</v>
      </c>
      <c r="D779" s="22" t="s">
        <v>61</v>
      </c>
      <c r="E779" s="22" t="s">
        <v>2499</v>
      </c>
      <c r="F779" s="23" t="n">
        <v>6208.49</v>
      </c>
      <c r="G779" s="24" t="n">
        <v>1.076</v>
      </c>
      <c r="H779" s="24" t="n">
        <v>0.7284</v>
      </c>
      <c r="I779" s="22" t="s">
        <v>203</v>
      </c>
      <c r="J779" s="22"/>
      <c r="K779" s="23" t="n">
        <v>6449.75</v>
      </c>
      <c r="L779" s="22" t="s">
        <v>204</v>
      </c>
      <c r="M779" s="22" t="s">
        <v>205</v>
      </c>
    </row>
    <row r="780" customFormat="false" ht="15" hidden="false" customHeight="false" outlineLevel="0" collapsed="false">
      <c r="A780" s="22" t="s">
        <v>2500</v>
      </c>
      <c r="B780" s="22" t="s">
        <v>2501</v>
      </c>
      <c r="C780" s="22" t="s">
        <v>19</v>
      </c>
      <c r="D780" s="22" t="s">
        <v>60</v>
      </c>
      <c r="E780" s="22" t="s">
        <v>2502</v>
      </c>
      <c r="F780" s="23" t="n">
        <v>23000.05</v>
      </c>
      <c r="G780" s="24" t="n">
        <v>1.142</v>
      </c>
      <c r="H780" s="24" t="n">
        <v>0.593</v>
      </c>
      <c r="I780" s="22" t="s">
        <v>203</v>
      </c>
      <c r="J780" s="22"/>
      <c r="K780" s="23" t="n">
        <v>20803.97</v>
      </c>
      <c r="L780" s="22" t="s">
        <v>204</v>
      </c>
      <c r="M780" s="22" t="s">
        <v>205</v>
      </c>
    </row>
    <row r="781" customFormat="false" ht="15" hidden="false" customHeight="false" outlineLevel="0" collapsed="false">
      <c r="A781" s="22" t="s">
        <v>2503</v>
      </c>
      <c r="B781" s="22" t="s">
        <v>2504</v>
      </c>
      <c r="C781" s="22" t="s">
        <v>17</v>
      </c>
      <c r="D781" s="22" t="s">
        <v>61</v>
      </c>
      <c r="E781" s="22" t="s">
        <v>2505</v>
      </c>
      <c r="F781" s="23" t="n">
        <v>8788.23</v>
      </c>
      <c r="G781" s="24" t="n">
        <v>1.1551</v>
      </c>
      <c r="H781" s="24" t="n">
        <v>0.3418</v>
      </c>
      <c r="I781" s="22" t="s">
        <v>203</v>
      </c>
      <c r="J781" s="22"/>
      <c r="K781" s="23" t="n">
        <v>4599.05</v>
      </c>
      <c r="L781" s="22" t="s">
        <v>204</v>
      </c>
      <c r="M781" s="22" t="s">
        <v>205</v>
      </c>
    </row>
    <row r="782" customFormat="false" ht="15" hidden="false" customHeight="false" outlineLevel="0" collapsed="false">
      <c r="A782" s="22" t="s">
        <v>2506</v>
      </c>
      <c r="B782" s="22" t="s">
        <v>2507</v>
      </c>
      <c r="C782" s="22" t="s">
        <v>15</v>
      </c>
      <c r="D782" s="22" t="s">
        <v>60</v>
      </c>
      <c r="E782" s="22" t="s">
        <v>2162</v>
      </c>
      <c r="F782" s="23" t="n">
        <v>28924.89</v>
      </c>
      <c r="G782" s="24" t="n">
        <v>1.1412</v>
      </c>
      <c r="H782" s="24" t="n">
        <v>0.4878</v>
      </c>
      <c r="I782" s="22" t="s">
        <v>203</v>
      </c>
      <c r="J782" s="22"/>
      <c r="K782" s="23" t="n">
        <v>21307.4</v>
      </c>
      <c r="L782" s="22" t="s">
        <v>204</v>
      </c>
      <c r="M782" s="22" t="s">
        <v>205</v>
      </c>
    </row>
    <row r="783" customFormat="false" ht="15" hidden="false" customHeight="false" outlineLevel="0" collapsed="false">
      <c r="A783" s="22" t="s">
        <v>2508</v>
      </c>
      <c r="B783" s="22" t="s">
        <v>2509</v>
      </c>
      <c r="C783" s="22" t="s">
        <v>15</v>
      </c>
      <c r="D783" s="22" t="s">
        <v>58</v>
      </c>
      <c r="E783" s="22" t="s">
        <v>2510</v>
      </c>
      <c r="F783" s="23" t="n">
        <v>84259.21</v>
      </c>
      <c r="G783" s="24" t="n">
        <v>1.0481</v>
      </c>
      <c r="H783" s="24" t="n">
        <v>0.6317</v>
      </c>
      <c r="I783" s="22" t="s">
        <v>203</v>
      </c>
      <c r="J783" s="22"/>
      <c r="K783" s="23" t="n">
        <v>73822.08</v>
      </c>
      <c r="L783" s="22" t="s">
        <v>204</v>
      </c>
      <c r="M783" s="22" t="s">
        <v>205</v>
      </c>
    </row>
    <row r="784" customFormat="false" ht="15" hidden="false" customHeight="false" outlineLevel="0" collapsed="false">
      <c r="A784" s="22" t="s">
        <v>2511</v>
      </c>
      <c r="B784" s="22" t="s">
        <v>2512</v>
      </c>
      <c r="C784" s="22" t="s">
        <v>21</v>
      </c>
      <c r="D784" s="22" t="s">
        <v>58</v>
      </c>
      <c r="E784" s="22" t="s">
        <v>2513</v>
      </c>
      <c r="F784" s="23" t="n">
        <v>45947.36</v>
      </c>
      <c r="G784" s="24" t="n">
        <v>1.1575</v>
      </c>
      <c r="H784" s="24" t="n">
        <v>0.3087</v>
      </c>
      <c r="I784" s="22" t="s">
        <v>203</v>
      </c>
      <c r="J784" s="22"/>
      <c r="K784" s="23" t="n">
        <v>20877.31</v>
      </c>
      <c r="L784" s="22" t="s">
        <v>204</v>
      </c>
      <c r="M784" s="22" t="s">
        <v>205</v>
      </c>
    </row>
    <row r="785" customFormat="false" ht="15" hidden="false" customHeight="false" outlineLevel="0" collapsed="false">
      <c r="A785" s="22" t="s">
        <v>2514</v>
      </c>
      <c r="B785" s="22" t="s">
        <v>2515</v>
      </c>
      <c r="C785" s="22" t="s">
        <v>21</v>
      </c>
      <c r="D785" s="22" t="s">
        <v>60</v>
      </c>
      <c r="E785" s="22" t="s">
        <v>2516</v>
      </c>
      <c r="F785" s="23" t="n">
        <v>10548.99</v>
      </c>
      <c r="G785" s="24" t="n">
        <v>1.0061</v>
      </c>
      <c r="H785" s="24" t="n">
        <v>0.494</v>
      </c>
      <c r="I785" s="22" t="s">
        <v>203</v>
      </c>
      <c r="J785" s="22"/>
      <c r="K785" s="23" t="n">
        <v>6667.08</v>
      </c>
      <c r="L785" s="22" t="s">
        <v>204</v>
      </c>
      <c r="M785" s="22" t="s">
        <v>205</v>
      </c>
    </row>
    <row r="786" customFormat="false" ht="15" hidden="false" customHeight="false" outlineLevel="0" collapsed="false">
      <c r="A786" s="22" t="s">
        <v>2517</v>
      </c>
      <c r="B786" s="22" t="s">
        <v>2518</v>
      </c>
      <c r="C786" s="22" t="s">
        <v>15</v>
      </c>
      <c r="D786" s="22" t="s">
        <v>58</v>
      </c>
      <c r="E786" s="22" t="s">
        <v>1493</v>
      </c>
      <c r="F786" s="23" t="n">
        <v>39391.89</v>
      </c>
      <c r="G786" s="24" t="n">
        <v>1.1749</v>
      </c>
      <c r="H786" s="24" t="n">
        <v>0.6015</v>
      </c>
      <c r="I786" s="22" t="s">
        <v>203</v>
      </c>
      <c r="J786" s="22"/>
      <c r="K786" s="23" t="n">
        <v>36838.22</v>
      </c>
      <c r="L786" s="22" t="s">
        <v>204</v>
      </c>
      <c r="M786" s="22" t="s">
        <v>205</v>
      </c>
    </row>
    <row r="787" customFormat="false" ht="15" hidden="false" customHeight="false" outlineLevel="0" collapsed="false">
      <c r="A787" s="22" t="s">
        <v>2519</v>
      </c>
      <c r="B787" s="22" t="s">
        <v>2520</v>
      </c>
      <c r="C787" s="22" t="s">
        <v>15</v>
      </c>
      <c r="D787" s="22" t="s">
        <v>60</v>
      </c>
      <c r="E787" s="22" t="s">
        <v>2521</v>
      </c>
      <c r="F787" s="23" t="n">
        <v>10733.46</v>
      </c>
      <c r="G787" s="24" t="n">
        <v>1.0469</v>
      </c>
      <c r="H787" s="24" t="n">
        <v>0.3395</v>
      </c>
      <c r="I787" s="22" t="s">
        <v>203</v>
      </c>
      <c r="J787" s="22"/>
      <c r="K787" s="23" t="n">
        <v>5048.24</v>
      </c>
      <c r="L787" s="22" t="s">
        <v>204</v>
      </c>
      <c r="M787" s="22" t="s">
        <v>205</v>
      </c>
    </row>
    <row r="788" customFormat="false" ht="15" hidden="false" customHeight="false" outlineLevel="0" collapsed="false">
      <c r="A788" s="22" t="s">
        <v>2522</v>
      </c>
      <c r="B788" s="22" t="s">
        <v>2523</v>
      </c>
      <c r="C788" s="22" t="s">
        <v>15</v>
      </c>
      <c r="D788" s="22" t="s">
        <v>61</v>
      </c>
      <c r="E788" s="22" t="s">
        <v>2460</v>
      </c>
      <c r="F788" s="23" t="n">
        <v>6282.06</v>
      </c>
      <c r="G788" s="24" t="n">
        <v>1.2964</v>
      </c>
      <c r="H788" s="24" t="n">
        <v>0.3345</v>
      </c>
      <c r="I788" s="22" t="s">
        <v>203</v>
      </c>
      <c r="J788" s="22"/>
      <c r="K788" s="23" t="n">
        <v>3604.89</v>
      </c>
      <c r="L788" s="22" t="s">
        <v>204</v>
      </c>
      <c r="M788" s="22" t="s">
        <v>205</v>
      </c>
    </row>
    <row r="789" customFormat="false" ht="15" hidden="false" customHeight="false" outlineLevel="0" collapsed="false">
      <c r="A789" s="22" t="s">
        <v>2524</v>
      </c>
      <c r="B789" s="22" t="s">
        <v>2525</v>
      </c>
      <c r="C789" s="22" t="s">
        <v>19</v>
      </c>
      <c r="D789" s="22" t="s">
        <v>60</v>
      </c>
      <c r="E789" s="22" t="s">
        <v>2070</v>
      </c>
      <c r="F789" s="23" t="n">
        <v>22831.92</v>
      </c>
      <c r="G789" s="24" t="n">
        <v>1.2134</v>
      </c>
      <c r="H789" s="24" t="n">
        <v>0.8729</v>
      </c>
      <c r="I789" s="22" t="s">
        <v>203</v>
      </c>
      <c r="J789" s="22"/>
      <c r="K789" s="23" t="n">
        <v>32300.37</v>
      </c>
      <c r="L789" s="22" t="s">
        <v>204</v>
      </c>
      <c r="M789" s="22" t="s">
        <v>205</v>
      </c>
    </row>
    <row r="790" customFormat="false" ht="15" hidden="false" customHeight="false" outlineLevel="0" collapsed="false">
      <c r="A790" s="22" t="s">
        <v>2526</v>
      </c>
      <c r="B790" s="22" t="s">
        <v>2527</v>
      </c>
      <c r="C790" s="22" t="s">
        <v>17</v>
      </c>
      <c r="D790" s="22" t="s">
        <v>61</v>
      </c>
      <c r="E790" s="22" t="s">
        <v>2528</v>
      </c>
      <c r="F790" s="23" t="n">
        <v>5721.06</v>
      </c>
      <c r="G790" s="24" t="n">
        <v>1.247</v>
      </c>
      <c r="H790" s="24" t="n">
        <v>0.7142</v>
      </c>
      <c r="I790" s="22" t="s">
        <v>203</v>
      </c>
      <c r="J790" s="22"/>
      <c r="K790" s="23" t="n">
        <v>6753.63</v>
      </c>
      <c r="L790" s="22" t="s">
        <v>204</v>
      </c>
      <c r="M790" s="22" t="s">
        <v>205</v>
      </c>
    </row>
    <row r="791" customFormat="false" ht="15" hidden="false" customHeight="false" outlineLevel="0" collapsed="false">
      <c r="A791" s="22" t="s">
        <v>2529</v>
      </c>
      <c r="B791" s="22" t="s">
        <v>2530</v>
      </c>
      <c r="C791" s="22" t="s">
        <v>17</v>
      </c>
      <c r="D791" s="22" t="s">
        <v>60</v>
      </c>
      <c r="E791" s="22" t="s">
        <v>2531</v>
      </c>
      <c r="F791" s="23" t="n">
        <v>31242.94</v>
      </c>
      <c r="G791" s="24" t="n">
        <v>1.0877</v>
      </c>
      <c r="H791" s="24" t="n">
        <v>0.1558</v>
      </c>
      <c r="I791" s="22" t="s">
        <v>203</v>
      </c>
      <c r="J791" s="22"/>
      <c r="K791" s="23" t="n">
        <v>7017.84</v>
      </c>
      <c r="L791" s="22" t="s">
        <v>204</v>
      </c>
      <c r="M791" s="22" t="s">
        <v>205</v>
      </c>
    </row>
    <row r="792" customFormat="false" ht="15" hidden="false" customHeight="false" outlineLevel="0" collapsed="false">
      <c r="A792" s="22" t="s">
        <v>2532</v>
      </c>
      <c r="B792" s="22" t="s">
        <v>2533</v>
      </c>
      <c r="C792" s="22" t="s">
        <v>17</v>
      </c>
      <c r="D792" s="22" t="s">
        <v>60</v>
      </c>
      <c r="E792" s="22" t="s">
        <v>2534</v>
      </c>
      <c r="F792" s="23" t="n">
        <v>10036.18</v>
      </c>
      <c r="G792" s="24" t="n">
        <v>1.2738</v>
      </c>
      <c r="H792" s="24" t="n">
        <v>0.6116</v>
      </c>
      <c r="I792" s="22" t="s">
        <v>203</v>
      </c>
      <c r="J792" s="22"/>
      <c r="K792" s="23" t="n">
        <v>10363.63</v>
      </c>
      <c r="L792" s="22" t="s">
        <v>204</v>
      </c>
      <c r="M792" s="22" t="s">
        <v>205</v>
      </c>
    </row>
    <row r="793" customFormat="false" ht="15" hidden="false" customHeight="false" outlineLevel="0" collapsed="false">
      <c r="A793" s="22" t="s">
        <v>2535</v>
      </c>
      <c r="B793" s="22" t="s">
        <v>2536</v>
      </c>
      <c r="C793" s="22" t="s">
        <v>15</v>
      </c>
      <c r="D793" s="22" t="s">
        <v>60</v>
      </c>
      <c r="E793" s="22" t="s">
        <v>2537</v>
      </c>
      <c r="F793" s="23" t="n">
        <v>30872.86</v>
      </c>
      <c r="G793" s="24" t="n">
        <v>1.1665</v>
      </c>
      <c r="H793" s="24" t="n">
        <v>0.8557</v>
      </c>
      <c r="I793" s="22" t="s">
        <v>203</v>
      </c>
      <c r="J793" s="22"/>
      <c r="K793" s="23" t="n">
        <v>40779.17</v>
      </c>
      <c r="L793" s="22" t="s">
        <v>204</v>
      </c>
      <c r="M793" s="22" t="s">
        <v>205</v>
      </c>
    </row>
    <row r="794" customFormat="false" ht="15" hidden="false" customHeight="false" outlineLevel="0" collapsed="false">
      <c r="A794" s="22" t="s">
        <v>2538</v>
      </c>
      <c r="B794" s="22" t="s">
        <v>2539</v>
      </c>
      <c r="C794" s="22" t="s">
        <v>15</v>
      </c>
      <c r="D794" s="22" t="s">
        <v>60</v>
      </c>
      <c r="E794" s="22" t="s">
        <v>2540</v>
      </c>
      <c r="F794" s="23" t="n">
        <v>28237.79</v>
      </c>
      <c r="G794" s="24" t="n">
        <v>1.0253</v>
      </c>
      <c r="H794" s="24" t="n">
        <v>0.7487</v>
      </c>
      <c r="I794" s="22" t="s">
        <v>203</v>
      </c>
      <c r="J794" s="22"/>
      <c r="K794" s="23" t="n">
        <v>28684.33</v>
      </c>
      <c r="L794" s="22" t="s">
        <v>204</v>
      </c>
      <c r="M794" s="22" t="s">
        <v>205</v>
      </c>
    </row>
    <row r="795" customFormat="false" ht="15" hidden="false" customHeight="false" outlineLevel="0" collapsed="false">
      <c r="A795" s="22" t="s">
        <v>2541</v>
      </c>
      <c r="B795" s="22" t="s">
        <v>2542</v>
      </c>
      <c r="C795" s="22" t="s">
        <v>15</v>
      </c>
      <c r="D795" s="22" t="s">
        <v>58</v>
      </c>
      <c r="E795" s="22" t="s">
        <v>2543</v>
      </c>
      <c r="F795" s="23" t="n">
        <v>65063.34</v>
      </c>
      <c r="G795" s="24" t="n">
        <v>1.0477</v>
      </c>
      <c r="H795" s="24" t="n">
        <v>0.8237</v>
      </c>
      <c r="I795" s="22" t="s">
        <v>203</v>
      </c>
      <c r="J795" s="22"/>
      <c r="K795" s="23" t="n">
        <v>74301.51</v>
      </c>
      <c r="L795" s="22" t="s">
        <v>204</v>
      </c>
      <c r="M795" s="22" t="s">
        <v>205</v>
      </c>
    </row>
    <row r="796" customFormat="false" ht="15" hidden="false" customHeight="false" outlineLevel="0" collapsed="false">
      <c r="A796" s="22" t="s">
        <v>2544</v>
      </c>
      <c r="B796" s="22" t="s">
        <v>2545</v>
      </c>
      <c r="C796" s="22" t="s">
        <v>19</v>
      </c>
      <c r="D796" s="22" t="s">
        <v>59</v>
      </c>
      <c r="E796" s="22" t="s">
        <v>2546</v>
      </c>
      <c r="F796" s="23" t="n">
        <v>165031.46</v>
      </c>
      <c r="G796" s="24" t="n">
        <v>1.055</v>
      </c>
      <c r="H796" s="24" t="n">
        <v>0.8658</v>
      </c>
      <c r="I796" s="22" t="s">
        <v>203</v>
      </c>
      <c r="J796" s="22"/>
      <c r="K796" s="23" t="n">
        <v>201341.52</v>
      </c>
      <c r="L796" s="22" t="s">
        <v>204</v>
      </c>
      <c r="M796" s="22" t="s">
        <v>205</v>
      </c>
    </row>
    <row r="797" customFormat="false" ht="15" hidden="false" customHeight="false" outlineLevel="0" collapsed="false">
      <c r="A797" s="22" t="s">
        <v>2547</v>
      </c>
      <c r="B797" s="22" t="s">
        <v>2548</v>
      </c>
      <c r="C797" s="22" t="s">
        <v>15</v>
      </c>
      <c r="D797" s="22" t="s">
        <v>58</v>
      </c>
      <c r="E797" s="22" t="s">
        <v>2549</v>
      </c>
      <c r="F797" s="23" t="n">
        <v>41552.6</v>
      </c>
      <c r="G797" s="24" t="n">
        <v>1.0696</v>
      </c>
      <c r="H797" s="24" t="n">
        <v>0.6548</v>
      </c>
      <c r="I797" s="22" t="s">
        <v>203</v>
      </c>
      <c r="J797" s="22"/>
      <c r="K797" s="23" t="n">
        <v>38510.89</v>
      </c>
      <c r="L797" s="22" t="s">
        <v>204</v>
      </c>
      <c r="M797" s="22" t="s">
        <v>205</v>
      </c>
    </row>
    <row r="798" customFormat="false" ht="15" hidden="false" customHeight="false" outlineLevel="0" collapsed="false">
      <c r="A798" s="22" t="s">
        <v>2550</v>
      </c>
      <c r="B798" s="22" t="s">
        <v>2551</v>
      </c>
      <c r="C798" s="22" t="s">
        <v>15</v>
      </c>
      <c r="D798" s="22" t="s">
        <v>60</v>
      </c>
      <c r="E798" s="22" t="s">
        <v>2552</v>
      </c>
      <c r="F798" s="23" t="n">
        <v>25243.07</v>
      </c>
      <c r="G798" s="24" t="n">
        <v>1.0014</v>
      </c>
      <c r="H798" s="24" t="n">
        <v>0.0158</v>
      </c>
      <c r="I798" s="22" t="s">
        <v>203</v>
      </c>
      <c r="J798" s="22"/>
      <c r="K798" s="23" t="n">
        <v>528.52</v>
      </c>
      <c r="L798" s="22" t="s">
        <v>204</v>
      </c>
      <c r="M798" s="22" t="s">
        <v>205</v>
      </c>
    </row>
    <row r="799" customFormat="false" ht="15" hidden="false" customHeight="false" outlineLevel="0" collapsed="false">
      <c r="A799" s="22" t="s">
        <v>2553</v>
      </c>
      <c r="B799" s="22" t="s">
        <v>2554</v>
      </c>
      <c r="C799" s="22" t="s">
        <v>15</v>
      </c>
      <c r="D799" s="22" t="s">
        <v>59</v>
      </c>
      <c r="E799" s="22" t="s">
        <v>2555</v>
      </c>
      <c r="F799" s="23" t="n">
        <v>161209.24</v>
      </c>
      <c r="G799" s="24" t="n">
        <v>1.2948</v>
      </c>
      <c r="H799" s="24" t="n">
        <v>0.6389</v>
      </c>
      <c r="I799" s="22" t="s">
        <v>203</v>
      </c>
      <c r="J799" s="22"/>
      <c r="K799" s="23" t="n">
        <v>176474.02</v>
      </c>
      <c r="L799" s="22" t="s">
        <v>204</v>
      </c>
      <c r="M799" s="22" t="s">
        <v>205</v>
      </c>
    </row>
    <row r="800" customFormat="false" ht="15" hidden="false" customHeight="false" outlineLevel="0" collapsed="false">
      <c r="A800" s="22" t="s">
        <v>2556</v>
      </c>
      <c r="B800" s="22" t="s">
        <v>2557</v>
      </c>
      <c r="C800" s="22" t="s">
        <v>15</v>
      </c>
      <c r="D800" s="22" t="s">
        <v>58</v>
      </c>
      <c r="E800" s="22" t="s">
        <v>2558</v>
      </c>
      <c r="F800" s="23" t="n">
        <v>89784.82</v>
      </c>
      <c r="G800" s="24" t="n">
        <v>1.018</v>
      </c>
      <c r="H800" s="24" t="n">
        <v>0.3734</v>
      </c>
      <c r="I800" s="22" t="s">
        <v>203</v>
      </c>
      <c r="J800" s="22"/>
      <c r="K800" s="23" t="n">
        <v>45162.74</v>
      </c>
      <c r="L800" s="22" t="s">
        <v>204</v>
      </c>
      <c r="M800" s="22" t="s">
        <v>205</v>
      </c>
    </row>
    <row r="801" customFormat="false" ht="15" hidden="false" customHeight="false" outlineLevel="0" collapsed="false">
      <c r="A801" s="22" t="s">
        <v>2559</v>
      </c>
      <c r="B801" s="22" t="s">
        <v>2560</v>
      </c>
      <c r="C801" s="22" t="s">
        <v>15</v>
      </c>
      <c r="D801" s="22" t="s">
        <v>62</v>
      </c>
      <c r="E801" s="22" t="s">
        <v>2561</v>
      </c>
      <c r="F801" s="23" t="n">
        <v>1937151.19</v>
      </c>
      <c r="G801" s="24" t="n">
        <v>1.037</v>
      </c>
      <c r="H801" s="24" t="n">
        <v>0.441</v>
      </c>
      <c r="I801" s="22" t="s">
        <v>203</v>
      </c>
      <c r="J801" s="22"/>
      <c r="K801" s="23" t="n">
        <v>1172292.9</v>
      </c>
      <c r="L801" s="22" t="s">
        <v>204</v>
      </c>
      <c r="M801" s="22" t="s">
        <v>205</v>
      </c>
    </row>
    <row r="802" customFormat="false" ht="15" hidden="false" customHeight="false" outlineLevel="0" collapsed="false">
      <c r="A802" s="22" t="s">
        <v>2562</v>
      </c>
      <c r="B802" s="22" t="s">
        <v>2563</v>
      </c>
      <c r="C802" s="22" t="s">
        <v>19</v>
      </c>
      <c r="D802" s="22" t="s">
        <v>61</v>
      </c>
      <c r="E802" s="22" t="s">
        <v>2564</v>
      </c>
      <c r="F802" s="23" t="n">
        <v>9539.23</v>
      </c>
      <c r="G802" s="24" t="n">
        <v>1.0558</v>
      </c>
      <c r="H802" s="24" t="n">
        <v>0.7593</v>
      </c>
      <c r="I802" s="22" t="s">
        <v>203</v>
      </c>
      <c r="J802" s="22"/>
      <c r="K802" s="23" t="n">
        <v>10214.21</v>
      </c>
      <c r="L802" s="22" t="s">
        <v>204</v>
      </c>
      <c r="M802" s="22" t="s">
        <v>205</v>
      </c>
    </row>
    <row r="803" customFormat="false" ht="15" hidden="false" customHeight="false" outlineLevel="0" collapsed="false">
      <c r="A803" s="22" t="s">
        <v>2565</v>
      </c>
      <c r="B803" s="22" t="s">
        <v>2566</v>
      </c>
      <c r="C803" s="22" t="s">
        <v>15</v>
      </c>
      <c r="D803" s="22" t="s">
        <v>59</v>
      </c>
      <c r="E803" s="22" t="s">
        <v>2567</v>
      </c>
      <c r="F803" s="23" t="n">
        <v>75169.19</v>
      </c>
      <c r="G803" s="24" t="n">
        <v>1.1622</v>
      </c>
      <c r="H803" s="24" t="n">
        <v>0.0359</v>
      </c>
      <c r="I803" s="22" t="s">
        <v>203</v>
      </c>
      <c r="J803" s="22"/>
      <c r="K803" s="23" t="n">
        <v>4150.21</v>
      </c>
      <c r="L803" s="22" t="s">
        <v>204</v>
      </c>
      <c r="M803" s="22" t="s">
        <v>205</v>
      </c>
    </row>
    <row r="804" customFormat="false" ht="15" hidden="false" customHeight="false" outlineLevel="0" collapsed="false">
      <c r="A804" s="22" t="s">
        <v>2568</v>
      </c>
      <c r="B804" s="22" t="s">
        <v>2569</v>
      </c>
      <c r="C804" s="22" t="s">
        <v>17</v>
      </c>
      <c r="D804" s="22" t="s">
        <v>59</v>
      </c>
      <c r="E804" s="22" t="s">
        <v>2570</v>
      </c>
      <c r="F804" s="23" t="n">
        <v>45461.5</v>
      </c>
      <c r="G804" s="24" t="n">
        <v>1.2543</v>
      </c>
      <c r="H804" s="24" t="n">
        <v>0.6861</v>
      </c>
      <c r="I804" s="22" t="s">
        <v>203</v>
      </c>
      <c r="J804" s="22"/>
      <c r="K804" s="23" t="n">
        <v>51856.99</v>
      </c>
      <c r="L804" s="22" t="s">
        <v>204</v>
      </c>
      <c r="M804" s="22" t="s">
        <v>205</v>
      </c>
    </row>
    <row r="805" customFormat="false" ht="15" hidden="false" customHeight="false" outlineLevel="0" collapsed="false">
      <c r="A805" s="22" t="s">
        <v>2571</v>
      </c>
      <c r="B805" s="22" t="s">
        <v>2572</v>
      </c>
      <c r="C805" s="22" t="s">
        <v>15</v>
      </c>
      <c r="D805" s="22" t="s">
        <v>60</v>
      </c>
      <c r="E805" s="22" t="s">
        <v>2573</v>
      </c>
      <c r="F805" s="23" t="n">
        <v>18209.28</v>
      </c>
      <c r="G805" s="24" t="n">
        <v>1.1159</v>
      </c>
      <c r="H805" s="24" t="n">
        <v>0.8067</v>
      </c>
      <c r="I805" s="22" t="s">
        <v>203</v>
      </c>
      <c r="J805" s="22"/>
      <c r="K805" s="23" t="n">
        <v>21691.29</v>
      </c>
      <c r="L805" s="22" t="s">
        <v>204</v>
      </c>
      <c r="M805" s="22" t="s">
        <v>205</v>
      </c>
    </row>
    <row r="806" customFormat="false" ht="15" hidden="false" customHeight="false" outlineLevel="0" collapsed="false">
      <c r="A806" s="22" t="s">
        <v>2574</v>
      </c>
      <c r="B806" s="22" t="s">
        <v>2575</v>
      </c>
      <c r="C806" s="22" t="s">
        <v>15</v>
      </c>
      <c r="D806" s="22" t="s">
        <v>62</v>
      </c>
      <c r="E806" s="22" t="s">
        <v>2576</v>
      </c>
      <c r="F806" s="23" t="n">
        <v>685629.98</v>
      </c>
      <c r="G806" s="24" t="n">
        <v>1.2151</v>
      </c>
      <c r="H806" s="24" t="n">
        <v>0.5374</v>
      </c>
      <c r="I806" s="22" t="s">
        <v>203</v>
      </c>
      <c r="J806" s="22"/>
      <c r="K806" s="23" t="n">
        <v>592454.16</v>
      </c>
      <c r="L806" s="22" t="s">
        <v>204</v>
      </c>
      <c r="M806" s="22" t="s">
        <v>205</v>
      </c>
    </row>
    <row r="807" customFormat="false" ht="15" hidden="false" customHeight="false" outlineLevel="0" collapsed="false">
      <c r="A807" s="22" t="s">
        <v>2577</v>
      </c>
      <c r="B807" s="22" t="s">
        <v>2578</v>
      </c>
      <c r="C807" s="22" t="s">
        <v>15</v>
      </c>
      <c r="D807" s="22" t="s">
        <v>61</v>
      </c>
      <c r="E807" s="22" t="s">
        <v>2579</v>
      </c>
      <c r="F807" s="23" t="n">
        <v>3321.66</v>
      </c>
      <c r="G807" s="24" t="n">
        <v>1.1644</v>
      </c>
      <c r="H807" s="24" t="n">
        <v>0.9133</v>
      </c>
      <c r="I807" s="22" t="s">
        <v>203</v>
      </c>
      <c r="J807" s="22"/>
      <c r="K807" s="23" t="n">
        <v>4674.4</v>
      </c>
      <c r="L807" s="22" t="s">
        <v>204</v>
      </c>
      <c r="M807" s="22" t="s">
        <v>205</v>
      </c>
    </row>
    <row r="808" customFormat="false" ht="15" hidden="false" customHeight="false" outlineLevel="0" collapsed="false">
      <c r="A808" s="22" t="s">
        <v>2580</v>
      </c>
      <c r="B808" s="22" t="s">
        <v>2581</v>
      </c>
      <c r="C808" s="22" t="s">
        <v>15</v>
      </c>
      <c r="D808" s="22" t="s">
        <v>58</v>
      </c>
      <c r="E808" s="22" t="s">
        <v>2582</v>
      </c>
      <c r="F808" s="23" t="n">
        <v>89927.1</v>
      </c>
      <c r="G808" s="24" t="n">
        <v>1.0458</v>
      </c>
      <c r="H808" s="24" t="n">
        <v>0.4595</v>
      </c>
      <c r="I808" s="22" t="s">
        <v>203</v>
      </c>
      <c r="J808" s="22"/>
      <c r="K808" s="23" t="n">
        <v>57184.72</v>
      </c>
      <c r="L808" s="22" t="s">
        <v>204</v>
      </c>
      <c r="M808" s="22" t="s">
        <v>205</v>
      </c>
    </row>
    <row r="809" customFormat="false" ht="15" hidden="false" customHeight="false" outlineLevel="0" collapsed="false">
      <c r="A809" s="22" t="s">
        <v>2583</v>
      </c>
      <c r="B809" s="22" t="s">
        <v>2584</v>
      </c>
      <c r="C809" s="22" t="s">
        <v>17</v>
      </c>
      <c r="D809" s="22" t="s">
        <v>59</v>
      </c>
      <c r="E809" s="22" t="s">
        <v>2585</v>
      </c>
      <c r="F809" s="23" t="n">
        <v>131067.93</v>
      </c>
      <c r="G809" s="24" t="n">
        <v>1.0616</v>
      </c>
      <c r="H809" s="24" t="n">
        <v>0.3313</v>
      </c>
      <c r="I809" s="22" t="s">
        <v>203</v>
      </c>
      <c r="J809" s="22"/>
      <c r="K809" s="23" t="n">
        <v>61101.73</v>
      </c>
      <c r="L809" s="22" t="s">
        <v>204</v>
      </c>
      <c r="M809" s="22" t="s">
        <v>205</v>
      </c>
    </row>
    <row r="810" customFormat="false" ht="15" hidden="false" customHeight="false" outlineLevel="0" collapsed="false">
      <c r="A810" s="22" t="s">
        <v>2586</v>
      </c>
      <c r="B810" s="22" t="s">
        <v>2587</v>
      </c>
      <c r="C810" s="22" t="s">
        <v>17</v>
      </c>
      <c r="D810" s="22" t="s">
        <v>60</v>
      </c>
      <c r="E810" s="22" t="s">
        <v>2588</v>
      </c>
      <c r="F810" s="23" t="n">
        <v>28387.73</v>
      </c>
      <c r="G810" s="24" t="n">
        <v>1.1094</v>
      </c>
      <c r="H810" s="24" t="n">
        <v>0.2894</v>
      </c>
      <c r="I810" s="22" t="s">
        <v>203</v>
      </c>
      <c r="J810" s="22"/>
      <c r="K810" s="23" t="n">
        <v>12080.7</v>
      </c>
      <c r="L810" s="22" t="s">
        <v>204</v>
      </c>
      <c r="M810" s="22" t="s">
        <v>205</v>
      </c>
    </row>
    <row r="811" customFormat="false" ht="15" hidden="false" customHeight="false" outlineLevel="0" collapsed="false">
      <c r="A811" s="22" t="s">
        <v>2589</v>
      </c>
      <c r="B811" s="22" t="s">
        <v>2590</v>
      </c>
      <c r="C811" s="22" t="s">
        <v>17</v>
      </c>
      <c r="D811" s="22" t="s">
        <v>60</v>
      </c>
      <c r="E811" s="22" t="s">
        <v>2591</v>
      </c>
      <c r="F811" s="23" t="n">
        <v>26145.38</v>
      </c>
      <c r="G811" s="24" t="n">
        <v>1.2411</v>
      </c>
      <c r="H811" s="24" t="n">
        <v>0.3811</v>
      </c>
      <c r="I811" s="22" t="s">
        <v>203</v>
      </c>
      <c r="J811" s="22"/>
      <c r="K811" s="23" t="n">
        <v>16391.38</v>
      </c>
      <c r="L811" s="22" t="s">
        <v>204</v>
      </c>
      <c r="M811" s="22" t="s">
        <v>205</v>
      </c>
    </row>
    <row r="812" customFormat="false" ht="15" hidden="false" customHeight="false" outlineLevel="0" collapsed="false">
      <c r="A812" s="22" t="s">
        <v>2592</v>
      </c>
      <c r="B812" s="22" t="s">
        <v>2593</v>
      </c>
      <c r="C812" s="22" t="s">
        <v>17</v>
      </c>
      <c r="D812" s="22" t="s">
        <v>60</v>
      </c>
      <c r="E812" s="22" t="s">
        <v>2594</v>
      </c>
      <c r="F812" s="23" t="n">
        <v>27263.07</v>
      </c>
      <c r="G812" s="24" t="n">
        <v>1.1407</v>
      </c>
      <c r="H812" s="24" t="n">
        <v>0.7458</v>
      </c>
      <c r="I812" s="22" t="s">
        <v>203</v>
      </c>
      <c r="J812" s="22"/>
      <c r="K812" s="23" t="n">
        <v>30742.79</v>
      </c>
      <c r="L812" s="22" t="s">
        <v>204</v>
      </c>
      <c r="M812" s="22" t="s">
        <v>205</v>
      </c>
    </row>
    <row r="813" customFormat="false" ht="15" hidden="false" customHeight="false" outlineLevel="0" collapsed="false">
      <c r="A813" s="22" t="s">
        <v>2595</v>
      </c>
      <c r="B813" s="22" t="s">
        <v>2596</v>
      </c>
      <c r="C813" s="22" t="s">
        <v>17</v>
      </c>
      <c r="D813" s="22" t="s">
        <v>60</v>
      </c>
      <c r="E813" s="22" t="s">
        <v>2597</v>
      </c>
      <c r="F813" s="23" t="n">
        <v>14274.67</v>
      </c>
      <c r="G813" s="24" t="n">
        <v>1.0245</v>
      </c>
      <c r="H813" s="24" t="n">
        <v>0.6915</v>
      </c>
      <c r="I813" s="22" t="s">
        <v>203</v>
      </c>
      <c r="J813" s="22"/>
      <c r="K813" s="23" t="n">
        <v>13404.32</v>
      </c>
      <c r="L813" s="22" t="s">
        <v>204</v>
      </c>
      <c r="M813" s="22" t="s">
        <v>205</v>
      </c>
    </row>
    <row r="814" customFormat="false" ht="15" hidden="false" customHeight="false" outlineLevel="0" collapsed="false">
      <c r="A814" s="22" t="s">
        <v>2598</v>
      </c>
      <c r="B814" s="22" t="s">
        <v>2599</v>
      </c>
      <c r="C814" s="22" t="s">
        <v>15</v>
      </c>
      <c r="D814" s="22" t="s">
        <v>58</v>
      </c>
      <c r="E814" s="22" t="s">
        <v>2600</v>
      </c>
      <c r="F814" s="23" t="n">
        <v>41670.09</v>
      </c>
      <c r="G814" s="24" t="n">
        <v>1.0012</v>
      </c>
      <c r="H814" s="24" t="n">
        <v>0.3286</v>
      </c>
      <c r="I814" s="22" t="s">
        <v>203</v>
      </c>
      <c r="J814" s="22"/>
      <c r="K814" s="23" t="n">
        <v>18141.29</v>
      </c>
      <c r="L814" s="22" t="s">
        <v>204</v>
      </c>
      <c r="M814" s="22" t="s">
        <v>205</v>
      </c>
    </row>
    <row r="815" customFormat="false" ht="15" hidden="false" customHeight="false" outlineLevel="0" collapsed="false">
      <c r="A815" s="22" t="s">
        <v>2601</v>
      </c>
      <c r="B815" s="22" t="s">
        <v>2602</v>
      </c>
      <c r="C815" s="22" t="s">
        <v>15</v>
      </c>
      <c r="D815" s="22" t="s">
        <v>61</v>
      </c>
      <c r="E815" s="22" t="s">
        <v>2429</v>
      </c>
      <c r="F815" s="23" t="n">
        <v>6885.11</v>
      </c>
      <c r="G815" s="24" t="n">
        <v>1.239</v>
      </c>
      <c r="H815" s="24" t="n">
        <v>0.5499</v>
      </c>
      <c r="I815" s="22" t="s">
        <v>203</v>
      </c>
      <c r="J815" s="22"/>
      <c r="K815" s="23" t="n">
        <v>6207.56</v>
      </c>
      <c r="L815" s="22" t="s">
        <v>204</v>
      </c>
      <c r="M815" s="22" t="s">
        <v>205</v>
      </c>
    </row>
    <row r="816" customFormat="false" ht="15" hidden="false" customHeight="false" outlineLevel="0" collapsed="false">
      <c r="A816" s="22" t="s">
        <v>2603</v>
      </c>
      <c r="B816" s="22" t="s">
        <v>2604</v>
      </c>
      <c r="C816" s="22" t="s">
        <v>17</v>
      </c>
      <c r="D816" s="22" t="s">
        <v>60</v>
      </c>
      <c r="E816" s="22" t="s">
        <v>2605</v>
      </c>
      <c r="F816" s="23" t="n">
        <v>13472.48</v>
      </c>
      <c r="G816" s="24" t="n">
        <v>1.1077</v>
      </c>
      <c r="H816" s="24" t="n">
        <v>0.7265</v>
      </c>
      <c r="I816" s="22" t="s">
        <v>203</v>
      </c>
      <c r="J816" s="22"/>
      <c r="K816" s="23" t="n">
        <v>14370.77</v>
      </c>
      <c r="L816" s="22" t="s">
        <v>204</v>
      </c>
      <c r="M816" s="22" t="s">
        <v>205</v>
      </c>
    </row>
    <row r="817" customFormat="false" ht="15" hidden="false" customHeight="false" outlineLevel="0" collapsed="false">
      <c r="A817" s="22" t="s">
        <v>2606</v>
      </c>
      <c r="B817" s="22" t="s">
        <v>2607</v>
      </c>
      <c r="C817" s="22" t="s">
        <v>17</v>
      </c>
      <c r="D817" s="22" t="s">
        <v>58</v>
      </c>
      <c r="E817" s="22" t="s">
        <v>2608</v>
      </c>
      <c r="F817" s="23" t="n">
        <v>21473.74</v>
      </c>
      <c r="G817" s="24" t="n">
        <v>1.2359</v>
      </c>
      <c r="H817" s="24" t="n">
        <v>0.2847</v>
      </c>
      <c r="I817" s="22" t="s">
        <v>203</v>
      </c>
      <c r="J817" s="22"/>
      <c r="K817" s="23" t="n">
        <v>10015.05</v>
      </c>
      <c r="L817" s="22" t="s">
        <v>204</v>
      </c>
      <c r="M817" s="22" t="s">
        <v>205</v>
      </c>
    </row>
    <row r="818" customFormat="false" ht="15" hidden="false" customHeight="false" outlineLevel="0" collapsed="false">
      <c r="A818" s="22" t="s">
        <v>2609</v>
      </c>
      <c r="B818" s="22" t="s">
        <v>2610</v>
      </c>
      <c r="C818" s="22" t="s">
        <v>15</v>
      </c>
      <c r="D818" s="22" t="s">
        <v>60</v>
      </c>
      <c r="E818" s="22" t="s">
        <v>2611</v>
      </c>
      <c r="F818" s="23" t="n">
        <v>22571.55</v>
      </c>
      <c r="G818" s="24" t="n">
        <v>1.086</v>
      </c>
      <c r="H818" s="24" t="n">
        <v>0.2992</v>
      </c>
      <c r="I818" s="22" t="s">
        <v>203</v>
      </c>
      <c r="J818" s="22"/>
      <c r="K818" s="23" t="n">
        <v>9705.28</v>
      </c>
      <c r="L818" s="22" t="s">
        <v>204</v>
      </c>
      <c r="M818" s="22" t="s">
        <v>205</v>
      </c>
    </row>
    <row r="819" customFormat="false" ht="15" hidden="false" customHeight="false" outlineLevel="0" collapsed="false">
      <c r="A819" s="22" t="s">
        <v>2612</v>
      </c>
      <c r="B819" s="22" t="s">
        <v>2613</v>
      </c>
      <c r="C819" s="22" t="s">
        <v>15</v>
      </c>
      <c r="D819" s="22" t="s">
        <v>60</v>
      </c>
      <c r="E819" s="22" t="s">
        <v>2614</v>
      </c>
      <c r="F819" s="23" t="n">
        <v>16668.57</v>
      </c>
      <c r="G819" s="24" t="n">
        <v>1.279</v>
      </c>
      <c r="H819" s="24" t="n">
        <v>0.2872</v>
      </c>
      <c r="I819" s="22" t="s">
        <v>203</v>
      </c>
      <c r="J819" s="22"/>
      <c r="K819" s="23" t="n">
        <v>8102.31</v>
      </c>
      <c r="L819" s="22" t="s">
        <v>204</v>
      </c>
      <c r="M819" s="22" t="s">
        <v>205</v>
      </c>
    </row>
    <row r="820" customFormat="false" ht="15" hidden="false" customHeight="false" outlineLevel="0" collapsed="false">
      <c r="A820" s="22" t="s">
        <v>2615</v>
      </c>
      <c r="B820" s="22" t="s">
        <v>2616</v>
      </c>
      <c r="C820" s="22" t="s">
        <v>19</v>
      </c>
      <c r="D820" s="22" t="s">
        <v>59</v>
      </c>
      <c r="E820" s="22" t="s">
        <v>2617</v>
      </c>
      <c r="F820" s="23" t="n">
        <v>144634.25</v>
      </c>
      <c r="G820" s="24" t="n">
        <v>1.0527</v>
      </c>
      <c r="H820" s="24" t="n">
        <v>0.4446</v>
      </c>
      <c r="I820" s="22" t="s">
        <v>203</v>
      </c>
      <c r="J820" s="22"/>
      <c r="K820" s="23" t="n">
        <v>90415.27</v>
      </c>
      <c r="L820" s="22" t="s">
        <v>204</v>
      </c>
      <c r="M820" s="22" t="s">
        <v>205</v>
      </c>
    </row>
    <row r="821" customFormat="false" ht="15" hidden="false" customHeight="false" outlineLevel="0" collapsed="false">
      <c r="A821" s="22" t="s">
        <v>2618</v>
      </c>
      <c r="B821" s="22" t="s">
        <v>2619</v>
      </c>
      <c r="C821" s="22" t="s">
        <v>15</v>
      </c>
      <c r="D821" s="22" t="s">
        <v>61</v>
      </c>
      <c r="E821" s="22" t="s">
        <v>2620</v>
      </c>
      <c r="F821" s="23" t="n">
        <v>7310.17</v>
      </c>
      <c r="G821" s="24" t="n">
        <v>1.1384</v>
      </c>
      <c r="H821" s="24" t="n">
        <v>0.9206</v>
      </c>
      <c r="I821" s="22" t="s">
        <v>203</v>
      </c>
      <c r="J821" s="22"/>
      <c r="K821" s="23" t="n">
        <v>10137.91</v>
      </c>
      <c r="L821" s="22" t="s">
        <v>204</v>
      </c>
      <c r="M821" s="22" t="s">
        <v>205</v>
      </c>
    </row>
    <row r="822" customFormat="false" ht="15" hidden="false" customHeight="false" outlineLevel="0" collapsed="false">
      <c r="A822" s="22" t="s">
        <v>2621</v>
      </c>
      <c r="B822" s="22" t="s">
        <v>2622</v>
      </c>
      <c r="C822" s="22" t="s">
        <v>17</v>
      </c>
      <c r="D822" s="22" t="s">
        <v>61</v>
      </c>
      <c r="E822" s="22" t="s">
        <v>2623</v>
      </c>
      <c r="F822" s="23" t="n">
        <v>9455.72</v>
      </c>
      <c r="G822" s="24" t="n">
        <v>1.1506</v>
      </c>
      <c r="H822" s="24" t="n">
        <v>0.7529</v>
      </c>
      <c r="I822" s="22" t="s">
        <v>203</v>
      </c>
      <c r="J822" s="22"/>
      <c r="K822" s="23" t="n">
        <v>10857.53</v>
      </c>
      <c r="L822" s="22" t="s">
        <v>204</v>
      </c>
      <c r="M822" s="22" t="s">
        <v>205</v>
      </c>
    </row>
    <row r="823" customFormat="false" ht="15" hidden="false" customHeight="false" outlineLevel="0" collapsed="false">
      <c r="A823" s="22" t="s">
        <v>2624</v>
      </c>
      <c r="B823" s="22" t="s">
        <v>2625</v>
      </c>
      <c r="C823" s="22" t="s">
        <v>15</v>
      </c>
      <c r="D823" s="22" t="s">
        <v>61</v>
      </c>
      <c r="E823" s="22" t="s">
        <v>2626</v>
      </c>
      <c r="F823" s="23" t="n">
        <v>4878.9</v>
      </c>
      <c r="G823" s="24" t="n">
        <v>1.1976</v>
      </c>
      <c r="H823" s="24" t="n">
        <v>0.998</v>
      </c>
      <c r="I823" s="22" t="s">
        <v>203</v>
      </c>
      <c r="J823" s="22"/>
      <c r="K823" s="23" t="n">
        <v>7716.48</v>
      </c>
      <c r="L823" s="22" t="s">
        <v>204</v>
      </c>
      <c r="M823" s="22" t="s">
        <v>205</v>
      </c>
    </row>
    <row r="824" customFormat="false" ht="15" hidden="false" customHeight="false" outlineLevel="0" collapsed="false">
      <c r="A824" s="22" t="s">
        <v>2627</v>
      </c>
      <c r="B824" s="22" t="s">
        <v>2628</v>
      </c>
      <c r="C824" s="22" t="s">
        <v>17</v>
      </c>
      <c r="D824" s="22" t="s">
        <v>58</v>
      </c>
      <c r="E824" s="22" t="s">
        <v>2629</v>
      </c>
      <c r="F824" s="23" t="n">
        <v>62923.18</v>
      </c>
      <c r="G824" s="24" t="n">
        <v>1.0302</v>
      </c>
      <c r="H824" s="24" t="n">
        <v>0.9469</v>
      </c>
      <c r="I824" s="22" t="s">
        <v>203</v>
      </c>
      <c r="J824" s="22"/>
      <c r="K824" s="23" t="n">
        <v>81360.02</v>
      </c>
      <c r="L824" s="22" t="s">
        <v>204</v>
      </c>
      <c r="M824" s="22" t="s">
        <v>205</v>
      </c>
    </row>
    <row r="825" customFormat="false" ht="15" hidden="false" customHeight="false" outlineLevel="0" collapsed="false">
      <c r="A825" s="22" t="s">
        <v>2630</v>
      </c>
      <c r="B825" s="22" t="s">
        <v>2631</v>
      </c>
      <c r="C825" s="22" t="s">
        <v>17</v>
      </c>
      <c r="D825" s="22" t="s">
        <v>60</v>
      </c>
      <c r="E825" s="22" t="s">
        <v>2632</v>
      </c>
      <c r="F825" s="23" t="n">
        <v>15249.86</v>
      </c>
      <c r="G825" s="24" t="n">
        <v>1.0355</v>
      </c>
      <c r="H825" s="24" t="n">
        <v>0.2285</v>
      </c>
      <c r="I825" s="22" t="s">
        <v>203</v>
      </c>
      <c r="J825" s="22"/>
      <c r="K825" s="23" t="n">
        <v>4782.74</v>
      </c>
      <c r="L825" s="22" t="s">
        <v>204</v>
      </c>
      <c r="M825" s="22" t="s">
        <v>205</v>
      </c>
    </row>
    <row r="826" customFormat="false" ht="15" hidden="false" customHeight="false" outlineLevel="0" collapsed="false">
      <c r="A826" s="22" t="s">
        <v>2633</v>
      </c>
      <c r="B826" s="22" t="s">
        <v>2634</v>
      </c>
      <c r="C826" s="22" t="s">
        <v>17</v>
      </c>
      <c r="D826" s="22" t="s">
        <v>61</v>
      </c>
      <c r="E826" s="22" t="s">
        <v>2635</v>
      </c>
      <c r="F826" s="23" t="n">
        <v>3919.55</v>
      </c>
      <c r="G826" s="24" t="n">
        <v>1.2381</v>
      </c>
      <c r="H826" s="24" t="n">
        <v>0.6129</v>
      </c>
      <c r="I826" s="22" t="s">
        <v>203</v>
      </c>
      <c r="J826" s="22"/>
      <c r="K826" s="23" t="n">
        <v>3942.36</v>
      </c>
      <c r="L826" s="22" t="s">
        <v>204</v>
      </c>
      <c r="M826" s="22" t="s">
        <v>205</v>
      </c>
    </row>
    <row r="827" customFormat="false" ht="15" hidden="false" customHeight="false" outlineLevel="0" collapsed="false">
      <c r="A827" s="22" t="s">
        <v>2636</v>
      </c>
      <c r="B827" s="22" t="s">
        <v>2637</v>
      </c>
      <c r="C827" s="22" t="s">
        <v>17</v>
      </c>
      <c r="D827" s="22" t="s">
        <v>61</v>
      </c>
      <c r="E827" s="22" t="s">
        <v>2638</v>
      </c>
      <c r="F827" s="23" t="n">
        <v>6456.22</v>
      </c>
      <c r="G827" s="24" t="n">
        <v>1.1706</v>
      </c>
      <c r="H827" s="24" t="n">
        <v>0.6729</v>
      </c>
      <c r="I827" s="22" t="s">
        <v>203</v>
      </c>
      <c r="J827" s="22"/>
      <c r="K827" s="23" t="n">
        <v>6740.81</v>
      </c>
      <c r="L827" s="22" t="s">
        <v>204</v>
      </c>
      <c r="M827" s="22" t="s">
        <v>205</v>
      </c>
    </row>
    <row r="828" customFormat="false" ht="15" hidden="false" customHeight="false" outlineLevel="0" collapsed="false">
      <c r="A828" s="22" t="s">
        <v>2639</v>
      </c>
      <c r="B828" s="22" t="s">
        <v>2640</v>
      </c>
      <c r="C828" s="22" t="s">
        <v>17</v>
      </c>
      <c r="D828" s="22" t="s">
        <v>58</v>
      </c>
      <c r="E828" s="22" t="s">
        <v>2641</v>
      </c>
      <c r="F828" s="23" t="n">
        <v>27393.11</v>
      </c>
      <c r="G828" s="24" t="n">
        <v>1.2529</v>
      </c>
      <c r="H828" s="24" t="n">
        <v>0.8248</v>
      </c>
      <c r="I828" s="22" t="s">
        <v>203</v>
      </c>
      <c r="J828" s="22"/>
      <c r="K828" s="23" t="n">
        <v>37521.58</v>
      </c>
      <c r="L828" s="22" t="s">
        <v>204</v>
      </c>
      <c r="M828" s="22" t="s">
        <v>205</v>
      </c>
    </row>
    <row r="829" customFormat="false" ht="15" hidden="false" customHeight="false" outlineLevel="0" collapsed="false">
      <c r="A829" s="22" t="s">
        <v>2642</v>
      </c>
      <c r="B829" s="22" t="s">
        <v>2643</v>
      </c>
      <c r="C829" s="22" t="s">
        <v>15</v>
      </c>
      <c r="D829" s="22" t="s">
        <v>58</v>
      </c>
      <c r="E829" s="22" t="s">
        <v>2644</v>
      </c>
      <c r="F829" s="23" t="n">
        <v>61275.47</v>
      </c>
      <c r="G829" s="24" t="n">
        <v>1.0883</v>
      </c>
      <c r="H829" s="24" t="n">
        <v>0.6606</v>
      </c>
      <c r="I829" s="22" t="s">
        <v>203</v>
      </c>
      <c r="J829" s="22"/>
      <c r="K829" s="23" t="n">
        <v>58294.71</v>
      </c>
      <c r="L829" s="22" t="s">
        <v>204</v>
      </c>
      <c r="M829" s="22" t="s">
        <v>205</v>
      </c>
    </row>
    <row r="830" customFormat="false" ht="15" hidden="false" customHeight="false" outlineLevel="0" collapsed="false">
      <c r="A830" s="22" t="s">
        <v>2645</v>
      </c>
      <c r="B830" s="22" t="s">
        <v>2646</v>
      </c>
      <c r="C830" s="22" t="s">
        <v>19</v>
      </c>
      <c r="D830" s="22" t="s">
        <v>60</v>
      </c>
      <c r="E830" s="22" t="s">
        <v>2647</v>
      </c>
      <c r="F830" s="23" t="n">
        <v>9992.18</v>
      </c>
      <c r="G830" s="24" t="n">
        <v>1.2117</v>
      </c>
      <c r="H830" s="24" t="n">
        <v>0.1281</v>
      </c>
      <c r="I830" s="22" t="s">
        <v>203</v>
      </c>
      <c r="J830" s="22"/>
      <c r="K830" s="23" t="n">
        <v>2071.58</v>
      </c>
      <c r="L830" s="22" t="s">
        <v>204</v>
      </c>
      <c r="M830" s="22" t="s">
        <v>205</v>
      </c>
    </row>
    <row r="831" customFormat="false" ht="15" hidden="false" customHeight="false" outlineLevel="0" collapsed="false">
      <c r="A831" s="22" t="s">
        <v>2648</v>
      </c>
      <c r="B831" s="22" t="s">
        <v>2649</v>
      </c>
      <c r="C831" s="22" t="s">
        <v>19</v>
      </c>
      <c r="D831" s="22" t="s">
        <v>61</v>
      </c>
      <c r="E831" s="22" t="s">
        <v>2650</v>
      </c>
      <c r="F831" s="23" t="n">
        <v>9042.81</v>
      </c>
      <c r="G831" s="24" t="n">
        <v>1.0829</v>
      </c>
      <c r="H831" s="24" t="n">
        <v>0.0253</v>
      </c>
      <c r="I831" s="22" t="s">
        <v>203</v>
      </c>
      <c r="J831" s="22"/>
      <c r="K831" s="23" t="n">
        <v>330.91</v>
      </c>
      <c r="L831" s="22" t="s">
        <v>204</v>
      </c>
      <c r="M831" s="22" t="s">
        <v>205</v>
      </c>
    </row>
    <row r="832" customFormat="false" ht="15" hidden="false" customHeight="false" outlineLevel="0" collapsed="false">
      <c r="A832" s="22" t="s">
        <v>2651</v>
      </c>
      <c r="B832" s="22" t="s">
        <v>2652</v>
      </c>
      <c r="C832" s="22" t="s">
        <v>15</v>
      </c>
      <c r="D832" s="22" t="s">
        <v>61</v>
      </c>
      <c r="E832" s="22" t="s">
        <v>2653</v>
      </c>
      <c r="F832" s="23" t="n">
        <v>3017.41</v>
      </c>
      <c r="G832" s="24" t="n">
        <v>1.1691</v>
      </c>
      <c r="H832" s="24" t="n">
        <v>0.0845</v>
      </c>
      <c r="I832" s="22" t="s">
        <v>203</v>
      </c>
      <c r="J832" s="22"/>
      <c r="K832" s="23" t="n">
        <v>394.46</v>
      </c>
      <c r="L832" s="22" t="s">
        <v>204</v>
      </c>
      <c r="M832" s="22" t="s">
        <v>205</v>
      </c>
    </row>
    <row r="833" customFormat="false" ht="15" hidden="false" customHeight="false" outlineLevel="0" collapsed="false">
      <c r="A833" s="22" t="s">
        <v>2654</v>
      </c>
      <c r="B833" s="22" t="s">
        <v>2655</v>
      </c>
      <c r="C833" s="22" t="s">
        <v>17</v>
      </c>
      <c r="D833" s="22" t="s">
        <v>58</v>
      </c>
      <c r="E833" s="22" t="s">
        <v>2656</v>
      </c>
      <c r="F833" s="23" t="n">
        <v>61437.02</v>
      </c>
      <c r="G833" s="24" t="n">
        <v>1.165</v>
      </c>
      <c r="H833" s="24" t="n">
        <v>0.4988</v>
      </c>
      <c r="I833" s="22" t="s">
        <v>203</v>
      </c>
      <c r="J833" s="22"/>
      <c r="K833" s="23" t="n">
        <v>47321.36</v>
      </c>
      <c r="L833" s="22" t="s">
        <v>204</v>
      </c>
      <c r="M833" s="22" t="s">
        <v>205</v>
      </c>
    </row>
    <row r="834" customFormat="false" ht="15" hidden="false" customHeight="false" outlineLevel="0" collapsed="false">
      <c r="A834" s="22" t="s">
        <v>2657</v>
      </c>
      <c r="B834" s="22" t="s">
        <v>2658</v>
      </c>
      <c r="C834" s="22" t="s">
        <v>17</v>
      </c>
      <c r="D834" s="22" t="s">
        <v>60</v>
      </c>
      <c r="E834" s="22" t="s">
        <v>1496</v>
      </c>
      <c r="F834" s="23" t="n">
        <v>21970.36</v>
      </c>
      <c r="G834" s="24" t="n">
        <v>1.2958</v>
      </c>
      <c r="H834" s="24" t="n">
        <v>0.3488</v>
      </c>
      <c r="I834" s="22" t="s">
        <v>203</v>
      </c>
      <c r="J834" s="22"/>
      <c r="K834" s="23" t="n">
        <v>13162.13</v>
      </c>
      <c r="L834" s="22" t="s">
        <v>204</v>
      </c>
      <c r="M834" s="22" t="s">
        <v>205</v>
      </c>
    </row>
    <row r="835" customFormat="false" ht="15" hidden="false" customHeight="false" outlineLevel="0" collapsed="false">
      <c r="A835" s="22" t="s">
        <v>2659</v>
      </c>
      <c r="B835" s="22" t="s">
        <v>2660</v>
      </c>
      <c r="C835" s="22" t="s">
        <v>19</v>
      </c>
      <c r="D835" s="22" t="s">
        <v>61</v>
      </c>
      <c r="E835" s="22" t="s">
        <v>2661</v>
      </c>
      <c r="F835" s="23" t="n">
        <v>7213.19</v>
      </c>
      <c r="G835" s="24" t="n">
        <v>1.1905</v>
      </c>
      <c r="H835" s="24" t="n">
        <v>0.2246</v>
      </c>
      <c r="I835" s="22" t="s">
        <v>203</v>
      </c>
      <c r="J835" s="22"/>
      <c r="K835" s="23" t="n">
        <v>2576.1</v>
      </c>
      <c r="L835" s="22" t="s">
        <v>204</v>
      </c>
      <c r="M835" s="22" t="s">
        <v>205</v>
      </c>
    </row>
    <row r="836" customFormat="false" ht="15" hidden="false" customHeight="false" outlineLevel="0" collapsed="false">
      <c r="A836" s="22" t="s">
        <v>2662</v>
      </c>
      <c r="B836" s="22" t="s">
        <v>2663</v>
      </c>
      <c r="C836" s="22" t="s">
        <v>17</v>
      </c>
      <c r="D836" s="22" t="s">
        <v>59</v>
      </c>
      <c r="E836" s="22" t="s">
        <v>2664</v>
      </c>
      <c r="F836" s="23" t="n">
        <v>155950.78</v>
      </c>
      <c r="G836" s="24" t="n">
        <v>1.2706</v>
      </c>
      <c r="H836" s="24" t="n">
        <v>0.9716</v>
      </c>
      <c r="I836" s="22" t="s">
        <v>203</v>
      </c>
      <c r="J836" s="22"/>
      <c r="K836" s="23" t="n">
        <v>255187.04</v>
      </c>
      <c r="L836" s="22" t="s">
        <v>204</v>
      </c>
      <c r="M836" s="22" t="s">
        <v>205</v>
      </c>
    </row>
    <row r="837" customFormat="false" ht="15" hidden="false" customHeight="false" outlineLevel="0" collapsed="false">
      <c r="A837" s="22" t="s">
        <v>2665</v>
      </c>
      <c r="B837" s="22" t="s">
        <v>2666</v>
      </c>
      <c r="C837" s="22" t="s">
        <v>17</v>
      </c>
      <c r="D837" s="22" t="s">
        <v>58</v>
      </c>
      <c r="E837" s="22" t="s">
        <v>2667</v>
      </c>
      <c r="F837" s="23" t="n">
        <v>75753.22</v>
      </c>
      <c r="G837" s="24" t="n">
        <v>1.0125</v>
      </c>
      <c r="H837" s="24" t="n">
        <v>0.3797</v>
      </c>
      <c r="I837" s="22" t="s">
        <v>203</v>
      </c>
      <c r="J837" s="22"/>
      <c r="K837" s="23" t="n">
        <v>38602.14</v>
      </c>
      <c r="L837" s="22" t="s">
        <v>204</v>
      </c>
      <c r="M837" s="22" t="s">
        <v>205</v>
      </c>
    </row>
    <row r="838" customFormat="false" ht="15" hidden="false" customHeight="false" outlineLevel="0" collapsed="false">
      <c r="A838" s="22" t="s">
        <v>2668</v>
      </c>
      <c r="B838" s="22" t="s">
        <v>2669</v>
      </c>
      <c r="C838" s="22" t="s">
        <v>17</v>
      </c>
      <c r="D838" s="22" t="s">
        <v>62</v>
      </c>
      <c r="E838" s="22" t="s">
        <v>2670</v>
      </c>
      <c r="F838" s="23" t="n">
        <v>1553260.37</v>
      </c>
      <c r="G838" s="24" t="n">
        <v>1.1096</v>
      </c>
      <c r="H838" s="24" t="n">
        <v>0.8876</v>
      </c>
      <c r="I838" s="22" t="s">
        <v>203</v>
      </c>
      <c r="J838" s="22"/>
      <c r="K838" s="23" t="n">
        <v>2027695.36</v>
      </c>
      <c r="L838" s="22" t="s">
        <v>204</v>
      </c>
      <c r="M838" s="22" t="s">
        <v>205</v>
      </c>
    </row>
    <row r="839" customFormat="false" ht="15" hidden="false" customHeight="false" outlineLevel="0" collapsed="false">
      <c r="A839" s="22" t="s">
        <v>2671</v>
      </c>
      <c r="B839" s="22" t="s">
        <v>2672</v>
      </c>
      <c r="C839" s="22" t="s">
        <v>15</v>
      </c>
      <c r="D839" s="22" t="s">
        <v>58</v>
      </c>
      <c r="E839" s="22" t="s">
        <v>2673</v>
      </c>
      <c r="F839" s="23" t="n">
        <v>67576.44</v>
      </c>
      <c r="G839" s="24" t="n">
        <v>1.0301</v>
      </c>
      <c r="H839" s="24" t="n">
        <v>0.3556</v>
      </c>
      <c r="I839" s="22" t="s">
        <v>203</v>
      </c>
      <c r="J839" s="22"/>
      <c r="K839" s="23" t="n">
        <v>32756.06</v>
      </c>
      <c r="L839" s="22" t="s">
        <v>204</v>
      </c>
      <c r="M839" s="22" t="s">
        <v>205</v>
      </c>
    </row>
    <row r="840" customFormat="false" ht="15" hidden="false" customHeight="false" outlineLevel="0" collapsed="false">
      <c r="A840" s="22" t="s">
        <v>2674</v>
      </c>
      <c r="B840" s="22" t="s">
        <v>2675</v>
      </c>
      <c r="C840" s="22" t="s">
        <v>17</v>
      </c>
      <c r="D840" s="22" t="s">
        <v>60</v>
      </c>
      <c r="E840" s="22" t="s">
        <v>2676</v>
      </c>
      <c r="F840" s="23" t="n">
        <v>12189.46</v>
      </c>
      <c r="G840" s="24" t="n">
        <v>1.1458</v>
      </c>
      <c r="H840" s="24" t="n">
        <v>0.5562</v>
      </c>
      <c r="I840" s="22" t="s">
        <v>203</v>
      </c>
      <c r="J840" s="22"/>
      <c r="K840" s="23" t="n">
        <v>10296.72</v>
      </c>
      <c r="L840" s="22" t="s">
        <v>204</v>
      </c>
      <c r="M840" s="22" t="s">
        <v>205</v>
      </c>
    </row>
    <row r="841" customFormat="false" ht="15" hidden="false" customHeight="false" outlineLevel="0" collapsed="false">
      <c r="A841" s="22" t="s">
        <v>2677</v>
      </c>
      <c r="B841" s="22" t="s">
        <v>2678</v>
      </c>
      <c r="C841" s="22" t="s">
        <v>15</v>
      </c>
      <c r="D841" s="22" t="s">
        <v>60</v>
      </c>
      <c r="E841" s="22" t="s">
        <v>2679</v>
      </c>
      <c r="F841" s="23" t="n">
        <v>28605.23</v>
      </c>
      <c r="G841" s="24" t="n">
        <v>1.0872</v>
      </c>
      <c r="H841" s="24" t="n">
        <v>0.261</v>
      </c>
      <c r="I841" s="22" t="s">
        <v>203</v>
      </c>
      <c r="J841" s="22"/>
      <c r="K841" s="23" t="n">
        <v>10741.15</v>
      </c>
      <c r="L841" s="22" t="s">
        <v>204</v>
      </c>
      <c r="M841" s="22" t="s">
        <v>205</v>
      </c>
    </row>
    <row r="842" customFormat="false" ht="15" hidden="false" customHeight="false" outlineLevel="0" collapsed="false">
      <c r="A842" s="22" t="s">
        <v>2680</v>
      </c>
      <c r="B842" s="22" t="s">
        <v>2681</v>
      </c>
      <c r="C842" s="22" t="s">
        <v>15</v>
      </c>
      <c r="D842" s="22" t="s">
        <v>60</v>
      </c>
      <c r="E842" s="22" t="s">
        <v>2682</v>
      </c>
      <c r="F842" s="23" t="n">
        <v>23224.51</v>
      </c>
      <c r="G842" s="24" t="n">
        <v>1.2726</v>
      </c>
      <c r="H842" s="24" t="n">
        <v>0.5391</v>
      </c>
      <c r="I842" s="22" t="s">
        <v>203</v>
      </c>
      <c r="J842" s="22"/>
      <c r="K842" s="23" t="n">
        <v>21084.49</v>
      </c>
      <c r="L842" s="22" t="s">
        <v>204</v>
      </c>
      <c r="M842" s="22" t="s">
        <v>205</v>
      </c>
    </row>
    <row r="843" customFormat="false" ht="15" hidden="false" customHeight="false" outlineLevel="0" collapsed="false">
      <c r="A843" s="22" t="s">
        <v>2683</v>
      </c>
      <c r="B843" s="22" t="s">
        <v>2684</v>
      </c>
      <c r="C843" s="22" t="s">
        <v>17</v>
      </c>
      <c r="D843" s="22" t="s">
        <v>61</v>
      </c>
      <c r="E843" s="22" t="s">
        <v>2685</v>
      </c>
      <c r="F843" s="23" t="n">
        <v>5003.9</v>
      </c>
      <c r="G843" s="24" t="n">
        <v>1.0546</v>
      </c>
      <c r="H843" s="24" t="n">
        <v>0.5293</v>
      </c>
      <c r="I843" s="22" t="s">
        <v>203</v>
      </c>
      <c r="J843" s="22"/>
      <c r="K843" s="23" t="n">
        <v>3702.31</v>
      </c>
      <c r="L843" s="22" t="s">
        <v>204</v>
      </c>
      <c r="M843" s="22" t="s">
        <v>205</v>
      </c>
    </row>
    <row r="844" customFormat="false" ht="15" hidden="false" customHeight="false" outlineLevel="0" collapsed="false">
      <c r="A844" s="22" t="s">
        <v>2686</v>
      </c>
      <c r="B844" s="22" t="s">
        <v>2687</v>
      </c>
      <c r="C844" s="22" t="s">
        <v>15</v>
      </c>
      <c r="D844" s="22" t="s">
        <v>60</v>
      </c>
      <c r="E844" s="22" t="s">
        <v>2688</v>
      </c>
      <c r="F844" s="23" t="n">
        <v>15848.8</v>
      </c>
      <c r="G844" s="24" t="n">
        <v>1.2858</v>
      </c>
      <c r="H844" s="24" t="n">
        <v>0.3807</v>
      </c>
      <c r="I844" s="22" t="s">
        <v>203</v>
      </c>
      <c r="J844" s="22"/>
      <c r="K844" s="23" t="n">
        <v>10266.16</v>
      </c>
      <c r="L844" s="22" t="s">
        <v>204</v>
      </c>
      <c r="M844" s="22" t="s">
        <v>205</v>
      </c>
    </row>
    <row r="845" customFormat="false" ht="15" hidden="false" customHeight="false" outlineLevel="0" collapsed="false">
      <c r="A845" s="22" t="s">
        <v>2689</v>
      </c>
      <c r="B845" s="22" t="s">
        <v>2690</v>
      </c>
      <c r="C845" s="22" t="s">
        <v>17</v>
      </c>
      <c r="D845" s="22" t="s">
        <v>61</v>
      </c>
      <c r="E845" s="22" t="s">
        <v>1829</v>
      </c>
      <c r="F845" s="23" t="n">
        <v>3889.23</v>
      </c>
      <c r="G845" s="24" t="n">
        <v>1.0608</v>
      </c>
      <c r="H845" s="24" t="n">
        <v>0.4367</v>
      </c>
      <c r="I845" s="22" t="s">
        <v>203</v>
      </c>
      <c r="J845" s="22"/>
      <c r="K845" s="23" t="n">
        <v>2388.11</v>
      </c>
      <c r="L845" s="22" t="s">
        <v>204</v>
      </c>
      <c r="M845" s="22" t="s">
        <v>205</v>
      </c>
    </row>
    <row r="846" customFormat="false" ht="15" hidden="false" customHeight="false" outlineLevel="0" collapsed="false">
      <c r="A846" s="22" t="s">
        <v>2691</v>
      </c>
      <c r="B846" s="22" t="s">
        <v>2692</v>
      </c>
      <c r="C846" s="22" t="s">
        <v>15</v>
      </c>
      <c r="D846" s="22" t="s">
        <v>61</v>
      </c>
      <c r="E846" s="22" t="s">
        <v>2693</v>
      </c>
      <c r="F846" s="23" t="n">
        <v>7732.72</v>
      </c>
      <c r="G846" s="24" t="n">
        <v>1.0193</v>
      </c>
      <c r="H846" s="24" t="n">
        <v>0.9511</v>
      </c>
      <c r="I846" s="22" t="s">
        <v>203</v>
      </c>
      <c r="J846" s="22"/>
      <c r="K846" s="23" t="n">
        <v>9920.09</v>
      </c>
      <c r="L846" s="22" t="s">
        <v>204</v>
      </c>
      <c r="M846" s="22" t="s">
        <v>205</v>
      </c>
    </row>
    <row r="847" customFormat="false" ht="15" hidden="false" customHeight="false" outlineLevel="0" collapsed="false">
      <c r="A847" s="22" t="s">
        <v>2694</v>
      </c>
      <c r="B847" s="22" t="s">
        <v>2695</v>
      </c>
      <c r="C847" s="22" t="s">
        <v>19</v>
      </c>
      <c r="D847" s="22" t="s">
        <v>60</v>
      </c>
      <c r="E847" s="22" t="s">
        <v>2696</v>
      </c>
      <c r="F847" s="23" t="n">
        <v>9715.72</v>
      </c>
      <c r="G847" s="24" t="n">
        <v>1.1167</v>
      </c>
      <c r="H847" s="24" t="n">
        <v>0.796</v>
      </c>
      <c r="I847" s="22" t="s">
        <v>203</v>
      </c>
      <c r="J847" s="22"/>
      <c r="K847" s="23" t="n">
        <v>11535.09</v>
      </c>
      <c r="L847" s="22" t="s">
        <v>204</v>
      </c>
      <c r="M847" s="22" t="s">
        <v>205</v>
      </c>
    </row>
    <row r="848" customFormat="false" ht="15" hidden="false" customHeight="false" outlineLevel="0" collapsed="false">
      <c r="A848" s="22" t="s">
        <v>2697</v>
      </c>
      <c r="B848" s="22" t="s">
        <v>2698</v>
      </c>
      <c r="C848" s="22" t="s">
        <v>17</v>
      </c>
      <c r="D848" s="22" t="s">
        <v>60</v>
      </c>
      <c r="E848" s="22" t="s">
        <v>2699</v>
      </c>
      <c r="F848" s="23" t="n">
        <v>27153.95</v>
      </c>
      <c r="G848" s="24" t="n">
        <v>1.216</v>
      </c>
      <c r="H848" s="24" t="n">
        <v>0.3719</v>
      </c>
      <c r="I848" s="22" t="s">
        <v>203</v>
      </c>
      <c r="J848" s="22"/>
      <c r="K848" s="23" t="n">
        <v>16276.74</v>
      </c>
      <c r="L848" s="22" t="s">
        <v>204</v>
      </c>
      <c r="M848" s="22" t="s">
        <v>205</v>
      </c>
    </row>
    <row r="849" customFormat="false" ht="15" hidden="false" customHeight="false" outlineLevel="0" collapsed="false">
      <c r="A849" s="22" t="s">
        <v>2700</v>
      </c>
      <c r="B849" s="22" t="s">
        <v>2701</v>
      </c>
      <c r="C849" s="22" t="s">
        <v>15</v>
      </c>
      <c r="D849" s="22" t="s">
        <v>58</v>
      </c>
      <c r="E849" s="22" t="s">
        <v>2702</v>
      </c>
      <c r="F849" s="23" t="n">
        <v>60175.95</v>
      </c>
      <c r="G849" s="24" t="n">
        <v>1.2036</v>
      </c>
      <c r="H849" s="24" t="n">
        <v>0.4256</v>
      </c>
      <c r="I849" s="22" t="s">
        <v>203</v>
      </c>
      <c r="J849" s="22"/>
      <c r="K849" s="23" t="n">
        <v>40790.78</v>
      </c>
      <c r="L849" s="22" t="s">
        <v>204</v>
      </c>
      <c r="M849" s="22" t="s">
        <v>205</v>
      </c>
    </row>
    <row r="850" customFormat="false" ht="15" hidden="false" customHeight="false" outlineLevel="0" collapsed="false">
      <c r="A850" s="22" t="s">
        <v>2703</v>
      </c>
      <c r="B850" s="22" t="s">
        <v>2704</v>
      </c>
      <c r="C850" s="22" t="s">
        <v>17</v>
      </c>
      <c r="D850" s="22" t="s">
        <v>58</v>
      </c>
      <c r="E850" s="22" t="s">
        <v>2705</v>
      </c>
      <c r="F850" s="23" t="n">
        <v>51720.32</v>
      </c>
      <c r="G850" s="24" t="n">
        <v>1.1606</v>
      </c>
      <c r="H850" s="24" t="n">
        <v>0.1879</v>
      </c>
      <c r="I850" s="22" t="s">
        <v>203</v>
      </c>
      <c r="J850" s="22"/>
      <c r="K850" s="23" t="n">
        <v>14950.14</v>
      </c>
      <c r="L850" s="22" t="s">
        <v>204</v>
      </c>
      <c r="M850" s="22" t="s">
        <v>205</v>
      </c>
    </row>
    <row r="851" customFormat="false" ht="15" hidden="false" customHeight="false" outlineLevel="0" collapsed="false">
      <c r="A851" s="22" t="s">
        <v>2706</v>
      </c>
      <c r="B851" s="22" t="s">
        <v>2707</v>
      </c>
      <c r="C851" s="22" t="s">
        <v>17</v>
      </c>
      <c r="D851" s="22" t="s">
        <v>61</v>
      </c>
      <c r="E851" s="22" t="s">
        <v>370</v>
      </c>
      <c r="F851" s="23" t="n">
        <v>4794.37</v>
      </c>
      <c r="G851" s="24" t="n">
        <v>1.24</v>
      </c>
      <c r="H851" s="24" t="n">
        <v>0.3415</v>
      </c>
      <c r="I851" s="22" t="s">
        <v>203</v>
      </c>
      <c r="J851" s="22"/>
      <c r="K851" s="23" t="n">
        <v>2691.03</v>
      </c>
      <c r="L851" s="22" t="s">
        <v>204</v>
      </c>
      <c r="M851" s="22" t="s">
        <v>205</v>
      </c>
    </row>
    <row r="852" customFormat="false" ht="15" hidden="false" customHeight="false" outlineLevel="0" collapsed="false">
      <c r="A852" s="22" t="s">
        <v>2708</v>
      </c>
      <c r="B852" s="22" t="s">
        <v>2709</v>
      </c>
      <c r="C852" s="22" t="s">
        <v>19</v>
      </c>
      <c r="D852" s="22" t="s">
        <v>60</v>
      </c>
      <c r="E852" s="22" t="s">
        <v>2710</v>
      </c>
      <c r="F852" s="23" t="n">
        <v>17044.07</v>
      </c>
      <c r="G852" s="24" t="n">
        <v>1.1368</v>
      </c>
      <c r="H852" s="24" t="n">
        <v>0.8548</v>
      </c>
      <c r="I852" s="22" t="s">
        <v>203</v>
      </c>
      <c r="J852" s="22"/>
      <c r="K852" s="23" t="n">
        <v>22121.7</v>
      </c>
      <c r="L852" s="22" t="s">
        <v>204</v>
      </c>
      <c r="M852" s="22" t="s">
        <v>205</v>
      </c>
    </row>
    <row r="853" customFormat="false" ht="15" hidden="false" customHeight="false" outlineLevel="0" collapsed="false">
      <c r="A853" s="22" t="s">
        <v>2711</v>
      </c>
      <c r="B853" s="22" t="s">
        <v>2712</v>
      </c>
      <c r="C853" s="22" t="s">
        <v>17</v>
      </c>
      <c r="D853" s="22" t="s">
        <v>60</v>
      </c>
      <c r="E853" s="22" t="s">
        <v>2713</v>
      </c>
      <c r="F853" s="23" t="n">
        <v>13520.74</v>
      </c>
      <c r="G853" s="24" t="n">
        <v>1.0352</v>
      </c>
      <c r="H853" s="24" t="n">
        <v>0.6057</v>
      </c>
      <c r="I853" s="22" t="s">
        <v>203</v>
      </c>
      <c r="J853" s="22"/>
      <c r="K853" s="23" t="n">
        <v>11237.17</v>
      </c>
      <c r="L853" s="22" t="s">
        <v>204</v>
      </c>
      <c r="M853" s="22" t="s">
        <v>205</v>
      </c>
    </row>
    <row r="854" customFormat="false" ht="15" hidden="false" customHeight="false" outlineLevel="0" collapsed="false">
      <c r="A854" s="22" t="s">
        <v>2714</v>
      </c>
      <c r="B854" s="22" t="s">
        <v>2715</v>
      </c>
      <c r="C854" s="22" t="s">
        <v>19</v>
      </c>
      <c r="D854" s="22" t="s">
        <v>60</v>
      </c>
      <c r="E854" s="22" t="s">
        <v>2716</v>
      </c>
      <c r="F854" s="23" t="n">
        <v>15161.24</v>
      </c>
      <c r="G854" s="24" t="n">
        <v>1.2476</v>
      </c>
      <c r="H854" s="24" t="n">
        <v>0.8744</v>
      </c>
      <c r="I854" s="22" t="s">
        <v>203</v>
      </c>
      <c r="J854" s="22"/>
      <c r="K854" s="23" t="n">
        <v>22091.07</v>
      </c>
      <c r="L854" s="22" t="s">
        <v>204</v>
      </c>
      <c r="M854" s="22" t="s">
        <v>205</v>
      </c>
    </row>
    <row r="855" customFormat="false" ht="15" hidden="false" customHeight="false" outlineLevel="0" collapsed="false">
      <c r="A855" s="22" t="s">
        <v>2717</v>
      </c>
      <c r="B855" s="22" t="s">
        <v>2718</v>
      </c>
      <c r="C855" s="22" t="s">
        <v>15</v>
      </c>
      <c r="D855" s="22" t="s">
        <v>59</v>
      </c>
      <c r="E855" s="22" t="s">
        <v>2719</v>
      </c>
      <c r="F855" s="23" t="n">
        <v>156772.1</v>
      </c>
      <c r="G855" s="24" t="n">
        <v>1.0083</v>
      </c>
      <c r="H855" s="24" t="n">
        <v>0.6059</v>
      </c>
      <c r="I855" s="22" t="s">
        <v>203</v>
      </c>
      <c r="J855" s="22"/>
      <c r="K855" s="23" t="n">
        <v>126740.31</v>
      </c>
      <c r="L855" s="22" t="s">
        <v>204</v>
      </c>
      <c r="M855" s="22" t="s">
        <v>205</v>
      </c>
    </row>
    <row r="856" customFormat="false" ht="15" hidden="false" customHeight="false" outlineLevel="0" collapsed="false">
      <c r="A856" s="22" t="s">
        <v>2720</v>
      </c>
      <c r="B856" s="22" t="s">
        <v>2721</v>
      </c>
      <c r="C856" s="22" t="s">
        <v>17</v>
      </c>
      <c r="D856" s="22" t="s">
        <v>61</v>
      </c>
      <c r="E856" s="22" t="s">
        <v>2722</v>
      </c>
      <c r="F856" s="23" t="n">
        <v>6872.67</v>
      </c>
      <c r="G856" s="24" t="n">
        <v>1.0193</v>
      </c>
      <c r="H856" s="24" t="n">
        <v>0.6879</v>
      </c>
      <c r="I856" s="22" t="s">
        <v>203</v>
      </c>
      <c r="J856" s="22"/>
      <c r="K856" s="23" t="n">
        <v>6387.45</v>
      </c>
      <c r="L856" s="22" t="s">
        <v>204</v>
      </c>
      <c r="M856" s="22" t="s">
        <v>205</v>
      </c>
    </row>
    <row r="857" customFormat="false" ht="15" hidden="false" customHeight="false" outlineLevel="0" collapsed="false">
      <c r="A857" s="22" t="s">
        <v>2723</v>
      </c>
      <c r="B857" s="22" t="s">
        <v>2724</v>
      </c>
      <c r="C857" s="22" t="s">
        <v>17</v>
      </c>
      <c r="D857" s="22" t="s">
        <v>58</v>
      </c>
      <c r="E857" s="22" t="s">
        <v>2725</v>
      </c>
      <c r="F857" s="23" t="n">
        <v>49974.74</v>
      </c>
      <c r="G857" s="24" t="n">
        <v>1.0232</v>
      </c>
      <c r="H857" s="24" t="n">
        <v>0.1017</v>
      </c>
      <c r="I857" s="22" t="s">
        <v>203</v>
      </c>
      <c r="J857" s="22"/>
      <c r="K857" s="23" t="n">
        <v>6892.98</v>
      </c>
      <c r="L857" s="22" t="s">
        <v>204</v>
      </c>
      <c r="M857" s="22" t="s">
        <v>205</v>
      </c>
    </row>
    <row r="858" customFormat="false" ht="15" hidden="false" customHeight="false" outlineLevel="0" collapsed="false">
      <c r="A858" s="22" t="s">
        <v>2726</v>
      </c>
      <c r="B858" s="22" t="s">
        <v>2727</v>
      </c>
      <c r="C858" s="22" t="s">
        <v>15</v>
      </c>
      <c r="D858" s="22" t="s">
        <v>61</v>
      </c>
      <c r="E858" s="22" t="s">
        <v>2728</v>
      </c>
      <c r="F858" s="23" t="n">
        <v>9773.56</v>
      </c>
      <c r="G858" s="24" t="n">
        <v>1.1425</v>
      </c>
      <c r="H858" s="24" t="n">
        <v>0.5928</v>
      </c>
      <c r="I858" s="22" t="s">
        <v>203</v>
      </c>
      <c r="J858" s="22"/>
      <c r="K858" s="23" t="n">
        <v>8759.36</v>
      </c>
      <c r="L858" s="22" t="s">
        <v>204</v>
      </c>
      <c r="M858" s="22" t="s">
        <v>205</v>
      </c>
    </row>
    <row r="859" customFormat="false" ht="15" hidden="false" customHeight="false" outlineLevel="0" collapsed="false">
      <c r="A859" s="22" t="s">
        <v>2729</v>
      </c>
      <c r="B859" s="22" t="s">
        <v>2730</v>
      </c>
      <c r="C859" s="22" t="s">
        <v>19</v>
      </c>
      <c r="D859" s="22" t="s">
        <v>61</v>
      </c>
      <c r="E859" s="22" t="s">
        <v>2731</v>
      </c>
      <c r="F859" s="23" t="n">
        <v>5127.97</v>
      </c>
      <c r="G859" s="24" t="n">
        <v>1.1101</v>
      </c>
      <c r="H859" s="24" t="n">
        <v>0.4546</v>
      </c>
      <c r="I859" s="22" t="s">
        <v>203</v>
      </c>
      <c r="J859" s="22"/>
      <c r="K859" s="23" t="n">
        <v>3456.48</v>
      </c>
      <c r="L859" s="22" t="s">
        <v>204</v>
      </c>
      <c r="M859" s="22" t="s">
        <v>205</v>
      </c>
    </row>
    <row r="860" customFormat="false" ht="15" hidden="false" customHeight="false" outlineLevel="0" collapsed="false">
      <c r="A860" s="22" t="s">
        <v>2732</v>
      </c>
      <c r="B860" s="22" t="s">
        <v>2733</v>
      </c>
      <c r="C860" s="22" t="s">
        <v>19</v>
      </c>
      <c r="D860" s="22" t="s">
        <v>61</v>
      </c>
      <c r="E860" s="22" t="s">
        <v>2734</v>
      </c>
      <c r="F860" s="23" t="n">
        <v>3066.54</v>
      </c>
      <c r="G860" s="24" t="n">
        <v>1.0508</v>
      </c>
      <c r="H860" s="24" t="n">
        <v>0.1682</v>
      </c>
      <c r="I860" s="22" t="s">
        <v>203</v>
      </c>
      <c r="J860" s="22"/>
      <c r="K860" s="23" t="n">
        <v>723.92</v>
      </c>
      <c r="L860" s="22" t="s">
        <v>204</v>
      </c>
      <c r="M860" s="22" t="s">
        <v>205</v>
      </c>
    </row>
    <row r="861" customFormat="false" ht="15" hidden="false" customHeight="false" outlineLevel="0" collapsed="false">
      <c r="A861" s="22" t="s">
        <v>2735</v>
      </c>
      <c r="B861" s="22" t="s">
        <v>2736</v>
      </c>
      <c r="C861" s="22" t="s">
        <v>17</v>
      </c>
      <c r="D861" s="22" t="s">
        <v>61</v>
      </c>
      <c r="E861" s="22" t="s">
        <v>2737</v>
      </c>
      <c r="F861" s="23" t="n">
        <v>4715.69</v>
      </c>
      <c r="G861" s="24" t="n">
        <v>1.2941</v>
      </c>
      <c r="H861" s="24" t="n">
        <v>0.6485</v>
      </c>
      <c r="I861" s="22" t="s">
        <v>203</v>
      </c>
      <c r="J861" s="22"/>
      <c r="K861" s="23" t="n">
        <v>5245.63</v>
      </c>
      <c r="L861" s="22" t="s">
        <v>204</v>
      </c>
      <c r="M861" s="22" t="s">
        <v>205</v>
      </c>
    </row>
    <row r="862" customFormat="false" ht="15" hidden="false" customHeight="false" outlineLevel="0" collapsed="false">
      <c r="A862" s="22" t="s">
        <v>2738</v>
      </c>
      <c r="B862" s="22" t="s">
        <v>2739</v>
      </c>
      <c r="C862" s="22" t="s">
        <v>17</v>
      </c>
      <c r="D862" s="22" t="s">
        <v>62</v>
      </c>
      <c r="E862" s="22" t="s">
        <v>2740</v>
      </c>
      <c r="F862" s="23" t="n">
        <v>576740.77</v>
      </c>
      <c r="G862" s="24" t="n">
        <v>1.297</v>
      </c>
      <c r="H862" s="24" t="n">
        <v>0.3014</v>
      </c>
      <c r="I862" s="22" t="s">
        <v>203</v>
      </c>
      <c r="J862" s="22"/>
      <c r="K862" s="23" t="n">
        <v>298839.9</v>
      </c>
      <c r="L862" s="22" t="s">
        <v>204</v>
      </c>
      <c r="M862" s="22" t="s">
        <v>205</v>
      </c>
    </row>
    <row r="863" customFormat="false" ht="15" hidden="false" customHeight="false" outlineLevel="0" collapsed="false">
      <c r="A863" s="22" t="s">
        <v>2741</v>
      </c>
      <c r="B863" s="22" t="s">
        <v>2742</v>
      </c>
      <c r="C863" s="22" t="s">
        <v>15</v>
      </c>
      <c r="D863" s="22" t="s">
        <v>60</v>
      </c>
      <c r="E863" s="22" t="s">
        <v>2743</v>
      </c>
      <c r="F863" s="23" t="n">
        <v>7036.05</v>
      </c>
      <c r="G863" s="24" t="n">
        <v>1.2276</v>
      </c>
      <c r="H863" s="24" t="n">
        <v>0.9021</v>
      </c>
      <c r="I863" s="22" t="s">
        <v>203</v>
      </c>
      <c r="J863" s="22"/>
      <c r="K863" s="23" t="n">
        <v>10310.88</v>
      </c>
      <c r="L863" s="22" t="s">
        <v>204</v>
      </c>
      <c r="M863" s="22" t="s">
        <v>205</v>
      </c>
    </row>
    <row r="864" customFormat="false" ht="15" hidden="false" customHeight="false" outlineLevel="0" collapsed="false">
      <c r="A864" s="22" t="s">
        <v>2744</v>
      </c>
      <c r="B864" s="22" t="s">
        <v>2745</v>
      </c>
      <c r="C864" s="22" t="s">
        <v>19</v>
      </c>
      <c r="D864" s="22" t="s">
        <v>58</v>
      </c>
      <c r="E864" s="22" t="s">
        <v>2746</v>
      </c>
      <c r="F864" s="23" t="n">
        <v>53994.1</v>
      </c>
      <c r="G864" s="24" t="n">
        <v>1.248</v>
      </c>
      <c r="H864" s="24" t="n">
        <v>0.272</v>
      </c>
      <c r="I864" s="22" t="s">
        <v>203</v>
      </c>
      <c r="J864" s="22"/>
      <c r="K864" s="23" t="n">
        <v>24480.84</v>
      </c>
      <c r="L864" s="22" t="s">
        <v>204</v>
      </c>
      <c r="M864" s="22" t="s">
        <v>205</v>
      </c>
    </row>
    <row r="865" customFormat="false" ht="15" hidden="false" customHeight="false" outlineLevel="0" collapsed="false">
      <c r="A865" s="22" t="s">
        <v>2747</v>
      </c>
      <c r="B865" s="22" t="s">
        <v>2748</v>
      </c>
      <c r="C865" s="22" t="s">
        <v>17</v>
      </c>
      <c r="D865" s="22" t="s">
        <v>62</v>
      </c>
      <c r="E865" s="22" t="s">
        <v>2749</v>
      </c>
      <c r="F865" s="23" t="n">
        <v>1706031.73</v>
      </c>
      <c r="G865" s="24" t="n">
        <v>1.1779</v>
      </c>
      <c r="H865" s="24" t="n">
        <v>0.4922</v>
      </c>
      <c r="I865" s="22" t="s">
        <v>203</v>
      </c>
      <c r="J865" s="22"/>
      <c r="K865" s="23" t="n">
        <v>1311027.61</v>
      </c>
      <c r="L865" s="22" t="s">
        <v>204</v>
      </c>
      <c r="M865" s="22" t="s">
        <v>205</v>
      </c>
    </row>
    <row r="866" customFormat="false" ht="15" hidden="false" customHeight="false" outlineLevel="0" collapsed="false">
      <c r="A866" s="22" t="s">
        <v>2750</v>
      </c>
      <c r="B866" s="22" t="s">
        <v>2751</v>
      </c>
      <c r="C866" s="22" t="s">
        <v>15</v>
      </c>
      <c r="D866" s="22" t="s">
        <v>58</v>
      </c>
      <c r="E866" s="22" t="s">
        <v>2752</v>
      </c>
      <c r="F866" s="23" t="n">
        <v>50500.97</v>
      </c>
      <c r="G866" s="24" t="n">
        <v>1.0982</v>
      </c>
      <c r="H866" s="24" t="n">
        <v>0.881</v>
      </c>
      <c r="I866" s="22" t="s">
        <v>203</v>
      </c>
      <c r="J866" s="22"/>
      <c r="K866" s="23" t="n">
        <v>64656.52</v>
      </c>
      <c r="L866" s="22" t="s">
        <v>204</v>
      </c>
      <c r="M866" s="22" t="s">
        <v>205</v>
      </c>
    </row>
    <row r="867" customFormat="false" ht="15" hidden="false" customHeight="false" outlineLevel="0" collapsed="false">
      <c r="A867" s="22" t="s">
        <v>2753</v>
      </c>
      <c r="B867" s="22" t="s">
        <v>2754</v>
      </c>
      <c r="C867" s="22" t="s">
        <v>15</v>
      </c>
      <c r="D867" s="22" t="s">
        <v>58</v>
      </c>
      <c r="E867" s="22" t="s">
        <v>2755</v>
      </c>
      <c r="F867" s="23" t="n">
        <v>40251.07</v>
      </c>
      <c r="G867" s="24" t="n">
        <v>1.2885</v>
      </c>
      <c r="H867" s="24" t="n">
        <v>0.8721</v>
      </c>
      <c r="I867" s="22" t="s">
        <v>203</v>
      </c>
      <c r="J867" s="22"/>
      <c r="K867" s="23" t="n">
        <v>59852.65</v>
      </c>
      <c r="L867" s="22" t="s">
        <v>204</v>
      </c>
      <c r="M867" s="22" t="s">
        <v>205</v>
      </c>
    </row>
    <row r="868" customFormat="false" ht="15" hidden="false" customHeight="false" outlineLevel="0" collapsed="false">
      <c r="A868" s="22" t="s">
        <v>2756</v>
      </c>
      <c r="B868" s="22" t="s">
        <v>2757</v>
      </c>
      <c r="C868" s="22" t="s">
        <v>17</v>
      </c>
      <c r="D868" s="22" t="s">
        <v>59</v>
      </c>
      <c r="E868" s="22" t="s">
        <v>2758</v>
      </c>
      <c r="F868" s="23" t="n">
        <v>39865.25</v>
      </c>
      <c r="G868" s="24" t="n">
        <v>1.2993</v>
      </c>
      <c r="H868" s="24" t="n">
        <v>0.712</v>
      </c>
      <c r="I868" s="22" t="s">
        <v>203</v>
      </c>
      <c r="J868" s="22"/>
      <c r="K868" s="23" t="n">
        <v>48883.09</v>
      </c>
      <c r="L868" s="22" t="s">
        <v>204</v>
      </c>
      <c r="M868" s="22" t="s">
        <v>205</v>
      </c>
    </row>
    <row r="869" customFormat="false" ht="15" hidden="false" customHeight="false" outlineLevel="0" collapsed="false">
      <c r="A869" s="22" t="s">
        <v>2759</v>
      </c>
      <c r="B869" s="22" t="s">
        <v>2760</v>
      </c>
      <c r="C869" s="22" t="s">
        <v>15</v>
      </c>
      <c r="D869" s="22" t="s">
        <v>59</v>
      </c>
      <c r="E869" s="22" t="s">
        <v>2761</v>
      </c>
      <c r="F869" s="23" t="n">
        <v>96003.48</v>
      </c>
      <c r="G869" s="24" t="n">
        <v>1.1051</v>
      </c>
      <c r="H869" s="24" t="n">
        <v>0.9876</v>
      </c>
      <c r="I869" s="22" t="s">
        <v>203</v>
      </c>
      <c r="J869" s="22"/>
      <c r="K869" s="23" t="n">
        <v>138651.61</v>
      </c>
      <c r="L869" s="22" t="s">
        <v>204</v>
      </c>
      <c r="M869" s="22" t="s">
        <v>205</v>
      </c>
    </row>
    <row r="870" customFormat="false" ht="15" hidden="false" customHeight="false" outlineLevel="0" collapsed="false">
      <c r="A870" s="22" t="s">
        <v>2762</v>
      </c>
      <c r="B870" s="22" t="s">
        <v>2763</v>
      </c>
      <c r="C870" s="22" t="s">
        <v>15</v>
      </c>
      <c r="D870" s="22" t="s">
        <v>60</v>
      </c>
      <c r="E870" s="22" t="s">
        <v>2764</v>
      </c>
      <c r="F870" s="23" t="n">
        <v>19519.38</v>
      </c>
      <c r="G870" s="24" t="n">
        <v>1.1804</v>
      </c>
      <c r="H870" s="24" t="n">
        <v>0.2098</v>
      </c>
      <c r="I870" s="22" t="s">
        <v>203</v>
      </c>
      <c r="J870" s="22"/>
      <c r="K870" s="23" t="n">
        <v>6396.7</v>
      </c>
      <c r="L870" s="22" t="s">
        <v>204</v>
      </c>
      <c r="M870" s="22" t="s">
        <v>205</v>
      </c>
    </row>
    <row r="871" customFormat="false" ht="15" hidden="false" customHeight="false" outlineLevel="0" collapsed="false">
      <c r="A871" s="22" t="s">
        <v>2765</v>
      </c>
      <c r="B871" s="22" t="s">
        <v>2766</v>
      </c>
      <c r="C871" s="22" t="s">
        <v>15</v>
      </c>
      <c r="D871" s="22" t="s">
        <v>61</v>
      </c>
      <c r="E871" s="22" t="s">
        <v>2767</v>
      </c>
      <c r="F871" s="23" t="n">
        <v>5460.74</v>
      </c>
      <c r="G871" s="24" t="n">
        <v>1.298</v>
      </c>
      <c r="H871" s="24" t="n">
        <v>0.6864</v>
      </c>
      <c r="I871" s="22" t="s">
        <v>203</v>
      </c>
      <c r="J871" s="22"/>
      <c r="K871" s="23" t="n">
        <v>6438.12</v>
      </c>
      <c r="L871" s="22" t="s">
        <v>204</v>
      </c>
      <c r="M871" s="22" t="s">
        <v>205</v>
      </c>
    </row>
    <row r="872" customFormat="false" ht="15" hidden="false" customHeight="false" outlineLevel="0" collapsed="false">
      <c r="A872" s="22" t="s">
        <v>2768</v>
      </c>
      <c r="B872" s="22" t="s">
        <v>2769</v>
      </c>
      <c r="C872" s="22" t="s">
        <v>15</v>
      </c>
      <c r="D872" s="22" t="s">
        <v>58</v>
      </c>
      <c r="E872" s="22" t="s">
        <v>2534</v>
      </c>
      <c r="F872" s="23" t="n">
        <v>31685.95</v>
      </c>
      <c r="G872" s="24" t="n">
        <v>1.0168</v>
      </c>
      <c r="H872" s="24" t="n">
        <v>0.5339</v>
      </c>
      <c r="I872" s="22" t="s">
        <v>203</v>
      </c>
      <c r="J872" s="22"/>
      <c r="K872" s="23" t="n">
        <v>22762.37</v>
      </c>
      <c r="L872" s="22" t="s">
        <v>204</v>
      </c>
      <c r="M872" s="22" t="s">
        <v>205</v>
      </c>
    </row>
    <row r="873" customFormat="false" ht="15" hidden="false" customHeight="false" outlineLevel="0" collapsed="false">
      <c r="A873" s="22" t="s">
        <v>2770</v>
      </c>
      <c r="B873" s="22" t="s">
        <v>2771</v>
      </c>
      <c r="C873" s="22" t="s">
        <v>15</v>
      </c>
      <c r="D873" s="22" t="s">
        <v>59</v>
      </c>
      <c r="E873" s="22" t="s">
        <v>2772</v>
      </c>
      <c r="F873" s="23" t="n">
        <v>162229.98</v>
      </c>
      <c r="G873" s="24" t="n">
        <v>1.2511</v>
      </c>
      <c r="H873" s="24" t="n">
        <v>0.2537</v>
      </c>
      <c r="I873" s="22" t="s">
        <v>203</v>
      </c>
      <c r="J873" s="22"/>
      <c r="K873" s="23" t="n">
        <v>68139.49</v>
      </c>
      <c r="L873" s="22" t="s">
        <v>204</v>
      </c>
      <c r="M873" s="22" t="s">
        <v>205</v>
      </c>
    </row>
    <row r="874" customFormat="false" ht="15" hidden="false" customHeight="false" outlineLevel="0" collapsed="false">
      <c r="A874" s="22" t="s">
        <v>2773</v>
      </c>
      <c r="B874" s="22" t="s">
        <v>2774</v>
      </c>
      <c r="C874" s="22" t="s">
        <v>17</v>
      </c>
      <c r="D874" s="22" t="s">
        <v>58</v>
      </c>
      <c r="E874" s="22" t="s">
        <v>2775</v>
      </c>
      <c r="F874" s="23" t="n">
        <v>29327.53</v>
      </c>
      <c r="G874" s="24" t="n">
        <v>1.2219</v>
      </c>
      <c r="H874" s="24" t="n">
        <v>0.4635</v>
      </c>
      <c r="I874" s="22" t="s">
        <v>203</v>
      </c>
      <c r="J874" s="22"/>
      <c r="K874" s="23" t="n">
        <v>22015.86</v>
      </c>
      <c r="L874" s="22" t="s">
        <v>204</v>
      </c>
      <c r="M874" s="22" t="s">
        <v>205</v>
      </c>
    </row>
    <row r="875" customFormat="false" ht="15" hidden="false" customHeight="false" outlineLevel="0" collapsed="false">
      <c r="A875" s="22" t="s">
        <v>2776</v>
      </c>
      <c r="B875" s="22" t="s">
        <v>2777</v>
      </c>
      <c r="C875" s="22" t="s">
        <v>15</v>
      </c>
      <c r="D875" s="22" t="s">
        <v>61</v>
      </c>
      <c r="E875" s="22" t="s">
        <v>2778</v>
      </c>
      <c r="F875" s="23" t="n">
        <v>9891.18</v>
      </c>
      <c r="G875" s="24" t="n">
        <v>1.2345</v>
      </c>
      <c r="H875" s="24" t="n">
        <v>0.2546</v>
      </c>
      <c r="I875" s="22" t="s">
        <v>203</v>
      </c>
      <c r="J875" s="22"/>
      <c r="K875" s="23" t="n">
        <v>4113.89</v>
      </c>
      <c r="L875" s="22" t="s">
        <v>204</v>
      </c>
      <c r="M875" s="22" t="s">
        <v>205</v>
      </c>
    </row>
    <row r="876" customFormat="false" ht="15" hidden="false" customHeight="false" outlineLevel="0" collapsed="false">
      <c r="A876" s="22" t="s">
        <v>2779</v>
      </c>
      <c r="B876" s="22" t="s">
        <v>2780</v>
      </c>
      <c r="C876" s="22" t="s">
        <v>15</v>
      </c>
      <c r="D876" s="22" t="s">
        <v>60</v>
      </c>
      <c r="E876" s="22" t="s">
        <v>2781</v>
      </c>
      <c r="F876" s="23" t="n">
        <v>22455.54</v>
      </c>
      <c r="G876" s="24" t="n">
        <v>1.0113</v>
      </c>
      <c r="H876" s="24" t="n">
        <v>0.9514</v>
      </c>
      <c r="I876" s="22" t="s">
        <v>203</v>
      </c>
      <c r="J876" s="22"/>
      <c r="K876" s="23" t="n">
        <v>28590.51</v>
      </c>
      <c r="L876" s="22" t="s">
        <v>204</v>
      </c>
      <c r="M876" s="22" t="s">
        <v>205</v>
      </c>
    </row>
    <row r="877" customFormat="false" ht="15" hidden="false" customHeight="false" outlineLevel="0" collapsed="false">
      <c r="A877" s="22" t="s">
        <v>2782</v>
      </c>
      <c r="B877" s="22" t="s">
        <v>2783</v>
      </c>
      <c r="C877" s="22" t="s">
        <v>19</v>
      </c>
      <c r="D877" s="22" t="s">
        <v>60</v>
      </c>
      <c r="E877" s="22" t="s">
        <v>2784</v>
      </c>
      <c r="F877" s="23" t="n">
        <v>17132.71</v>
      </c>
      <c r="G877" s="24" t="n">
        <v>1.1711</v>
      </c>
      <c r="H877" s="24" t="n">
        <v>0.5367</v>
      </c>
      <c r="I877" s="22" t="s">
        <v>203</v>
      </c>
      <c r="J877" s="22"/>
      <c r="K877" s="23" t="n">
        <v>14382.96</v>
      </c>
      <c r="L877" s="22" t="s">
        <v>204</v>
      </c>
      <c r="M877" s="22" t="s">
        <v>205</v>
      </c>
    </row>
    <row r="878" customFormat="false" ht="15" hidden="false" customHeight="false" outlineLevel="0" collapsed="false">
      <c r="A878" s="22" t="s">
        <v>2785</v>
      </c>
      <c r="B878" s="22" t="s">
        <v>2786</v>
      </c>
      <c r="C878" s="22" t="s">
        <v>19</v>
      </c>
      <c r="D878" s="22" t="s">
        <v>60</v>
      </c>
      <c r="E878" s="22" t="s">
        <v>2787</v>
      </c>
      <c r="F878" s="23" t="n">
        <v>22651.55</v>
      </c>
      <c r="G878" s="24" t="n">
        <v>1.2913</v>
      </c>
      <c r="H878" s="24" t="n">
        <v>0.9804</v>
      </c>
      <c r="I878" s="22" t="s">
        <v>203</v>
      </c>
      <c r="J878" s="22"/>
      <c r="K878" s="23" t="n">
        <v>38302.31</v>
      </c>
      <c r="L878" s="22" t="s">
        <v>204</v>
      </c>
      <c r="M878" s="22" t="s">
        <v>205</v>
      </c>
    </row>
    <row r="879" customFormat="false" ht="15" hidden="false" customHeight="false" outlineLevel="0" collapsed="false">
      <c r="A879" s="22" t="s">
        <v>2788</v>
      </c>
      <c r="B879" s="22" t="s">
        <v>2789</v>
      </c>
      <c r="C879" s="22" t="s">
        <v>19</v>
      </c>
      <c r="D879" s="22" t="s">
        <v>61</v>
      </c>
      <c r="E879" s="22" t="s">
        <v>2790</v>
      </c>
      <c r="F879" s="23" t="n">
        <v>8320.54</v>
      </c>
      <c r="G879" s="24" t="n">
        <v>1.1666</v>
      </c>
      <c r="H879" s="24" t="n">
        <v>0.4637</v>
      </c>
      <c r="I879" s="22" t="s">
        <v>203</v>
      </c>
      <c r="J879" s="22"/>
      <c r="K879" s="23" t="n">
        <v>6011.84</v>
      </c>
      <c r="L879" s="22" t="s">
        <v>204</v>
      </c>
      <c r="M879" s="22" t="s">
        <v>205</v>
      </c>
    </row>
    <row r="880" customFormat="false" ht="15" hidden="false" customHeight="false" outlineLevel="0" collapsed="false">
      <c r="A880" s="22" t="s">
        <v>2791</v>
      </c>
      <c r="B880" s="22" t="s">
        <v>2792</v>
      </c>
      <c r="C880" s="22" t="s">
        <v>17</v>
      </c>
      <c r="D880" s="22" t="s">
        <v>58</v>
      </c>
      <c r="E880" s="22" t="s">
        <v>2793</v>
      </c>
      <c r="F880" s="23" t="n">
        <v>77820.43</v>
      </c>
      <c r="G880" s="24" t="n">
        <v>1.1446</v>
      </c>
      <c r="H880" s="24" t="n">
        <v>0.1019</v>
      </c>
      <c r="I880" s="22" t="s">
        <v>203</v>
      </c>
      <c r="J880" s="22"/>
      <c r="K880" s="23" t="n">
        <v>12030.85</v>
      </c>
      <c r="L880" s="22" t="s">
        <v>204</v>
      </c>
      <c r="M880" s="22" t="s">
        <v>205</v>
      </c>
    </row>
    <row r="881" customFormat="false" ht="15" hidden="false" customHeight="false" outlineLevel="0" collapsed="false">
      <c r="A881" s="22" t="s">
        <v>2794</v>
      </c>
      <c r="B881" s="22" t="s">
        <v>2795</v>
      </c>
      <c r="C881" s="22" t="s">
        <v>17</v>
      </c>
      <c r="D881" s="22" t="s">
        <v>58</v>
      </c>
      <c r="E881" s="22" t="s">
        <v>2796</v>
      </c>
      <c r="F881" s="23" t="n">
        <v>52301.19</v>
      </c>
      <c r="G881" s="24" t="n">
        <v>1.0435</v>
      </c>
      <c r="H881" s="24" t="n">
        <v>0.7352</v>
      </c>
      <c r="I881" s="22" t="s">
        <v>203</v>
      </c>
      <c r="J881" s="22"/>
      <c r="K881" s="23" t="n">
        <v>53184.4</v>
      </c>
      <c r="L881" s="22" t="s">
        <v>204</v>
      </c>
      <c r="M881" s="22" t="s">
        <v>205</v>
      </c>
    </row>
    <row r="882" customFormat="false" ht="15" hidden="false" customHeight="false" outlineLevel="0" collapsed="false">
      <c r="A882" s="22" t="s">
        <v>2797</v>
      </c>
      <c r="B882" s="22" t="s">
        <v>2798</v>
      </c>
      <c r="C882" s="22" t="s">
        <v>15</v>
      </c>
      <c r="D882" s="22" t="s">
        <v>60</v>
      </c>
      <c r="E882" s="22" t="s">
        <v>2799</v>
      </c>
      <c r="F882" s="23" t="n">
        <v>29193.17</v>
      </c>
      <c r="G882" s="24" t="n">
        <v>1.0385</v>
      </c>
      <c r="H882" s="24" t="n">
        <v>0.2911</v>
      </c>
      <c r="I882" s="22" t="s">
        <v>203</v>
      </c>
      <c r="J882" s="22"/>
      <c r="K882" s="23" t="n">
        <v>11678.45</v>
      </c>
      <c r="L882" s="22" t="s">
        <v>204</v>
      </c>
      <c r="M882" s="22" t="s">
        <v>205</v>
      </c>
    </row>
    <row r="883" customFormat="false" ht="15" hidden="false" customHeight="false" outlineLevel="0" collapsed="false">
      <c r="A883" s="22" t="s">
        <v>2800</v>
      </c>
      <c r="B883" s="22" t="s">
        <v>2801</v>
      </c>
      <c r="C883" s="22" t="s">
        <v>17</v>
      </c>
      <c r="D883" s="22" t="s">
        <v>61</v>
      </c>
      <c r="E883" s="22" t="s">
        <v>2802</v>
      </c>
      <c r="F883" s="23" t="n">
        <v>4020.81</v>
      </c>
      <c r="G883" s="24" t="n">
        <v>1.1563</v>
      </c>
      <c r="H883" s="24" t="n">
        <v>0.5379</v>
      </c>
      <c r="I883" s="22" t="s">
        <v>203</v>
      </c>
      <c r="J883" s="22"/>
      <c r="K883" s="23" t="n">
        <v>3314.82</v>
      </c>
      <c r="L883" s="22" t="s">
        <v>204</v>
      </c>
      <c r="M883" s="22" t="s">
        <v>205</v>
      </c>
    </row>
    <row r="884" customFormat="false" ht="15" hidden="false" customHeight="false" outlineLevel="0" collapsed="false">
      <c r="A884" s="22" t="s">
        <v>2803</v>
      </c>
      <c r="B884" s="22" t="s">
        <v>2804</v>
      </c>
      <c r="C884" s="22" t="s">
        <v>15</v>
      </c>
      <c r="D884" s="22" t="s">
        <v>61</v>
      </c>
      <c r="E884" s="22" t="s">
        <v>2805</v>
      </c>
      <c r="F884" s="23" t="n">
        <v>6591.88</v>
      </c>
      <c r="G884" s="24" t="n">
        <v>1.1895</v>
      </c>
      <c r="H884" s="24" t="n">
        <v>0.848</v>
      </c>
      <c r="I884" s="22" t="s">
        <v>203</v>
      </c>
      <c r="J884" s="22"/>
      <c r="K884" s="23" t="n">
        <v>8798.83</v>
      </c>
      <c r="L884" s="22" t="s">
        <v>204</v>
      </c>
      <c r="M884" s="22" t="s">
        <v>205</v>
      </c>
    </row>
    <row r="885" customFormat="false" ht="15" hidden="false" customHeight="false" outlineLevel="0" collapsed="false">
      <c r="A885" s="22" t="s">
        <v>2806</v>
      </c>
      <c r="B885" s="22" t="s">
        <v>2807</v>
      </c>
      <c r="C885" s="22" t="s">
        <v>17</v>
      </c>
      <c r="D885" s="22" t="s">
        <v>61</v>
      </c>
      <c r="E885" s="22" t="s">
        <v>2808</v>
      </c>
      <c r="F885" s="23" t="n">
        <v>2219.09</v>
      </c>
      <c r="G885" s="24" t="n">
        <v>1.1019</v>
      </c>
      <c r="H885" s="24" t="n">
        <v>0.5689</v>
      </c>
      <c r="I885" s="22" t="s">
        <v>203</v>
      </c>
      <c r="J885" s="22"/>
      <c r="K885" s="23" t="n">
        <v>1843.86</v>
      </c>
      <c r="L885" s="22" t="s">
        <v>204</v>
      </c>
      <c r="M885" s="22" t="s">
        <v>205</v>
      </c>
    </row>
    <row r="886" customFormat="false" ht="15" hidden="false" customHeight="false" outlineLevel="0" collapsed="false">
      <c r="A886" s="22" t="s">
        <v>2809</v>
      </c>
      <c r="B886" s="22" t="s">
        <v>2810</v>
      </c>
      <c r="C886" s="22" t="s">
        <v>15</v>
      </c>
      <c r="D886" s="22" t="s">
        <v>59</v>
      </c>
      <c r="E886" s="22" t="s">
        <v>2811</v>
      </c>
      <c r="F886" s="23" t="n">
        <v>103954.62</v>
      </c>
      <c r="G886" s="24" t="n">
        <v>1.0015</v>
      </c>
      <c r="H886" s="24" t="n">
        <v>0.0999</v>
      </c>
      <c r="I886" s="22" t="s">
        <v>203</v>
      </c>
      <c r="J886" s="22"/>
      <c r="K886" s="23" t="n">
        <v>13763.08</v>
      </c>
      <c r="L886" s="22" t="s">
        <v>204</v>
      </c>
      <c r="M886" s="22" t="s">
        <v>205</v>
      </c>
    </row>
    <row r="887" customFormat="false" ht="15" hidden="false" customHeight="false" outlineLevel="0" collapsed="false">
      <c r="A887" s="22" t="s">
        <v>2812</v>
      </c>
      <c r="B887" s="22" t="s">
        <v>2813</v>
      </c>
      <c r="C887" s="22" t="s">
        <v>17</v>
      </c>
      <c r="D887" s="22" t="s">
        <v>61</v>
      </c>
      <c r="E887" s="22" t="s">
        <v>2814</v>
      </c>
      <c r="F887" s="23" t="n">
        <v>7850.84</v>
      </c>
      <c r="G887" s="24" t="n">
        <v>1.1634</v>
      </c>
      <c r="H887" s="24" t="n">
        <v>0.3086</v>
      </c>
      <c r="I887" s="22" t="s">
        <v>203</v>
      </c>
      <c r="J887" s="22"/>
      <c r="K887" s="23" t="n">
        <v>3736.08</v>
      </c>
      <c r="L887" s="22" t="s">
        <v>204</v>
      </c>
      <c r="M887" s="22" t="s">
        <v>205</v>
      </c>
    </row>
    <row r="888" customFormat="false" ht="15" hidden="false" customHeight="false" outlineLevel="0" collapsed="false">
      <c r="A888" s="22" t="s">
        <v>2815</v>
      </c>
      <c r="B888" s="22" t="s">
        <v>2816</v>
      </c>
      <c r="C888" s="22" t="s">
        <v>19</v>
      </c>
      <c r="D888" s="22" t="s">
        <v>60</v>
      </c>
      <c r="E888" s="22" t="s">
        <v>2817</v>
      </c>
      <c r="F888" s="23" t="n">
        <v>29807.86</v>
      </c>
      <c r="G888" s="24" t="n">
        <v>1.2484</v>
      </c>
      <c r="H888" s="24" t="n">
        <v>0.62</v>
      </c>
      <c r="I888" s="22" t="s">
        <v>203</v>
      </c>
      <c r="J888" s="22"/>
      <c r="K888" s="23" t="n">
        <v>30815.75</v>
      </c>
      <c r="L888" s="22" t="s">
        <v>204</v>
      </c>
      <c r="M888" s="22" t="s">
        <v>205</v>
      </c>
    </row>
    <row r="889" customFormat="false" ht="15" hidden="false" customHeight="false" outlineLevel="0" collapsed="false">
      <c r="A889" s="22" t="s">
        <v>2818</v>
      </c>
      <c r="B889" s="22" t="s">
        <v>2819</v>
      </c>
      <c r="C889" s="22" t="s">
        <v>15</v>
      </c>
      <c r="D889" s="22" t="s">
        <v>58</v>
      </c>
      <c r="E889" s="22" t="s">
        <v>1696</v>
      </c>
      <c r="F889" s="23" t="n">
        <v>44462.21</v>
      </c>
      <c r="G889" s="24" t="n">
        <v>1.2424</v>
      </c>
      <c r="H889" s="24" t="n">
        <v>0.7334</v>
      </c>
      <c r="I889" s="22" t="s">
        <v>203</v>
      </c>
      <c r="J889" s="22"/>
      <c r="K889" s="23" t="n">
        <v>53610.35</v>
      </c>
      <c r="L889" s="22" t="s">
        <v>204</v>
      </c>
      <c r="M889" s="22" t="s">
        <v>205</v>
      </c>
    </row>
    <row r="890" customFormat="false" ht="15" hidden="false" customHeight="false" outlineLevel="0" collapsed="false">
      <c r="A890" s="22" t="s">
        <v>2820</v>
      </c>
      <c r="B890" s="22" t="s">
        <v>2821</v>
      </c>
      <c r="C890" s="22" t="s">
        <v>15</v>
      </c>
      <c r="D890" s="22" t="s">
        <v>59</v>
      </c>
      <c r="E890" s="22" t="s">
        <v>2822</v>
      </c>
      <c r="F890" s="23" t="n">
        <v>104764.95</v>
      </c>
      <c r="G890" s="24" t="n">
        <v>1.1687</v>
      </c>
      <c r="H890" s="24" t="n">
        <v>0.0775</v>
      </c>
      <c r="I890" s="22" t="s">
        <v>203</v>
      </c>
      <c r="J890" s="22"/>
      <c r="K890" s="23" t="n">
        <v>12556.71</v>
      </c>
      <c r="L890" s="22" t="s">
        <v>204</v>
      </c>
      <c r="M890" s="22" t="s">
        <v>205</v>
      </c>
    </row>
    <row r="891" customFormat="false" ht="15" hidden="false" customHeight="false" outlineLevel="0" collapsed="false">
      <c r="A891" s="22" t="s">
        <v>2823</v>
      </c>
      <c r="B891" s="22" t="s">
        <v>2824</v>
      </c>
      <c r="C891" s="22" t="s">
        <v>17</v>
      </c>
      <c r="D891" s="22" t="s">
        <v>58</v>
      </c>
      <c r="E891" s="22" t="s">
        <v>2825</v>
      </c>
      <c r="F891" s="23" t="n">
        <v>19662.3</v>
      </c>
      <c r="G891" s="24" t="n">
        <v>1.2121</v>
      </c>
      <c r="H891" s="24" t="n">
        <v>0.532</v>
      </c>
      <c r="I891" s="22" t="s">
        <v>203</v>
      </c>
      <c r="J891" s="22"/>
      <c r="K891" s="23" t="n">
        <v>16805.8</v>
      </c>
      <c r="L891" s="22" t="s">
        <v>204</v>
      </c>
      <c r="M891" s="22" t="s">
        <v>205</v>
      </c>
    </row>
    <row r="892" customFormat="false" ht="15" hidden="false" customHeight="false" outlineLevel="0" collapsed="false">
      <c r="A892" s="22" t="s">
        <v>2826</v>
      </c>
      <c r="B892" s="22" t="s">
        <v>2827</v>
      </c>
      <c r="C892" s="22" t="s">
        <v>15</v>
      </c>
      <c r="D892" s="22" t="s">
        <v>60</v>
      </c>
      <c r="E892" s="22" t="s">
        <v>2828</v>
      </c>
      <c r="F892" s="23" t="n">
        <v>11761.33</v>
      </c>
      <c r="G892" s="24" t="n">
        <v>1.2086</v>
      </c>
      <c r="H892" s="24" t="n">
        <v>0.181</v>
      </c>
      <c r="I892" s="22" t="s">
        <v>203</v>
      </c>
      <c r="J892" s="22"/>
      <c r="K892" s="23" t="n">
        <v>3404.65</v>
      </c>
      <c r="L892" s="22" t="s">
        <v>204</v>
      </c>
      <c r="M892" s="22" t="s">
        <v>205</v>
      </c>
    </row>
    <row r="893" customFormat="false" ht="15" hidden="false" customHeight="false" outlineLevel="0" collapsed="false">
      <c r="A893" s="22" t="s">
        <v>2829</v>
      </c>
      <c r="B893" s="22" t="s">
        <v>2830</v>
      </c>
      <c r="C893" s="22" t="s">
        <v>17</v>
      </c>
      <c r="D893" s="22" t="s">
        <v>60</v>
      </c>
      <c r="E893" s="22" t="s">
        <v>2831</v>
      </c>
      <c r="F893" s="23" t="n">
        <v>9800.98</v>
      </c>
      <c r="G893" s="24" t="n">
        <v>1.0805</v>
      </c>
      <c r="H893" s="24" t="n">
        <v>0.015</v>
      </c>
      <c r="I893" s="22" t="s">
        <v>203</v>
      </c>
      <c r="J893" s="22"/>
      <c r="K893" s="23" t="n">
        <v>210.55</v>
      </c>
      <c r="L893" s="22" t="s">
        <v>204</v>
      </c>
      <c r="M893" s="22" t="s">
        <v>205</v>
      </c>
    </row>
    <row r="894" customFormat="false" ht="15" hidden="false" customHeight="false" outlineLevel="0" collapsed="false">
      <c r="A894" s="22" t="s">
        <v>2832</v>
      </c>
      <c r="B894" s="22" t="s">
        <v>2833</v>
      </c>
      <c r="C894" s="22" t="s">
        <v>17</v>
      </c>
      <c r="D894" s="22" t="s">
        <v>60</v>
      </c>
      <c r="E894" s="22" t="s">
        <v>2834</v>
      </c>
      <c r="F894" s="23" t="n">
        <v>23922.35</v>
      </c>
      <c r="G894" s="24" t="n">
        <v>1.195</v>
      </c>
      <c r="H894" s="24" t="n">
        <v>0.9709</v>
      </c>
      <c r="I894" s="22" t="s">
        <v>203</v>
      </c>
      <c r="J894" s="22"/>
      <c r="K894" s="23" t="n">
        <v>36789.25</v>
      </c>
      <c r="L894" s="22" t="s">
        <v>204</v>
      </c>
      <c r="M894" s="22" t="s">
        <v>205</v>
      </c>
    </row>
    <row r="895" customFormat="false" ht="15" hidden="false" customHeight="false" outlineLevel="0" collapsed="false">
      <c r="A895" s="22" t="s">
        <v>2835</v>
      </c>
      <c r="B895" s="22" t="s">
        <v>2836</v>
      </c>
      <c r="C895" s="22" t="s">
        <v>15</v>
      </c>
      <c r="D895" s="22" t="s">
        <v>60</v>
      </c>
      <c r="E895" s="22" t="s">
        <v>2837</v>
      </c>
      <c r="F895" s="23" t="n">
        <v>27370.64</v>
      </c>
      <c r="G895" s="24" t="n">
        <v>1.1427</v>
      </c>
      <c r="H895" s="24" t="n">
        <v>0.0494</v>
      </c>
      <c r="I895" s="22" t="s">
        <v>203</v>
      </c>
      <c r="J895" s="22"/>
      <c r="K895" s="23" t="n">
        <v>2044.56</v>
      </c>
      <c r="L895" s="22" t="s">
        <v>204</v>
      </c>
      <c r="M895" s="22" t="s">
        <v>205</v>
      </c>
    </row>
    <row r="896" customFormat="false" ht="15" hidden="false" customHeight="false" outlineLevel="0" collapsed="false">
      <c r="A896" s="22" t="s">
        <v>2838</v>
      </c>
      <c r="B896" s="22" t="s">
        <v>2839</v>
      </c>
      <c r="C896" s="22" t="s">
        <v>17</v>
      </c>
      <c r="D896" s="22" t="s">
        <v>58</v>
      </c>
      <c r="E896" s="22" t="s">
        <v>2840</v>
      </c>
      <c r="F896" s="23" t="n">
        <v>75620.19</v>
      </c>
      <c r="G896" s="24" t="n">
        <v>1.248</v>
      </c>
      <c r="H896" s="24" t="n">
        <v>0.2077</v>
      </c>
      <c r="I896" s="22" t="s">
        <v>203</v>
      </c>
      <c r="J896" s="22"/>
      <c r="K896" s="23" t="n">
        <v>25981.46</v>
      </c>
      <c r="L896" s="22" t="s">
        <v>204</v>
      </c>
      <c r="M896" s="22" t="s">
        <v>205</v>
      </c>
    </row>
    <row r="897" customFormat="false" ht="15" hidden="false" customHeight="false" outlineLevel="0" collapsed="false">
      <c r="A897" s="22" t="s">
        <v>2841</v>
      </c>
      <c r="B897" s="22" t="s">
        <v>2842</v>
      </c>
      <c r="C897" s="22" t="s">
        <v>15</v>
      </c>
      <c r="D897" s="22" t="s">
        <v>61</v>
      </c>
      <c r="E897" s="22" t="s">
        <v>2843</v>
      </c>
      <c r="F897" s="23" t="n">
        <v>2123</v>
      </c>
      <c r="G897" s="24" t="n">
        <v>1.1341</v>
      </c>
      <c r="H897" s="24" t="n">
        <v>0.1892</v>
      </c>
      <c r="I897" s="22" t="s">
        <v>203</v>
      </c>
      <c r="J897" s="22"/>
      <c r="K897" s="23" t="n">
        <v>602.81</v>
      </c>
      <c r="L897" s="22" t="s">
        <v>204</v>
      </c>
      <c r="M897" s="22" t="s">
        <v>205</v>
      </c>
    </row>
    <row r="898" customFormat="false" ht="15" hidden="false" customHeight="false" outlineLevel="0" collapsed="false">
      <c r="A898" s="22" t="s">
        <v>2844</v>
      </c>
      <c r="B898" s="22" t="s">
        <v>2845</v>
      </c>
      <c r="C898" s="22" t="s">
        <v>17</v>
      </c>
      <c r="D898" s="22" t="s">
        <v>58</v>
      </c>
      <c r="E898" s="22" t="s">
        <v>2846</v>
      </c>
      <c r="F898" s="23" t="n">
        <v>25252.42</v>
      </c>
      <c r="G898" s="24" t="n">
        <v>1.0185</v>
      </c>
      <c r="H898" s="24" t="n">
        <v>0.245</v>
      </c>
      <c r="I898" s="22" t="s">
        <v>203</v>
      </c>
      <c r="J898" s="22"/>
      <c r="K898" s="23" t="n">
        <v>8352.28</v>
      </c>
      <c r="L898" s="22" t="s">
        <v>204</v>
      </c>
      <c r="M898" s="22" t="s">
        <v>205</v>
      </c>
    </row>
    <row r="899" customFormat="false" ht="15" hidden="false" customHeight="false" outlineLevel="0" collapsed="false">
      <c r="A899" s="22" t="s">
        <v>2847</v>
      </c>
      <c r="B899" s="22" t="s">
        <v>2848</v>
      </c>
      <c r="C899" s="22" t="s">
        <v>17</v>
      </c>
      <c r="D899" s="22" t="s">
        <v>61</v>
      </c>
      <c r="E899" s="22" t="s">
        <v>2849</v>
      </c>
      <c r="F899" s="23" t="n">
        <v>3467.12</v>
      </c>
      <c r="G899" s="24" t="n">
        <v>1.2964</v>
      </c>
      <c r="H899" s="24" t="n">
        <v>0.354</v>
      </c>
      <c r="I899" s="22" t="s">
        <v>203</v>
      </c>
      <c r="J899" s="22"/>
      <c r="K899" s="23" t="n">
        <v>2109.05</v>
      </c>
      <c r="L899" s="22" t="s">
        <v>204</v>
      </c>
      <c r="M899" s="22" t="s">
        <v>205</v>
      </c>
    </row>
    <row r="900" customFormat="false" ht="15" hidden="false" customHeight="false" outlineLevel="0" collapsed="false">
      <c r="A900" s="22" t="s">
        <v>2850</v>
      </c>
      <c r="B900" s="22" t="s">
        <v>2851</v>
      </c>
      <c r="C900" s="22" t="s">
        <v>15</v>
      </c>
      <c r="D900" s="22" t="s">
        <v>58</v>
      </c>
      <c r="E900" s="22" t="s">
        <v>2852</v>
      </c>
      <c r="F900" s="23" t="n">
        <v>56318.75</v>
      </c>
      <c r="G900" s="24" t="n">
        <v>1.0151</v>
      </c>
      <c r="H900" s="24" t="n">
        <v>0.4494</v>
      </c>
      <c r="I900" s="22" t="s">
        <v>203</v>
      </c>
      <c r="J900" s="22"/>
      <c r="K900" s="23" t="n">
        <v>33997.75</v>
      </c>
      <c r="L900" s="22" t="s">
        <v>204</v>
      </c>
      <c r="M900" s="22" t="s">
        <v>205</v>
      </c>
    </row>
    <row r="901" customFormat="false" ht="15" hidden="false" customHeight="false" outlineLevel="0" collapsed="false">
      <c r="A901" s="22" t="s">
        <v>2853</v>
      </c>
      <c r="B901" s="22" t="s">
        <v>2854</v>
      </c>
      <c r="C901" s="22" t="s">
        <v>15</v>
      </c>
      <c r="D901" s="22" t="s">
        <v>60</v>
      </c>
      <c r="E901" s="22" t="s">
        <v>2855</v>
      </c>
      <c r="F901" s="23" t="n">
        <v>19484.37</v>
      </c>
      <c r="G901" s="24" t="n">
        <v>1.2145</v>
      </c>
      <c r="H901" s="24" t="n">
        <v>0.3334</v>
      </c>
      <c r="I901" s="22" t="s">
        <v>203</v>
      </c>
      <c r="J901" s="22"/>
      <c r="K901" s="23" t="n">
        <v>10440.1</v>
      </c>
      <c r="L901" s="22" t="s">
        <v>204</v>
      </c>
      <c r="M901" s="22" t="s">
        <v>205</v>
      </c>
    </row>
    <row r="902" customFormat="false" ht="15" hidden="false" customHeight="false" outlineLevel="0" collapsed="false">
      <c r="A902" s="22" t="s">
        <v>2856</v>
      </c>
      <c r="B902" s="22" t="s">
        <v>2857</v>
      </c>
      <c r="C902" s="22" t="s">
        <v>15</v>
      </c>
      <c r="D902" s="22" t="s">
        <v>58</v>
      </c>
      <c r="E902" s="22" t="s">
        <v>2858</v>
      </c>
      <c r="F902" s="23" t="n">
        <v>47711.42</v>
      </c>
      <c r="G902" s="24" t="n">
        <v>1.0103</v>
      </c>
      <c r="H902" s="24" t="n">
        <v>0.9918</v>
      </c>
      <c r="I902" s="22" t="s">
        <v>203</v>
      </c>
      <c r="J902" s="22"/>
      <c r="K902" s="23" t="n">
        <v>63263.33</v>
      </c>
      <c r="L902" s="22" t="s">
        <v>204</v>
      </c>
      <c r="M902" s="22" t="s">
        <v>205</v>
      </c>
    </row>
    <row r="903" customFormat="false" ht="15" hidden="false" customHeight="false" outlineLevel="0" collapsed="false">
      <c r="A903" s="22" t="s">
        <v>2859</v>
      </c>
      <c r="B903" s="22" t="s">
        <v>2860</v>
      </c>
      <c r="C903" s="22" t="s">
        <v>15</v>
      </c>
      <c r="D903" s="22" t="s">
        <v>58</v>
      </c>
      <c r="E903" s="22" t="s">
        <v>1514</v>
      </c>
      <c r="F903" s="23" t="n">
        <v>37327.04</v>
      </c>
      <c r="G903" s="24" t="n">
        <v>1.2001</v>
      </c>
      <c r="H903" s="24" t="n">
        <v>0.7962</v>
      </c>
      <c r="I903" s="22" t="s">
        <v>203</v>
      </c>
      <c r="J903" s="22"/>
      <c r="K903" s="23" t="n">
        <v>51254.73</v>
      </c>
      <c r="L903" s="22" t="s">
        <v>204</v>
      </c>
      <c r="M903" s="22" t="s">
        <v>205</v>
      </c>
    </row>
    <row r="904" customFormat="false" ht="15" hidden="false" customHeight="false" outlineLevel="0" collapsed="false">
      <c r="A904" s="22" t="s">
        <v>2861</v>
      </c>
      <c r="B904" s="22" t="s">
        <v>2862</v>
      </c>
      <c r="C904" s="22" t="s">
        <v>17</v>
      </c>
      <c r="D904" s="22" t="s">
        <v>61</v>
      </c>
      <c r="E904" s="22" t="s">
        <v>2863</v>
      </c>
      <c r="F904" s="23" t="n">
        <v>8113.49</v>
      </c>
      <c r="G904" s="24" t="n">
        <v>1.2833</v>
      </c>
      <c r="H904" s="24" t="n">
        <v>0.2684</v>
      </c>
      <c r="I904" s="22" t="s">
        <v>203</v>
      </c>
      <c r="J904" s="22"/>
      <c r="K904" s="23" t="n">
        <v>3704.19</v>
      </c>
      <c r="L904" s="22" t="s">
        <v>204</v>
      </c>
      <c r="M904" s="22" t="s">
        <v>205</v>
      </c>
    </row>
    <row r="905" customFormat="false" ht="15" hidden="false" customHeight="false" outlineLevel="0" collapsed="false">
      <c r="A905" s="22" t="s">
        <v>2864</v>
      </c>
      <c r="B905" s="22" t="s">
        <v>2865</v>
      </c>
      <c r="C905" s="22" t="s">
        <v>15</v>
      </c>
      <c r="D905" s="22" t="s">
        <v>60</v>
      </c>
      <c r="E905" s="22" t="s">
        <v>2866</v>
      </c>
      <c r="F905" s="23" t="n">
        <v>13168.33</v>
      </c>
      <c r="G905" s="24" t="n">
        <v>1.2093</v>
      </c>
      <c r="H905" s="24" t="n">
        <v>0.5821</v>
      </c>
      <c r="I905" s="22" t="s">
        <v>203</v>
      </c>
      <c r="J905" s="22"/>
      <c r="K905" s="23" t="n">
        <v>12266.41</v>
      </c>
      <c r="L905" s="22" t="s">
        <v>204</v>
      </c>
      <c r="M905" s="22" t="s">
        <v>205</v>
      </c>
    </row>
    <row r="906" customFormat="false" ht="15" hidden="false" customHeight="false" outlineLevel="0" collapsed="false">
      <c r="A906" s="22" t="s">
        <v>2867</v>
      </c>
      <c r="B906" s="22" t="s">
        <v>2868</v>
      </c>
      <c r="C906" s="22" t="s">
        <v>17</v>
      </c>
      <c r="D906" s="22" t="s">
        <v>60</v>
      </c>
      <c r="E906" s="22" t="s">
        <v>2869</v>
      </c>
      <c r="F906" s="23" t="n">
        <v>26297.02</v>
      </c>
      <c r="G906" s="24" t="n">
        <v>1.2256</v>
      </c>
      <c r="H906" s="24" t="n">
        <v>0.2867</v>
      </c>
      <c r="I906" s="22" t="s">
        <v>203</v>
      </c>
      <c r="J906" s="22"/>
      <c r="K906" s="23" t="n">
        <v>12247.79</v>
      </c>
      <c r="L906" s="22" t="s">
        <v>204</v>
      </c>
      <c r="M906" s="22" t="s">
        <v>205</v>
      </c>
    </row>
    <row r="907" customFormat="false" ht="15" hidden="false" customHeight="false" outlineLevel="0" collapsed="false">
      <c r="A907" s="22" t="s">
        <v>2870</v>
      </c>
      <c r="B907" s="22" t="s">
        <v>2871</v>
      </c>
      <c r="C907" s="22" t="s">
        <v>17</v>
      </c>
      <c r="D907" s="22" t="s">
        <v>58</v>
      </c>
      <c r="E907" s="22" t="s">
        <v>2872</v>
      </c>
      <c r="F907" s="23" t="n">
        <v>26087.49</v>
      </c>
      <c r="G907" s="24" t="n">
        <v>1.1257</v>
      </c>
      <c r="H907" s="24" t="n">
        <v>0.7457</v>
      </c>
      <c r="I907" s="22" t="s">
        <v>203</v>
      </c>
      <c r="J907" s="22"/>
      <c r="K907" s="23" t="n">
        <v>29026.44</v>
      </c>
      <c r="L907" s="22" t="s">
        <v>204</v>
      </c>
      <c r="M907" s="22" t="s">
        <v>205</v>
      </c>
    </row>
    <row r="908" customFormat="false" ht="15" hidden="false" customHeight="false" outlineLevel="0" collapsed="false">
      <c r="A908" s="22" t="s">
        <v>2873</v>
      </c>
      <c r="B908" s="22" t="s">
        <v>2874</v>
      </c>
      <c r="C908" s="22" t="s">
        <v>19</v>
      </c>
      <c r="D908" s="22" t="s">
        <v>58</v>
      </c>
      <c r="E908" s="22" t="s">
        <v>2875</v>
      </c>
      <c r="F908" s="23" t="n">
        <v>27965.66</v>
      </c>
      <c r="G908" s="24" t="n">
        <v>1.1703</v>
      </c>
      <c r="H908" s="24" t="n">
        <v>0.3302</v>
      </c>
      <c r="I908" s="22" t="s">
        <v>203</v>
      </c>
      <c r="J908" s="22"/>
      <c r="K908" s="23" t="n">
        <v>14434.31</v>
      </c>
      <c r="L908" s="22" t="s">
        <v>204</v>
      </c>
      <c r="M908" s="22" t="s">
        <v>205</v>
      </c>
    </row>
    <row r="909" customFormat="false" ht="15" hidden="false" customHeight="false" outlineLevel="0" collapsed="false">
      <c r="A909" s="22" t="s">
        <v>2876</v>
      </c>
      <c r="B909" s="22" t="s">
        <v>2877</v>
      </c>
      <c r="C909" s="22" t="s">
        <v>15</v>
      </c>
      <c r="D909" s="22" t="s">
        <v>61</v>
      </c>
      <c r="E909" s="22" t="s">
        <v>2878</v>
      </c>
      <c r="F909" s="23" t="n">
        <v>9612.04</v>
      </c>
      <c r="G909" s="24" t="n">
        <v>1.0491</v>
      </c>
      <c r="H909" s="24" t="n">
        <v>0.0337</v>
      </c>
      <c r="I909" s="22" t="s">
        <v>203</v>
      </c>
      <c r="J909" s="22"/>
      <c r="K909" s="23" t="n">
        <v>449.69</v>
      </c>
      <c r="L909" s="22" t="s">
        <v>204</v>
      </c>
      <c r="M909" s="22" t="s">
        <v>205</v>
      </c>
    </row>
    <row r="910" customFormat="false" ht="15" hidden="false" customHeight="false" outlineLevel="0" collapsed="false">
      <c r="A910" s="22" t="s">
        <v>2879</v>
      </c>
      <c r="B910" s="22" t="s">
        <v>2880</v>
      </c>
      <c r="C910" s="22" t="s">
        <v>17</v>
      </c>
      <c r="D910" s="22" t="s">
        <v>60</v>
      </c>
      <c r="E910" s="22" t="s">
        <v>2881</v>
      </c>
      <c r="F910" s="23" t="n">
        <v>21756.33</v>
      </c>
      <c r="G910" s="24" t="n">
        <v>1.2174</v>
      </c>
      <c r="H910" s="24" t="n">
        <v>0.4159</v>
      </c>
      <c r="I910" s="22" t="s">
        <v>203</v>
      </c>
      <c r="J910" s="22"/>
      <c r="K910" s="23" t="n">
        <v>14601</v>
      </c>
      <c r="L910" s="22" t="s">
        <v>204</v>
      </c>
      <c r="M910" s="22" t="s">
        <v>205</v>
      </c>
    </row>
    <row r="911" customFormat="false" ht="15" hidden="false" customHeight="false" outlineLevel="0" collapsed="false">
      <c r="A911" s="22" t="s">
        <v>2882</v>
      </c>
      <c r="B911" s="22" t="s">
        <v>2883</v>
      </c>
      <c r="C911" s="22" t="s">
        <v>17</v>
      </c>
      <c r="D911" s="22" t="s">
        <v>62</v>
      </c>
      <c r="E911" s="22" t="s">
        <v>2884</v>
      </c>
      <c r="F911" s="23" t="n">
        <v>1553415.94</v>
      </c>
      <c r="G911" s="24" t="n">
        <v>1.2013</v>
      </c>
      <c r="H911" s="24" t="n">
        <v>0.8582</v>
      </c>
      <c r="I911" s="22" t="s">
        <v>203</v>
      </c>
      <c r="J911" s="22"/>
      <c r="K911" s="23" t="n">
        <v>2122767.59</v>
      </c>
      <c r="L911" s="22" t="s">
        <v>204</v>
      </c>
      <c r="M911" s="22" t="s">
        <v>205</v>
      </c>
    </row>
    <row r="912" customFormat="false" ht="15" hidden="false" customHeight="false" outlineLevel="0" collapsed="false">
      <c r="A912" s="22" t="s">
        <v>2885</v>
      </c>
      <c r="B912" s="22" t="s">
        <v>2886</v>
      </c>
      <c r="C912" s="22" t="s">
        <v>17</v>
      </c>
      <c r="D912" s="22" t="s">
        <v>60</v>
      </c>
      <c r="E912" s="22" t="s">
        <v>2887</v>
      </c>
      <c r="F912" s="23" t="n">
        <v>30020.99</v>
      </c>
      <c r="G912" s="24" t="n">
        <v>1.1697</v>
      </c>
      <c r="H912" s="24" t="n">
        <v>0.7205</v>
      </c>
      <c r="I912" s="22" t="s">
        <v>203</v>
      </c>
      <c r="J912" s="22"/>
      <c r="K912" s="23" t="n">
        <v>33535.76</v>
      </c>
      <c r="L912" s="22" t="s">
        <v>204</v>
      </c>
      <c r="M912" s="22" t="s">
        <v>205</v>
      </c>
    </row>
    <row r="913" customFormat="false" ht="15" hidden="false" customHeight="false" outlineLevel="0" collapsed="false">
      <c r="A913" s="22" t="s">
        <v>2888</v>
      </c>
      <c r="B913" s="22" t="s">
        <v>2889</v>
      </c>
      <c r="C913" s="22" t="s">
        <v>15</v>
      </c>
      <c r="D913" s="22" t="s">
        <v>61</v>
      </c>
      <c r="E913" s="22" t="s">
        <v>2890</v>
      </c>
      <c r="F913" s="23" t="n">
        <v>5659.1</v>
      </c>
      <c r="G913" s="24" t="n">
        <v>1.2615</v>
      </c>
      <c r="H913" s="24" t="n">
        <v>0.9812</v>
      </c>
      <c r="I913" s="22" t="s">
        <v>203</v>
      </c>
      <c r="J913" s="22"/>
      <c r="K913" s="23" t="n">
        <v>9269.31</v>
      </c>
      <c r="L913" s="22" t="s">
        <v>204</v>
      </c>
      <c r="M913" s="22" t="s">
        <v>205</v>
      </c>
    </row>
    <row r="914" customFormat="false" ht="15" hidden="false" customHeight="false" outlineLevel="0" collapsed="false">
      <c r="A914" s="22" t="s">
        <v>2891</v>
      </c>
      <c r="B914" s="22" t="s">
        <v>2892</v>
      </c>
      <c r="C914" s="22" t="s">
        <v>15</v>
      </c>
      <c r="D914" s="22" t="s">
        <v>59</v>
      </c>
      <c r="E914" s="22" t="s">
        <v>2893</v>
      </c>
      <c r="F914" s="23" t="n">
        <v>60221.55</v>
      </c>
      <c r="G914" s="24" t="n">
        <v>1.2647</v>
      </c>
      <c r="H914" s="24" t="n">
        <v>0.9434</v>
      </c>
      <c r="I914" s="22" t="s">
        <v>203</v>
      </c>
      <c r="J914" s="22"/>
      <c r="K914" s="23" t="n">
        <v>95080.31</v>
      </c>
      <c r="L914" s="22" t="s">
        <v>204</v>
      </c>
      <c r="M914" s="22" t="s">
        <v>205</v>
      </c>
    </row>
    <row r="915" customFormat="false" ht="15" hidden="false" customHeight="false" outlineLevel="0" collapsed="false">
      <c r="A915" s="22" t="s">
        <v>2894</v>
      </c>
      <c r="B915" s="22" t="s">
        <v>2895</v>
      </c>
      <c r="C915" s="22" t="s">
        <v>17</v>
      </c>
      <c r="D915" s="22" t="s">
        <v>59</v>
      </c>
      <c r="E915" s="22" t="s">
        <v>2896</v>
      </c>
      <c r="F915" s="23" t="n">
        <v>34955.52</v>
      </c>
      <c r="G915" s="24" t="n">
        <v>1.1504</v>
      </c>
      <c r="H915" s="24" t="n">
        <v>0.3722</v>
      </c>
      <c r="I915" s="22" t="s">
        <v>203</v>
      </c>
      <c r="J915" s="22"/>
      <c r="K915" s="23" t="n">
        <v>19838.81</v>
      </c>
      <c r="L915" s="22" t="s">
        <v>204</v>
      </c>
      <c r="M915" s="22" t="s">
        <v>205</v>
      </c>
    </row>
    <row r="916" customFormat="false" ht="15" hidden="false" customHeight="false" outlineLevel="0" collapsed="false">
      <c r="A916" s="22" t="s">
        <v>2897</v>
      </c>
      <c r="B916" s="22" t="s">
        <v>2898</v>
      </c>
      <c r="C916" s="22" t="s">
        <v>17</v>
      </c>
      <c r="D916" s="22" t="s">
        <v>58</v>
      </c>
      <c r="E916" s="22" t="s">
        <v>2899</v>
      </c>
      <c r="F916" s="23" t="n">
        <v>37501.61</v>
      </c>
      <c r="G916" s="24" t="n">
        <v>1.1904</v>
      </c>
      <c r="H916" s="24" t="n">
        <v>0.0427</v>
      </c>
      <c r="I916" s="22" t="s">
        <v>203</v>
      </c>
      <c r="J916" s="22"/>
      <c r="K916" s="23" t="n">
        <v>2526.65</v>
      </c>
      <c r="L916" s="22" t="s">
        <v>204</v>
      </c>
      <c r="M916" s="22" t="s">
        <v>205</v>
      </c>
    </row>
    <row r="917" customFormat="false" ht="15" hidden="false" customHeight="false" outlineLevel="0" collapsed="false">
      <c r="A917" s="22" t="s">
        <v>2900</v>
      </c>
      <c r="B917" s="22" t="s">
        <v>2901</v>
      </c>
      <c r="C917" s="22" t="s">
        <v>17</v>
      </c>
      <c r="D917" s="22" t="s">
        <v>60</v>
      </c>
      <c r="E917" s="22" t="s">
        <v>2902</v>
      </c>
      <c r="F917" s="23" t="n">
        <v>6758.17</v>
      </c>
      <c r="G917" s="24" t="n">
        <v>1.1018</v>
      </c>
      <c r="H917" s="24" t="n">
        <v>0.6771</v>
      </c>
      <c r="I917" s="22" t="s">
        <v>203</v>
      </c>
      <c r="J917" s="22"/>
      <c r="K917" s="23" t="n">
        <v>6682.81</v>
      </c>
      <c r="L917" s="22" t="s">
        <v>204</v>
      </c>
      <c r="M917" s="22" t="s">
        <v>205</v>
      </c>
    </row>
    <row r="918" customFormat="false" ht="15" hidden="false" customHeight="false" outlineLevel="0" collapsed="false">
      <c r="A918" s="22" t="s">
        <v>2903</v>
      </c>
      <c r="B918" s="22" t="s">
        <v>2904</v>
      </c>
      <c r="C918" s="22" t="s">
        <v>15</v>
      </c>
      <c r="D918" s="22" t="s">
        <v>60</v>
      </c>
      <c r="E918" s="22" t="s">
        <v>2905</v>
      </c>
      <c r="F918" s="23" t="n">
        <v>11244.28</v>
      </c>
      <c r="G918" s="24" t="n">
        <v>1.0391</v>
      </c>
      <c r="H918" s="24" t="n">
        <v>0.1056</v>
      </c>
      <c r="I918" s="22" t="s">
        <v>203</v>
      </c>
      <c r="J918" s="22"/>
      <c r="K918" s="23" t="n">
        <v>1632.71</v>
      </c>
      <c r="L918" s="22" t="s">
        <v>204</v>
      </c>
      <c r="M918" s="22" t="s">
        <v>205</v>
      </c>
    </row>
    <row r="919" customFormat="false" ht="15" hidden="false" customHeight="false" outlineLevel="0" collapsed="false">
      <c r="A919" s="22" t="s">
        <v>2906</v>
      </c>
      <c r="B919" s="22" t="s">
        <v>2907</v>
      </c>
      <c r="C919" s="22" t="s">
        <v>17</v>
      </c>
      <c r="D919" s="22" t="s">
        <v>60</v>
      </c>
      <c r="E919" s="22" t="s">
        <v>2908</v>
      </c>
      <c r="F919" s="23" t="n">
        <v>8365.57</v>
      </c>
      <c r="G919" s="24" t="n">
        <v>1.1025</v>
      </c>
      <c r="H919" s="24" t="n">
        <v>0.0206</v>
      </c>
      <c r="I919" s="22" t="s">
        <v>203</v>
      </c>
      <c r="J919" s="22"/>
      <c r="K919" s="23" t="n">
        <v>251.83</v>
      </c>
      <c r="L919" s="22" t="s">
        <v>204</v>
      </c>
      <c r="M919" s="22" t="s">
        <v>205</v>
      </c>
    </row>
    <row r="920" customFormat="false" ht="15" hidden="false" customHeight="false" outlineLevel="0" collapsed="false">
      <c r="A920" s="22" t="s">
        <v>2909</v>
      </c>
      <c r="B920" s="22" t="s">
        <v>2910</v>
      </c>
      <c r="C920" s="22" t="s">
        <v>17</v>
      </c>
      <c r="D920" s="22" t="s">
        <v>58</v>
      </c>
      <c r="E920" s="22" t="s">
        <v>2911</v>
      </c>
      <c r="F920" s="23" t="n">
        <v>77929.47</v>
      </c>
      <c r="G920" s="24" t="n">
        <v>1.2843</v>
      </c>
      <c r="H920" s="24" t="n">
        <v>0.3906</v>
      </c>
      <c r="I920" s="22" t="s">
        <v>203</v>
      </c>
      <c r="J920" s="22"/>
      <c r="K920" s="23" t="n">
        <v>51817.34</v>
      </c>
      <c r="L920" s="22" t="s">
        <v>204</v>
      </c>
      <c r="M920" s="22" t="s">
        <v>205</v>
      </c>
    </row>
    <row r="921" customFormat="false" ht="15" hidden="false" customHeight="false" outlineLevel="0" collapsed="false">
      <c r="A921" s="22" t="s">
        <v>2912</v>
      </c>
      <c r="B921" s="22" t="s">
        <v>2913</v>
      </c>
      <c r="C921" s="22" t="s">
        <v>15</v>
      </c>
      <c r="D921" s="22" t="s">
        <v>60</v>
      </c>
      <c r="E921" s="22" t="s">
        <v>2914</v>
      </c>
      <c r="F921" s="23" t="n">
        <v>30671.98</v>
      </c>
      <c r="G921" s="24" t="n">
        <v>1.231</v>
      </c>
      <c r="H921" s="24" t="n">
        <v>0.01</v>
      </c>
      <c r="I921" s="22" t="s">
        <v>203</v>
      </c>
      <c r="J921" s="22"/>
      <c r="K921" s="23" t="n">
        <v>499.64</v>
      </c>
      <c r="L921" s="22" t="s">
        <v>204</v>
      </c>
      <c r="M921" s="22" t="s">
        <v>205</v>
      </c>
    </row>
    <row r="922" customFormat="false" ht="15" hidden="false" customHeight="false" outlineLevel="0" collapsed="false">
      <c r="A922" s="22" t="s">
        <v>2915</v>
      </c>
      <c r="B922" s="22" t="s">
        <v>2916</v>
      </c>
      <c r="C922" s="22" t="s">
        <v>19</v>
      </c>
      <c r="D922" s="22" t="s">
        <v>61</v>
      </c>
      <c r="E922" s="22" t="s">
        <v>2917</v>
      </c>
      <c r="F922" s="23" t="n">
        <v>6809.77</v>
      </c>
      <c r="G922" s="24" t="n">
        <v>1.2502</v>
      </c>
      <c r="H922" s="24" t="n">
        <v>0.7437</v>
      </c>
      <c r="I922" s="22" t="s">
        <v>203</v>
      </c>
      <c r="J922" s="22"/>
      <c r="K922" s="23" t="n">
        <v>8456.8</v>
      </c>
      <c r="L922" s="22" t="s">
        <v>204</v>
      </c>
      <c r="M922" s="22" t="s">
        <v>205</v>
      </c>
    </row>
    <row r="923" customFormat="false" ht="15" hidden="false" customHeight="false" outlineLevel="0" collapsed="false">
      <c r="A923" s="22" t="s">
        <v>2918</v>
      </c>
      <c r="B923" s="22" t="s">
        <v>2919</v>
      </c>
      <c r="C923" s="22" t="s">
        <v>17</v>
      </c>
      <c r="D923" s="22" t="s">
        <v>59</v>
      </c>
      <c r="E923" s="22" t="s">
        <v>2920</v>
      </c>
      <c r="F923" s="23" t="n">
        <v>100445.91</v>
      </c>
      <c r="G923" s="24" t="n">
        <v>1.1308</v>
      </c>
      <c r="H923" s="24" t="n">
        <v>0.2336</v>
      </c>
      <c r="I923" s="22" t="s">
        <v>203</v>
      </c>
      <c r="J923" s="22"/>
      <c r="K923" s="23" t="n">
        <v>35169.45</v>
      </c>
      <c r="L923" s="22" t="s">
        <v>204</v>
      </c>
      <c r="M923" s="22" t="s">
        <v>205</v>
      </c>
    </row>
    <row r="924" customFormat="false" ht="15" hidden="false" customHeight="false" outlineLevel="0" collapsed="false">
      <c r="A924" s="22" t="s">
        <v>2921</v>
      </c>
      <c r="B924" s="22" t="s">
        <v>2922</v>
      </c>
      <c r="C924" s="22" t="s">
        <v>17</v>
      </c>
      <c r="D924" s="22" t="s">
        <v>59</v>
      </c>
      <c r="E924" s="22" t="s">
        <v>2923</v>
      </c>
      <c r="F924" s="23" t="n">
        <v>66737.32</v>
      </c>
      <c r="G924" s="24" t="n">
        <v>1.2919</v>
      </c>
      <c r="H924" s="24" t="n">
        <v>0.3622</v>
      </c>
      <c r="I924" s="22" t="s">
        <v>203</v>
      </c>
      <c r="J924" s="22"/>
      <c r="K924" s="23" t="n">
        <v>41392.42</v>
      </c>
      <c r="L924" s="22" t="s">
        <v>204</v>
      </c>
      <c r="M924" s="22" t="s">
        <v>205</v>
      </c>
    </row>
    <row r="925" customFormat="false" ht="15" hidden="false" customHeight="false" outlineLevel="0" collapsed="false">
      <c r="A925" s="22" t="s">
        <v>2924</v>
      </c>
      <c r="B925" s="22" t="s">
        <v>2925</v>
      </c>
      <c r="C925" s="22" t="s">
        <v>17</v>
      </c>
      <c r="D925" s="22" t="s">
        <v>59</v>
      </c>
      <c r="E925" s="22" t="s">
        <v>2878</v>
      </c>
      <c r="F925" s="23" t="n">
        <v>133385.07</v>
      </c>
      <c r="G925" s="24" t="n">
        <v>1.1845</v>
      </c>
      <c r="H925" s="24" t="n">
        <v>0.3961</v>
      </c>
      <c r="I925" s="22" t="s">
        <v>203</v>
      </c>
      <c r="J925" s="22"/>
      <c r="K925" s="23" t="n">
        <v>82951.04</v>
      </c>
      <c r="L925" s="22" t="s">
        <v>204</v>
      </c>
      <c r="M925" s="22" t="s">
        <v>205</v>
      </c>
    </row>
    <row r="926" customFormat="false" ht="15" hidden="false" customHeight="false" outlineLevel="0" collapsed="false">
      <c r="A926" s="22" t="s">
        <v>2926</v>
      </c>
      <c r="B926" s="22" t="s">
        <v>2927</v>
      </c>
      <c r="C926" s="22" t="s">
        <v>17</v>
      </c>
      <c r="D926" s="22" t="s">
        <v>61</v>
      </c>
      <c r="E926" s="22" t="s">
        <v>2928</v>
      </c>
      <c r="F926" s="23" t="n">
        <v>4248.55</v>
      </c>
      <c r="G926" s="24" t="n">
        <v>1.2739</v>
      </c>
      <c r="H926" s="24" t="n">
        <v>0.7238</v>
      </c>
      <c r="I926" s="22" t="s">
        <v>203</v>
      </c>
      <c r="J926" s="22"/>
      <c r="K926" s="23" t="n">
        <v>5192.41</v>
      </c>
      <c r="L926" s="22" t="s">
        <v>204</v>
      </c>
      <c r="M926" s="22" t="s">
        <v>205</v>
      </c>
    </row>
    <row r="927" customFormat="false" ht="15" hidden="false" customHeight="false" outlineLevel="0" collapsed="false">
      <c r="A927" s="22" t="s">
        <v>2929</v>
      </c>
      <c r="B927" s="22" t="s">
        <v>2930</v>
      </c>
      <c r="C927" s="22" t="s">
        <v>17</v>
      </c>
      <c r="D927" s="22" t="s">
        <v>59</v>
      </c>
      <c r="E927" s="22" t="s">
        <v>2931</v>
      </c>
      <c r="F927" s="23" t="n">
        <v>164038.64</v>
      </c>
      <c r="G927" s="24" t="n">
        <v>1.1377</v>
      </c>
      <c r="H927" s="24" t="n">
        <v>0.5859</v>
      </c>
      <c r="I927" s="22" t="s">
        <v>203</v>
      </c>
      <c r="J927" s="22"/>
      <c r="K927" s="23" t="n">
        <v>144934.61</v>
      </c>
      <c r="L927" s="22" t="s">
        <v>204</v>
      </c>
      <c r="M927" s="22" t="s">
        <v>205</v>
      </c>
    </row>
    <row r="928" customFormat="false" ht="15" hidden="false" customHeight="false" outlineLevel="0" collapsed="false">
      <c r="A928" s="22" t="s">
        <v>2932</v>
      </c>
      <c r="B928" s="22" t="s">
        <v>2933</v>
      </c>
      <c r="C928" s="22" t="s">
        <v>19</v>
      </c>
      <c r="D928" s="22" t="s">
        <v>60</v>
      </c>
      <c r="E928" s="22" t="s">
        <v>2934</v>
      </c>
      <c r="F928" s="23" t="n">
        <v>29794.83</v>
      </c>
      <c r="G928" s="24" t="n">
        <v>1.0543</v>
      </c>
      <c r="H928" s="24" t="n">
        <v>0.4793</v>
      </c>
      <c r="I928" s="22" t="s">
        <v>203</v>
      </c>
      <c r="J928" s="22"/>
      <c r="K928" s="23" t="n">
        <v>20109.86</v>
      </c>
      <c r="L928" s="22" t="s">
        <v>204</v>
      </c>
      <c r="M928" s="22" t="s">
        <v>205</v>
      </c>
    </row>
    <row r="929" customFormat="false" ht="15" hidden="false" customHeight="false" outlineLevel="0" collapsed="false">
      <c r="A929" s="22" t="s">
        <v>2935</v>
      </c>
      <c r="B929" s="22" t="s">
        <v>2936</v>
      </c>
      <c r="C929" s="22" t="s">
        <v>17</v>
      </c>
      <c r="D929" s="22" t="s">
        <v>59</v>
      </c>
      <c r="E929" s="22" t="s">
        <v>2937</v>
      </c>
      <c r="F929" s="23" t="n">
        <v>90835.59</v>
      </c>
      <c r="G929" s="24" t="n">
        <v>1.1357</v>
      </c>
      <c r="H929" s="24" t="n">
        <v>0.0611</v>
      </c>
      <c r="I929" s="22" t="s">
        <v>203</v>
      </c>
      <c r="J929" s="22"/>
      <c r="K929" s="23" t="n">
        <v>8354.79</v>
      </c>
      <c r="L929" s="22" t="s">
        <v>204</v>
      </c>
      <c r="M929" s="22" t="s">
        <v>205</v>
      </c>
    </row>
    <row r="930" customFormat="false" ht="15" hidden="false" customHeight="false" outlineLevel="0" collapsed="false">
      <c r="A930" s="22" t="s">
        <v>2938</v>
      </c>
      <c r="B930" s="22" t="s">
        <v>2939</v>
      </c>
      <c r="C930" s="22" t="s">
        <v>15</v>
      </c>
      <c r="D930" s="22" t="s">
        <v>61</v>
      </c>
      <c r="E930" s="22" t="s">
        <v>2940</v>
      </c>
      <c r="F930" s="23" t="n">
        <v>7758.02</v>
      </c>
      <c r="G930" s="24" t="n">
        <v>1.1029</v>
      </c>
      <c r="H930" s="24" t="n">
        <v>0.0505</v>
      </c>
      <c r="I930" s="22" t="s">
        <v>203</v>
      </c>
      <c r="J930" s="22"/>
      <c r="K930" s="23" t="n">
        <v>571.79</v>
      </c>
      <c r="L930" s="22" t="s">
        <v>204</v>
      </c>
      <c r="M930" s="22" t="s">
        <v>205</v>
      </c>
    </row>
    <row r="931" customFormat="false" ht="15" hidden="false" customHeight="false" outlineLevel="0" collapsed="false">
      <c r="A931" s="22" t="s">
        <v>2941</v>
      </c>
      <c r="B931" s="22" t="s">
        <v>2942</v>
      </c>
      <c r="C931" s="22" t="s">
        <v>19</v>
      </c>
      <c r="D931" s="22" t="s">
        <v>60</v>
      </c>
      <c r="E931" s="22" t="s">
        <v>2943</v>
      </c>
      <c r="F931" s="23" t="n">
        <v>19763.42</v>
      </c>
      <c r="G931" s="24" t="n">
        <v>1.2671</v>
      </c>
      <c r="H931" s="24" t="n">
        <v>0.0337</v>
      </c>
      <c r="I931" s="22" t="s">
        <v>203</v>
      </c>
      <c r="J931" s="22"/>
      <c r="K931" s="23" t="n">
        <v>1127.2</v>
      </c>
      <c r="L931" s="22" t="s">
        <v>204</v>
      </c>
      <c r="M931" s="22" t="s">
        <v>205</v>
      </c>
    </row>
    <row r="932" customFormat="false" ht="15" hidden="false" customHeight="false" outlineLevel="0" collapsed="false">
      <c r="A932" s="22" t="s">
        <v>2944</v>
      </c>
      <c r="B932" s="22" t="s">
        <v>2945</v>
      </c>
      <c r="C932" s="22" t="s">
        <v>17</v>
      </c>
      <c r="D932" s="22" t="s">
        <v>58</v>
      </c>
      <c r="E932" s="22" t="s">
        <v>2946</v>
      </c>
      <c r="F932" s="23" t="n">
        <v>78227.85</v>
      </c>
      <c r="G932" s="24" t="n">
        <v>1.2537</v>
      </c>
      <c r="H932" s="24" t="n">
        <v>0.02</v>
      </c>
      <c r="I932" s="22" t="s">
        <v>203</v>
      </c>
      <c r="J932" s="22"/>
      <c r="K932" s="23" t="n">
        <v>2599.92</v>
      </c>
      <c r="L932" s="22" t="s">
        <v>204</v>
      </c>
      <c r="M932" s="22" t="s">
        <v>205</v>
      </c>
    </row>
    <row r="933" customFormat="false" ht="15" hidden="false" customHeight="false" outlineLevel="0" collapsed="false">
      <c r="A933" s="22" t="s">
        <v>2947</v>
      </c>
      <c r="B933" s="22" t="s">
        <v>2948</v>
      </c>
      <c r="C933" s="22" t="s">
        <v>15</v>
      </c>
      <c r="D933" s="22" t="s">
        <v>58</v>
      </c>
      <c r="E933" s="22" t="s">
        <v>2949</v>
      </c>
      <c r="F933" s="23" t="n">
        <v>88599.02</v>
      </c>
      <c r="G933" s="24" t="n">
        <v>1.2084</v>
      </c>
      <c r="H933" s="24" t="n">
        <v>0.6354</v>
      </c>
      <c r="I933" s="22" t="s">
        <v>203</v>
      </c>
      <c r="J933" s="22"/>
      <c r="K933" s="23" t="n">
        <v>90020.64</v>
      </c>
      <c r="L933" s="22" t="s">
        <v>204</v>
      </c>
      <c r="M933" s="22" t="s">
        <v>205</v>
      </c>
    </row>
    <row r="934" customFormat="false" ht="15" hidden="false" customHeight="false" outlineLevel="0" collapsed="false">
      <c r="A934" s="22" t="s">
        <v>2950</v>
      </c>
      <c r="B934" s="22" t="s">
        <v>2951</v>
      </c>
      <c r="C934" s="22" t="s">
        <v>15</v>
      </c>
      <c r="D934" s="22" t="s">
        <v>58</v>
      </c>
      <c r="E934" s="22" t="s">
        <v>2952</v>
      </c>
      <c r="F934" s="23" t="n">
        <v>43219.33</v>
      </c>
      <c r="G934" s="24" t="n">
        <v>1.0607</v>
      </c>
      <c r="H934" s="24" t="n">
        <v>0.4157</v>
      </c>
      <c r="I934" s="22" t="s">
        <v>203</v>
      </c>
      <c r="J934" s="22"/>
      <c r="K934" s="23" t="n">
        <v>25217.72</v>
      </c>
      <c r="L934" s="22" t="s">
        <v>204</v>
      </c>
      <c r="M934" s="22" t="s">
        <v>205</v>
      </c>
    </row>
    <row r="935" customFormat="false" ht="15" hidden="false" customHeight="false" outlineLevel="0" collapsed="false">
      <c r="A935" s="22" t="s">
        <v>2953</v>
      </c>
      <c r="B935" s="22" t="s">
        <v>2954</v>
      </c>
      <c r="C935" s="22" t="s">
        <v>17</v>
      </c>
      <c r="D935" s="22" t="s">
        <v>58</v>
      </c>
      <c r="E935" s="22" t="s">
        <v>2955</v>
      </c>
      <c r="F935" s="23" t="n">
        <v>29581.58</v>
      </c>
      <c r="G935" s="24" t="n">
        <v>1.1244</v>
      </c>
      <c r="H935" s="24" t="n">
        <v>0.816</v>
      </c>
      <c r="I935" s="22" t="s">
        <v>203</v>
      </c>
      <c r="J935" s="22"/>
      <c r="K935" s="23" t="n">
        <v>35975.52</v>
      </c>
      <c r="L935" s="22" t="s">
        <v>204</v>
      </c>
      <c r="M935" s="22" t="s">
        <v>205</v>
      </c>
    </row>
    <row r="936" customFormat="false" ht="15" hidden="false" customHeight="false" outlineLevel="0" collapsed="false">
      <c r="A936" s="22" t="s">
        <v>2956</v>
      </c>
      <c r="B936" s="22" t="s">
        <v>2957</v>
      </c>
      <c r="C936" s="22" t="s">
        <v>17</v>
      </c>
      <c r="D936" s="22" t="s">
        <v>60</v>
      </c>
      <c r="E936" s="22" t="s">
        <v>2958</v>
      </c>
      <c r="F936" s="23" t="n">
        <v>32605.08</v>
      </c>
      <c r="G936" s="24" t="n">
        <v>1.1657</v>
      </c>
      <c r="H936" s="24" t="n">
        <v>0.5499</v>
      </c>
      <c r="I936" s="22" t="s">
        <v>203</v>
      </c>
      <c r="J936" s="22"/>
      <c r="K936" s="23" t="n">
        <v>27703.24</v>
      </c>
      <c r="L936" s="22" t="s">
        <v>204</v>
      </c>
      <c r="M936" s="22" t="s">
        <v>205</v>
      </c>
    </row>
    <row r="937" customFormat="false" ht="15" hidden="false" customHeight="false" outlineLevel="0" collapsed="false">
      <c r="A937" s="22" t="s">
        <v>2959</v>
      </c>
      <c r="B937" s="22" t="s">
        <v>2960</v>
      </c>
      <c r="C937" s="22" t="s">
        <v>15</v>
      </c>
      <c r="D937" s="22" t="s">
        <v>59</v>
      </c>
      <c r="E937" s="22" t="s">
        <v>2961</v>
      </c>
      <c r="F937" s="23" t="n">
        <v>120011.24</v>
      </c>
      <c r="G937" s="24" t="n">
        <v>1.2039</v>
      </c>
      <c r="H937" s="24" t="n">
        <v>0.2068</v>
      </c>
      <c r="I937" s="22" t="s">
        <v>203</v>
      </c>
      <c r="J937" s="22"/>
      <c r="K937" s="23" t="n">
        <v>39538.31</v>
      </c>
      <c r="L937" s="22" t="s">
        <v>204</v>
      </c>
      <c r="M937" s="22" t="s">
        <v>205</v>
      </c>
    </row>
    <row r="938" customFormat="false" ht="15" hidden="false" customHeight="false" outlineLevel="0" collapsed="false">
      <c r="A938" s="22" t="s">
        <v>2962</v>
      </c>
      <c r="B938" s="22" t="s">
        <v>2963</v>
      </c>
      <c r="C938" s="22" t="s">
        <v>15</v>
      </c>
      <c r="D938" s="22" t="s">
        <v>60</v>
      </c>
      <c r="E938" s="22" t="s">
        <v>2964</v>
      </c>
      <c r="F938" s="23" t="n">
        <v>8524.02</v>
      </c>
      <c r="G938" s="24" t="n">
        <v>1.1098</v>
      </c>
      <c r="H938" s="24" t="n">
        <v>0.6221</v>
      </c>
      <c r="I938" s="22" t="s">
        <v>203</v>
      </c>
      <c r="J938" s="22"/>
      <c r="K938" s="23" t="n">
        <v>7787.62</v>
      </c>
      <c r="L938" s="22" t="s">
        <v>204</v>
      </c>
      <c r="M938" s="22" t="s">
        <v>205</v>
      </c>
    </row>
    <row r="939" customFormat="false" ht="15" hidden="false" customHeight="false" outlineLevel="0" collapsed="false">
      <c r="A939" s="22" t="s">
        <v>2965</v>
      </c>
      <c r="B939" s="22" t="s">
        <v>2966</v>
      </c>
      <c r="C939" s="22" t="s">
        <v>15</v>
      </c>
      <c r="D939" s="22" t="s">
        <v>61</v>
      </c>
      <c r="E939" s="22" t="s">
        <v>2967</v>
      </c>
      <c r="F939" s="23" t="n">
        <v>8457.38</v>
      </c>
      <c r="G939" s="24" t="n">
        <v>1.1809</v>
      </c>
      <c r="H939" s="24" t="n">
        <v>0.3568</v>
      </c>
      <c r="I939" s="22" t="s">
        <v>203</v>
      </c>
      <c r="J939" s="22"/>
      <c r="K939" s="23" t="n">
        <v>4715.51</v>
      </c>
      <c r="L939" s="22" t="s">
        <v>204</v>
      </c>
      <c r="M939" s="22" t="s">
        <v>205</v>
      </c>
    </row>
    <row r="940" customFormat="false" ht="15" hidden="false" customHeight="false" outlineLevel="0" collapsed="false">
      <c r="A940" s="22" t="s">
        <v>2968</v>
      </c>
      <c r="B940" s="22" t="s">
        <v>2969</v>
      </c>
      <c r="C940" s="22" t="s">
        <v>17</v>
      </c>
      <c r="D940" s="22" t="s">
        <v>60</v>
      </c>
      <c r="E940" s="22" t="s">
        <v>2970</v>
      </c>
      <c r="F940" s="23" t="n">
        <v>15579.64</v>
      </c>
      <c r="G940" s="24" t="n">
        <v>1.2894</v>
      </c>
      <c r="H940" s="24" t="n">
        <v>0.0652</v>
      </c>
      <c r="I940" s="22" t="s">
        <v>203</v>
      </c>
      <c r="J940" s="22"/>
      <c r="K940" s="23" t="n">
        <v>1736.07</v>
      </c>
      <c r="L940" s="22" t="s">
        <v>204</v>
      </c>
      <c r="M940" s="22" t="s">
        <v>205</v>
      </c>
    </row>
    <row r="941" customFormat="false" ht="15" hidden="false" customHeight="false" outlineLevel="0" collapsed="false">
      <c r="A941" s="22" t="s">
        <v>2971</v>
      </c>
      <c r="B941" s="22" t="s">
        <v>2972</v>
      </c>
      <c r="C941" s="22" t="s">
        <v>15</v>
      </c>
      <c r="D941" s="22" t="s">
        <v>61</v>
      </c>
      <c r="E941" s="22" t="s">
        <v>2973</v>
      </c>
      <c r="F941" s="23" t="n">
        <v>7738.58</v>
      </c>
      <c r="G941" s="24" t="n">
        <v>1.27</v>
      </c>
      <c r="H941" s="24" t="n">
        <v>0.1692</v>
      </c>
      <c r="I941" s="22" t="s">
        <v>203</v>
      </c>
      <c r="J941" s="22"/>
      <c r="K941" s="23" t="n">
        <v>2200.5</v>
      </c>
      <c r="L941" s="22" t="s">
        <v>204</v>
      </c>
      <c r="M941" s="22" t="s">
        <v>205</v>
      </c>
    </row>
    <row r="942" customFormat="false" ht="15" hidden="false" customHeight="false" outlineLevel="0" collapsed="false">
      <c r="A942" s="22" t="s">
        <v>2974</v>
      </c>
      <c r="B942" s="22" t="s">
        <v>2975</v>
      </c>
      <c r="C942" s="22" t="s">
        <v>15</v>
      </c>
      <c r="D942" s="22" t="s">
        <v>58</v>
      </c>
      <c r="E942" s="22" t="s">
        <v>2976</v>
      </c>
      <c r="F942" s="23" t="n">
        <v>65751.32</v>
      </c>
      <c r="G942" s="24" t="n">
        <v>1.0677</v>
      </c>
      <c r="H942" s="24" t="n">
        <v>0.4426</v>
      </c>
      <c r="I942" s="22" t="s">
        <v>203</v>
      </c>
      <c r="J942" s="22"/>
      <c r="K942" s="23" t="n">
        <v>41116.9</v>
      </c>
      <c r="L942" s="22" t="s">
        <v>204</v>
      </c>
      <c r="M942" s="22" t="s">
        <v>205</v>
      </c>
    </row>
    <row r="943" customFormat="false" ht="15" hidden="false" customHeight="false" outlineLevel="0" collapsed="false">
      <c r="A943" s="22" t="s">
        <v>2977</v>
      </c>
      <c r="B943" s="22" t="s">
        <v>2978</v>
      </c>
      <c r="C943" s="22" t="s">
        <v>17</v>
      </c>
      <c r="D943" s="22" t="s">
        <v>58</v>
      </c>
      <c r="E943" s="22" t="s">
        <v>2979</v>
      </c>
      <c r="F943" s="23" t="n">
        <v>90657.48</v>
      </c>
      <c r="G943" s="24" t="n">
        <v>1.2015</v>
      </c>
      <c r="H943" s="24" t="n">
        <v>0.2841</v>
      </c>
      <c r="I943" s="22" t="s">
        <v>203</v>
      </c>
      <c r="J943" s="22"/>
      <c r="K943" s="23" t="n">
        <v>41017.89</v>
      </c>
      <c r="L943" s="22" t="s">
        <v>204</v>
      </c>
      <c r="M943" s="22" t="s">
        <v>205</v>
      </c>
    </row>
    <row r="944" customFormat="false" ht="15" hidden="false" customHeight="false" outlineLevel="0" collapsed="false">
      <c r="A944" s="22" t="s">
        <v>2980</v>
      </c>
      <c r="B944" s="22" t="s">
        <v>2981</v>
      </c>
      <c r="C944" s="22" t="s">
        <v>21</v>
      </c>
      <c r="D944" s="22" t="s">
        <v>61</v>
      </c>
      <c r="E944" s="22" t="s">
        <v>2982</v>
      </c>
      <c r="F944" s="23" t="n">
        <v>2350.49</v>
      </c>
      <c r="G944" s="24" t="n">
        <v>1.2959</v>
      </c>
      <c r="H944" s="24" t="n">
        <v>0.5548</v>
      </c>
      <c r="I944" s="22" t="s">
        <v>203</v>
      </c>
      <c r="J944" s="22"/>
      <c r="K944" s="23" t="n">
        <v>2148.93</v>
      </c>
      <c r="L944" s="22" t="s">
        <v>204</v>
      </c>
      <c r="M944" s="22" t="s">
        <v>205</v>
      </c>
    </row>
    <row r="945" customFormat="false" ht="15" hidden="false" customHeight="false" outlineLevel="0" collapsed="false">
      <c r="A945" s="22" t="s">
        <v>2983</v>
      </c>
      <c r="B945" s="22" t="s">
        <v>2984</v>
      </c>
      <c r="C945" s="22" t="s">
        <v>17</v>
      </c>
      <c r="D945" s="22" t="s">
        <v>58</v>
      </c>
      <c r="E945" s="22" t="s">
        <v>2985</v>
      </c>
      <c r="F945" s="23" t="n">
        <v>64571.44</v>
      </c>
      <c r="G945" s="24" t="n">
        <v>1.2339</v>
      </c>
      <c r="H945" s="24" t="n">
        <v>0.0738</v>
      </c>
      <c r="I945" s="22" t="s">
        <v>203</v>
      </c>
      <c r="J945" s="22"/>
      <c r="K945" s="23" t="n">
        <v>7793.84</v>
      </c>
      <c r="L945" s="22" t="s">
        <v>204</v>
      </c>
      <c r="M945" s="22" t="s">
        <v>205</v>
      </c>
    </row>
    <row r="946" customFormat="false" ht="15" hidden="false" customHeight="false" outlineLevel="0" collapsed="false">
      <c r="A946" s="22" t="s">
        <v>2986</v>
      </c>
      <c r="B946" s="22" t="s">
        <v>2987</v>
      </c>
      <c r="C946" s="22" t="s">
        <v>15</v>
      </c>
      <c r="D946" s="22" t="s">
        <v>62</v>
      </c>
      <c r="E946" s="22" t="s">
        <v>2988</v>
      </c>
      <c r="F946" s="23" t="n">
        <v>660701.12</v>
      </c>
      <c r="G946" s="24" t="n">
        <v>1.1065</v>
      </c>
      <c r="H946" s="24" t="n">
        <v>0.899</v>
      </c>
      <c r="I946" s="22" t="s">
        <v>203</v>
      </c>
      <c r="J946" s="22"/>
      <c r="K946" s="23" t="n">
        <v>869703.91</v>
      </c>
      <c r="L946" s="22" t="s">
        <v>204</v>
      </c>
      <c r="M946" s="22" t="s">
        <v>205</v>
      </c>
    </row>
    <row r="947" customFormat="false" ht="15" hidden="false" customHeight="false" outlineLevel="0" collapsed="false">
      <c r="A947" s="22" t="s">
        <v>2989</v>
      </c>
      <c r="B947" s="22" t="s">
        <v>2990</v>
      </c>
      <c r="C947" s="22" t="s">
        <v>17</v>
      </c>
      <c r="D947" s="22" t="s">
        <v>61</v>
      </c>
      <c r="E947" s="22" t="s">
        <v>2991</v>
      </c>
      <c r="F947" s="23" t="n">
        <v>5158.45</v>
      </c>
      <c r="G947" s="24" t="n">
        <v>1.1913</v>
      </c>
      <c r="H947" s="24" t="n">
        <v>0.1173</v>
      </c>
      <c r="I947" s="22" t="s">
        <v>203</v>
      </c>
      <c r="J947" s="22"/>
      <c r="K947" s="23" t="n">
        <v>955.46</v>
      </c>
      <c r="L947" s="22" t="s">
        <v>204</v>
      </c>
      <c r="M947" s="22" t="s">
        <v>205</v>
      </c>
    </row>
    <row r="948" customFormat="false" ht="15" hidden="false" customHeight="false" outlineLevel="0" collapsed="false">
      <c r="A948" s="22" t="s">
        <v>2992</v>
      </c>
      <c r="B948" s="22" t="s">
        <v>2993</v>
      </c>
      <c r="C948" s="22" t="s">
        <v>15</v>
      </c>
      <c r="D948" s="22" t="s">
        <v>61</v>
      </c>
      <c r="E948" s="22" t="s">
        <v>2994</v>
      </c>
      <c r="F948" s="23" t="n">
        <v>4830.79</v>
      </c>
      <c r="G948" s="24" t="n">
        <v>1.2826</v>
      </c>
      <c r="H948" s="24" t="n">
        <v>0.4616</v>
      </c>
      <c r="I948" s="22" t="s">
        <v>203</v>
      </c>
      <c r="J948" s="22"/>
      <c r="K948" s="23" t="n">
        <v>3784.69</v>
      </c>
      <c r="L948" s="22" t="s">
        <v>204</v>
      </c>
      <c r="M948" s="22" t="s">
        <v>205</v>
      </c>
    </row>
    <row r="949" customFormat="false" ht="15" hidden="false" customHeight="false" outlineLevel="0" collapsed="false">
      <c r="A949" s="22" t="s">
        <v>2995</v>
      </c>
      <c r="B949" s="22" t="s">
        <v>2996</v>
      </c>
      <c r="C949" s="22" t="s">
        <v>19</v>
      </c>
      <c r="D949" s="22" t="s">
        <v>60</v>
      </c>
      <c r="E949" s="22" t="s">
        <v>2997</v>
      </c>
      <c r="F949" s="23" t="n">
        <v>8348.07</v>
      </c>
      <c r="G949" s="24" t="n">
        <v>1.0842</v>
      </c>
      <c r="H949" s="24" t="n">
        <v>0.499</v>
      </c>
      <c r="I949" s="22" t="s">
        <v>203</v>
      </c>
      <c r="J949" s="22"/>
      <c r="K949" s="23" t="n">
        <v>6032.43</v>
      </c>
      <c r="L949" s="22" t="s">
        <v>204</v>
      </c>
      <c r="M949" s="22" t="s">
        <v>205</v>
      </c>
    </row>
    <row r="950" customFormat="false" ht="15" hidden="false" customHeight="false" outlineLevel="0" collapsed="false">
      <c r="A950" s="22" t="s">
        <v>2998</v>
      </c>
      <c r="B950" s="22" t="s">
        <v>2999</v>
      </c>
      <c r="C950" s="22" t="s">
        <v>21</v>
      </c>
      <c r="D950" s="22" t="s">
        <v>61</v>
      </c>
      <c r="E950" s="22" t="s">
        <v>3000</v>
      </c>
      <c r="F950" s="23" t="n">
        <v>3208.7</v>
      </c>
      <c r="G950" s="24" t="n">
        <v>1.1857</v>
      </c>
      <c r="H950" s="24" t="n">
        <v>0.7561</v>
      </c>
      <c r="I950" s="22" t="s">
        <v>203</v>
      </c>
      <c r="J950" s="22"/>
      <c r="K950" s="23" t="n">
        <v>3657.97</v>
      </c>
      <c r="L950" s="22" t="s">
        <v>204</v>
      </c>
      <c r="M950" s="22" t="s">
        <v>205</v>
      </c>
    </row>
    <row r="951" customFormat="false" ht="15" hidden="false" customHeight="false" outlineLevel="0" collapsed="false">
      <c r="A951" s="22" t="s">
        <v>3001</v>
      </c>
      <c r="B951" s="22" t="s">
        <v>3002</v>
      </c>
      <c r="C951" s="22" t="s">
        <v>17</v>
      </c>
      <c r="D951" s="22" t="s">
        <v>58</v>
      </c>
      <c r="E951" s="22" t="s">
        <v>3003</v>
      </c>
      <c r="F951" s="23" t="n">
        <v>71651.12</v>
      </c>
      <c r="G951" s="24" t="n">
        <v>1.007</v>
      </c>
      <c r="H951" s="24" t="n">
        <v>0.574</v>
      </c>
      <c r="I951" s="22" t="s">
        <v>203</v>
      </c>
      <c r="J951" s="22"/>
      <c r="K951" s="23" t="n">
        <v>54895.79</v>
      </c>
      <c r="L951" s="22" t="s">
        <v>204</v>
      </c>
      <c r="M951" s="22" t="s">
        <v>205</v>
      </c>
    </row>
    <row r="952" customFormat="false" ht="15" hidden="false" customHeight="false" outlineLevel="0" collapsed="false">
      <c r="A952" s="22" t="s">
        <v>3004</v>
      </c>
      <c r="B952" s="22" t="s">
        <v>3005</v>
      </c>
      <c r="C952" s="22" t="s">
        <v>17</v>
      </c>
      <c r="D952" s="22" t="s">
        <v>60</v>
      </c>
      <c r="E952" s="22" t="s">
        <v>3006</v>
      </c>
      <c r="F952" s="23" t="n">
        <v>23505.27</v>
      </c>
      <c r="G952" s="24" t="n">
        <v>1.2041</v>
      </c>
      <c r="H952" s="24" t="n">
        <v>0.263</v>
      </c>
      <c r="I952" s="22" t="s">
        <v>203</v>
      </c>
      <c r="J952" s="22"/>
      <c r="K952" s="23" t="n">
        <v>9866.39</v>
      </c>
      <c r="L952" s="22" t="s">
        <v>204</v>
      </c>
      <c r="M952" s="22" t="s">
        <v>205</v>
      </c>
    </row>
    <row r="953" customFormat="false" ht="15" hidden="false" customHeight="false" outlineLevel="0" collapsed="false">
      <c r="A953" s="22" t="s">
        <v>3007</v>
      </c>
      <c r="B953" s="22" t="s">
        <v>3008</v>
      </c>
      <c r="C953" s="22" t="s">
        <v>15</v>
      </c>
      <c r="D953" s="22" t="s">
        <v>61</v>
      </c>
      <c r="E953" s="22" t="s">
        <v>364</v>
      </c>
      <c r="F953" s="23" t="n">
        <v>5334.83</v>
      </c>
      <c r="G953" s="24" t="n">
        <v>1.1454</v>
      </c>
      <c r="H953" s="24" t="n">
        <v>0.4544</v>
      </c>
      <c r="I953" s="22" t="s">
        <v>203</v>
      </c>
      <c r="J953" s="22"/>
      <c r="K953" s="23" t="n">
        <v>3674.27</v>
      </c>
      <c r="L953" s="22" t="s">
        <v>204</v>
      </c>
      <c r="M953" s="22" t="s">
        <v>205</v>
      </c>
    </row>
    <row r="954" customFormat="false" ht="15" hidden="false" customHeight="false" outlineLevel="0" collapsed="false">
      <c r="A954" s="22" t="s">
        <v>3009</v>
      </c>
      <c r="B954" s="22" t="s">
        <v>3010</v>
      </c>
      <c r="C954" s="22" t="s">
        <v>17</v>
      </c>
      <c r="D954" s="22" t="s">
        <v>61</v>
      </c>
      <c r="E954" s="22" t="s">
        <v>3011</v>
      </c>
      <c r="F954" s="23" t="n">
        <v>6258.44</v>
      </c>
      <c r="G954" s="24" t="n">
        <v>1.0136</v>
      </c>
      <c r="H954" s="24" t="n">
        <v>0.1138</v>
      </c>
      <c r="I954" s="22" t="s">
        <v>203</v>
      </c>
      <c r="J954" s="22"/>
      <c r="K954" s="23" t="n">
        <v>956.86</v>
      </c>
      <c r="L954" s="22" t="s">
        <v>204</v>
      </c>
      <c r="M954" s="22" t="s">
        <v>205</v>
      </c>
    </row>
    <row r="955" customFormat="false" ht="15" hidden="false" customHeight="false" outlineLevel="0" collapsed="false">
      <c r="A955" s="22" t="s">
        <v>3012</v>
      </c>
      <c r="B955" s="22" t="s">
        <v>3013</v>
      </c>
      <c r="C955" s="22" t="s">
        <v>17</v>
      </c>
      <c r="D955" s="22" t="s">
        <v>60</v>
      </c>
      <c r="E955" s="22" t="s">
        <v>3014</v>
      </c>
      <c r="F955" s="23" t="n">
        <v>14087.19</v>
      </c>
      <c r="G955" s="24" t="n">
        <v>1.2039</v>
      </c>
      <c r="H955" s="24" t="n">
        <v>0.4946</v>
      </c>
      <c r="I955" s="22" t="s">
        <v>203</v>
      </c>
      <c r="J955" s="22"/>
      <c r="K955" s="23" t="n">
        <v>11118.43</v>
      </c>
      <c r="L955" s="22" t="s">
        <v>204</v>
      </c>
      <c r="M955" s="22" t="s">
        <v>205</v>
      </c>
    </row>
    <row r="956" customFormat="false" ht="15" hidden="false" customHeight="false" outlineLevel="0" collapsed="false">
      <c r="A956" s="22" t="s">
        <v>3015</v>
      </c>
      <c r="B956" s="22" t="s">
        <v>3016</v>
      </c>
      <c r="C956" s="22" t="s">
        <v>15</v>
      </c>
      <c r="D956" s="22" t="s">
        <v>58</v>
      </c>
      <c r="E956" s="22" t="s">
        <v>3017</v>
      </c>
      <c r="F956" s="23" t="n">
        <v>18729.68</v>
      </c>
      <c r="G956" s="24" t="n">
        <v>1.232</v>
      </c>
      <c r="H956" s="24" t="n">
        <v>0.8992</v>
      </c>
      <c r="I956" s="22" t="s">
        <v>203</v>
      </c>
      <c r="J956" s="22"/>
      <c r="K956" s="23" t="n">
        <v>27456.97</v>
      </c>
      <c r="L956" s="22" t="s">
        <v>204</v>
      </c>
      <c r="M956" s="22" t="s">
        <v>205</v>
      </c>
    </row>
    <row r="957" customFormat="false" ht="15" hidden="false" customHeight="false" outlineLevel="0" collapsed="false">
      <c r="A957" s="22" t="s">
        <v>3018</v>
      </c>
      <c r="B957" s="22" t="s">
        <v>3019</v>
      </c>
      <c r="C957" s="22" t="s">
        <v>17</v>
      </c>
      <c r="D957" s="22" t="s">
        <v>60</v>
      </c>
      <c r="E957" s="22" t="s">
        <v>3020</v>
      </c>
      <c r="F957" s="23" t="n">
        <v>9964.8</v>
      </c>
      <c r="G957" s="24" t="n">
        <v>1.1724</v>
      </c>
      <c r="H957" s="24" t="n">
        <v>0.2423</v>
      </c>
      <c r="I957" s="22" t="s">
        <v>203</v>
      </c>
      <c r="J957" s="22"/>
      <c r="K957" s="23" t="n">
        <v>3752.08</v>
      </c>
      <c r="L957" s="22" t="s">
        <v>204</v>
      </c>
      <c r="M957" s="22" t="s">
        <v>205</v>
      </c>
    </row>
    <row r="958" customFormat="false" ht="15" hidden="false" customHeight="false" outlineLevel="0" collapsed="false">
      <c r="A958" s="22" t="s">
        <v>3021</v>
      </c>
      <c r="B958" s="22" t="s">
        <v>3022</v>
      </c>
      <c r="C958" s="22" t="s">
        <v>15</v>
      </c>
      <c r="D958" s="22" t="s">
        <v>58</v>
      </c>
      <c r="E958" s="22" t="s">
        <v>525</v>
      </c>
      <c r="F958" s="23" t="n">
        <v>31423.35</v>
      </c>
      <c r="G958" s="24" t="n">
        <v>1.2032</v>
      </c>
      <c r="H958" s="24" t="n">
        <v>0.01</v>
      </c>
      <c r="I958" s="22" t="s">
        <v>203</v>
      </c>
      <c r="J958" s="22"/>
      <c r="K958" s="23" t="n">
        <v>500.32</v>
      </c>
      <c r="L958" s="22" t="s">
        <v>204</v>
      </c>
      <c r="M958" s="22" t="s">
        <v>205</v>
      </c>
    </row>
    <row r="959" customFormat="false" ht="15" hidden="false" customHeight="false" outlineLevel="0" collapsed="false">
      <c r="A959" s="22" t="s">
        <v>3023</v>
      </c>
      <c r="B959" s="22" t="s">
        <v>3024</v>
      </c>
      <c r="C959" s="22" t="s">
        <v>17</v>
      </c>
      <c r="D959" s="22" t="s">
        <v>60</v>
      </c>
      <c r="E959" s="22" t="s">
        <v>3025</v>
      </c>
      <c r="F959" s="23" t="n">
        <v>23996.94</v>
      </c>
      <c r="G959" s="24" t="n">
        <v>1.0551</v>
      </c>
      <c r="H959" s="24" t="n">
        <v>0.4977</v>
      </c>
      <c r="I959" s="22" t="s">
        <v>203</v>
      </c>
      <c r="J959" s="22"/>
      <c r="K959" s="23" t="n">
        <v>16702.9</v>
      </c>
      <c r="L959" s="22" t="s">
        <v>204</v>
      </c>
      <c r="M959" s="22" t="s">
        <v>205</v>
      </c>
    </row>
    <row r="960" customFormat="false" ht="15" hidden="false" customHeight="false" outlineLevel="0" collapsed="false">
      <c r="A960" s="22" t="s">
        <v>3026</v>
      </c>
      <c r="B960" s="22" t="s">
        <v>3027</v>
      </c>
      <c r="C960" s="22" t="s">
        <v>15</v>
      </c>
      <c r="D960" s="22" t="s">
        <v>60</v>
      </c>
      <c r="E960" s="22" t="s">
        <v>3028</v>
      </c>
      <c r="F960" s="23" t="n">
        <v>10061.43</v>
      </c>
      <c r="G960" s="24" t="n">
        <v>1.0951</v>
      </c>
      <c r="H960" s="24" t="n">
        <v>0.6102</v>
      </c>
      <c r="I960" s="22" t="s">
        <v>203</v>
      </c>
      <c r="J960" s="22"/>
      <c r="K960" s="23" t="n">
        <v>8896.95</v>
      </c>
      <c r="L960" s="22" t="s">
        <v>204</v>
      </c>
      <c r="M960" s="22" t="s">
        <v>205</v>
      </c>
    </row>
    <row r="961" customFormat="false" ht="15" hidden="false" customHeight="false" outlineLevel="0" collapsed="false">
      <c r="A961" s="22" t="s">
        <v>3029</v>
      </c>
      <c r="B961" s="22" t="s">
        <v>3030</v>
      </c>
      <c r="C961" s="22" t="s">
        <v>17</v>
      </c>
      <c r="D961" s="22" t="s">
        <v>58</v>
      </c>
      <c r="E961" s="22" t="s">
        <v>3031</v>
      </c>
      <c r="F961" s="23" t="n">
        <v>82334.54</v>
      </c>
      <c r="G961" s="24" t="n">
        <v>1.1777</v>
      </c>
      <c r="H961" s="24" t="n">
        <v>0.4363</v>
      </c>
      <c r="I961" s="22" t="s">
        <v>203</v>
      </c>
      <c r="J961" s="22"/>
      <c r="K961" s="23" t="n">
        <v>56075.95</v>
      </c>
      <c r="L961" s="22" t="s">
        <v>204</v>
      </c>
      <c r="M961" s="22" t="s">
        <v>205</v>
      </c>
    </row>
    <row r="962" customFormat="false" ht="15" hidden="false" customHeight="false" outlineLevel="0" collapsed="false">
      <c r="A962" s="22" t="s">
        <v>3032</v>
      </c>
      <c r="B962" s="22" t="s">
        <v>3033</v>
      </c>
      <c r="C962" s="22" t="s">
        <v>19</v>
      </c>
      <c r="D962" s="22" t="s">
        <v>60</v>
      </c>
      <c r="E962" s="22" t="s">
        <v>3034</v>
      </c>
      <c r="F962" s="23" t="n">
        <v>24819.66</v>
      </c>
      <c r="G962" s="24" t="n">
        <v>1.2329</v>
      </c>
      <c r="H962" s="24" t="n">
        <v>0.8919</v>
      </c>
      <c r="I962" s="22" t="s">
        <v>203</v>
      </c>
      <c r="J962" s="22"/>
      <c r="K962" s="23" t="n">
        <v>36453.26</v>
      </c>
      <c r="L962" s="22" t="s">
        <v>204</v>
      </c>
      <c r="M962" s="22" t="s">
        <v>205</v>
      </c>
    </row>
    <row r="963" customFormat="false" ht="15" hidden="false" customHeight="false" outlineLevel="0" collapsed="false">
      <c r="A963" s="22" t="s">
        <v>3035</v>
      </c>
      <c r="B963" s="22" t="s">
        <v>3036</v>
      </c>
      <c r="C963" s="22" t="s">
        <v>17</v>
      </c>
      <c r="D963" s="22" t="s">
        <v>58</v>
      </c>
      <c r="E963" s="22" t="s">
        <v>3037</v>
      </c>
      <c r="F963" s="23" t="n">
        <v>80170.75</v>
      </c>
      <c r="G963" s="24" t="n">
        <v>1.1846</v>
      </c>
      <c r="H963" s="24" t="n">
        <v>0.0372</v>
      </c>
      <c r="I963" s="22" t="s">
        <v>203</v>
      </c>
      <c r="J963" s="22"/>
      <c r="K963" s="23" t="n">
        <v>4682.8</v>
      </c>
      <c r="L963" s="22" t="s">
        <v>204</v>
      </c>
      <c r="M963" s="22" t="s">
        <v>205</v>
      </c>
    </row>
    <row r="964" customFormat="false" ht="15" hidden="false" customHeight="false" outlineLevel="0" collapsed="false">
      <c r="A964" s="22" t="s">
        <v>3038</v>
      </c>
      <c r="B964" s="22" t="s">
        <v>3039</v>
      </c>
      <c r="C964" s="22" t="s">
        <v>17</v>
      </c>
      <c r="D964" s="22" t="s">
        <v>58</v>
      </c>
      <c r="E964" s="22" t="s">
        <v>3040</v>
      </c>
      <c r="F964" s="23" t="n">
        <v>74547.73</v>
      </c>
      <c r="G964" s="24" t="n">
        <v>1.0366</v>
      </c>
      <c r="H964" s="24" t="n">
        <v>0.4855</v>
      </c>
      <c r="I964" s="22" t="s">
        <v>203</v>
      </c>
      <c r="J964" s="22"/>
      <c r="K964" s="23" t="n">
        <v>49728.98</v>
      </c>
      <c r="L964" s="22" t="s">
        <v>204</v>
      </c>
      <c r="M964" s="22" t="s">
        <v>205</v>
      </c>
    </row>
    <row r="965" customFormat="false" ht="15" hidden="false" customHeight="false" outlineLevel="0" collapsed="false">
      <c r="A965" s="22" t="s">
        <v>3041</v>
      </c>
      <c r="B965" s="22" t="s">
        <v>3042</v>
      </c>
      <c r="C965" s="22" t="s">
        <v>15</v>
      </c>
      <c r="D965" s="22" t="s">
        <v>58</v>
      </c>
      <c r="E965" s="22" t="s">
        <v>3043</v>
      </c>
      <c r="F965" s="23" t="n">
        <v>59387.06</v>
      </c>
      <c r="G965" s="24" t="n">
        <v>1.0009</v>
      </c>
      <c r="H965" s="24" t="n">
        <v>0.1341</v>
      </c>
      <c r="I965" s="22" t="s">
        <v>203</v>
      </c>
      <c r="J965" s="22"/>
      <c r="K965" s="23" t="n">
        <v>10547.91</v>
      </c>
      <c r="L965" s="22" t="s">
        <v>204</v>
      </c>
      <c r="M965" s="22" t="s">
        <v>205</v>
      </c>
    </row>
    <row r="966" customFormat="false" ht="15" hidden="false" customHeight="false" outlineLevel="0" collapsed="false">
      <c r="A966" s="22" t="s">
        <v>3044</v>
      </c>
      <c r="B966" s="22" t="s">
        <v>3045</v>
      </c>
      <c r="C966" s="22" t="s">
        <v>19</v>
      </c>
      <c r="D966" s="22" t="s">
        <v>59</v>
      </c>
      <c r="E966" s="22" t="s">
        <v>1053</v>
      </c>
      <c r="F966" s="23" t="n">
        <v>162291.21</v>
      </c>
      <c r="G966" s="24" t="n">
        <v>1.1066</v>
      </c>
      <c r="H966" s="24" t="n">
        <v>0.01</v>
      </c>
      <c r="I966" s="22" t="s">
        <v>203</v>
      </c>
      <c r="J966" s="22"/>
      <c r="K966" s="23" t="n">
        <v>2398.73</v>
      </c>
      <c r="L966" s="22" t="s">
        <v>204</v>
      </c>
      <c r="M966" s="22" t="s">
        <v>205</v>
      </c>
    </row>
    <row r="967" customFormat="false" ht="15" hidden="false" customHeight="false" outlineLevel="0" collapsed="false">
      <c r="A967" s="22" t="s">
        <v>3046</v>
      </c>
      <c r="B967" s="22" t="s">
        <v>3047</v>
      </c>
      <c r="C967" s="22" t="s">
        <v>15</v>
      </c>
      <c r="D967" s="22" t="s">
        <v>60</v>
      </c>
      <c r="E967" s="22" t="s">
        <v>3048</v>
      </c>
      <c r="F967" s="23" t="n">
        <v>24947.45</v>
      </c>
      <c r="G967" s="24" t="n">
        <v>1.0369</v>
      </c>
      <c r="H967" s="24" t="n">
        <v>0.9862</v>
      </c>
      <c r="I967" s="22" t="s">
        <v>203</v>
      </c>
      <c r="J967" s="22"/>
      <c r="K967" s="23" t="n">
        <v>33758.51</v>
      </c>
      <c r="L967" s="22" t="s">
        <v>204</v>
      </c>
      <c r="M967" s="22" t="s">
        <v>205</v>
      </c>
    </row>
    <row r="968" customFormat="false" ht="15" hidden="false" customHeight="false" outlineLevel="0" collapsed="false">
      <c r="A968" s="22" t="s">
        <v>3049</v>
      </c>
      <c r="B968" s="22" t="s">
        <v>3050</v>
      </c>
      <c r="C968" s="22" t="s">
        <v>15</v>
      </c>
      <c r="D968" s="22" t="s">
        <v>61</v>
      </c>
      <c r="E968" s="22" t="s">
        <v>3051</v>
      </c>
      <c r="F968" s="23" t="n">
        <v>3919.78</v>
      </c>
      <c r="G968" s="24" t="n">
        <v>1.094</v>
      </c>
      <c r="H968" s="24" t="n">
        <v>0.411</v>
      </c>
      <c r="I968" s="22" t="s">
        <v>203</v>
      </c>
      <c r="J968" s="22"/>
      <c r="K968" s="23" t="n">
        <v>2332.26</v>
      </c>
      <c r="L968" s="22" t="s">
        <v>204</v>
      </c>
      <c r="M968" s="22" t="s">
        <v>205</v>
      </c>
    </row>
    <row r="969" customFormat="false" ht="15" hidden="false" customHeight="false" outlineLevel="0" collapsed="false">
      <c r="A969" s="22" t="s">
        <v>3052</v>
      </c>
      <c r="B969" s="22" t="s">
        <v>3053</v>
      </c>
      <c r="C969" s="22" t="s">
        <v>15</v>
      </c>
      <c r="D969" s="22" t="s">
        <v>61</v>
      </c>
      <c r="E969" s="22" t="s">
        <v>3054</v>
      </c>
      <c r="F969" s="23" t="n">
        <v>5529.67</v>
      </c>
      <c r="G969" s="24" t="n">
        <v>1.0323</v>
      </c>
      <c r="H969" s="24" t="n">
        <v>0.797</v>
      </c>
      <c r="I969" s="22" t="s">
        <v>203</v>
      </c>
      <c r="J969" s="22"/>
      <c r="K969" s="23" t="n">
        <v>6020.31</v>
      </c>
      <c r="L969" s="22" t="s">
        <v>204</v>
      </c>
      <c r="M969" s="22" t="s">
        <v>205</v>
      </c>
    </row>
    <row r="970" customFormat="false" ht="15" hidden="false" customHeight="false" outlineLevel="0" collapsed="false">
      <c r="A970" s="22" t="s">
        <v>3055</v>
      </c>
      <c r="B970" s="22" t="s">
        <v>3056</v>
      </c>
      <c r="C970" s="22" t="s">
        <v>17</v>
      </c>
      <c r="D970" s="22" t="s">
        <v>59</v>
      </c>
      <c r="E970" s="22" t="s">
        <v>3057</v>
      </c>
      <c r="F970" s="23" t="n">
        <v>96021.58</v>
      </c>
      <c r="G970" s="24" t="n">
        <v>1.0222</v>
      </c>
      <c r="H970" s="24" t="n">
        <v>0.9413</v>
      </c>
      <c r="I970" s="22" t="s">
        <v>203</v>
      </c>
      <c r="J970" s="22"/>
      <c r="K970" s="23" t="n">
        <v>122463.73</v>
      </c>
      <c r="L970" s="22" t="s">
        <v>204</v>
      </c>
      <c r="M970" s="22" t="s">
        <v>205</v>
      </c>
    </row>
    <row r="971" customFormat="false" ht="15" hidden="false" customHeight="false" outlineLevel="0" collapsed="false">
      <c r="A971" s="22" t="s">
        <v>3058</v>
      </c>
      <c r="B971" s="22" t="s">
        <v>3059</v>
      </c>
      <c r="C971" s="22" t="s">
        <v>15</v>
      </c>
      <c r="D971" s="22" t="s">
        <v>60</v>
      </c>
      <c r="E971" s="22" t="s">
        <v>3060</v>
      </c>
      <c r="F971" s="23" t="n">
        <v>25477.58</v>
      </c>
      <c r="G971" s="24" t="n">
        <v>1.0746</v>
      </c>
      <c r="H971" s="24" t="n">
        <v>0.9245</v>
      </c>
      <c r="I971" s="22" t="s">
        <v>203</v>
      </c>
      <c r="J971" s="22"/>
      <c r="K971" s="23" t="n">
        <v>33494.01</v>
      </c>
      <c r="L971" s="22" t="s">
        <v>204</v>
      </c>
      <c r="M971" s="22" t="s">
        <v>205</v>
      </c>
    </row>
    <row r="972" customFormat="false" ht="15" hidden="false" customHeight="false" outlineLevel="0" collapsed="false">
      <c r="A972" s="22" t="s">
        <v>3061</v>
      </c>
      <c r="B972" s="22" t="s">
        <v>3062</v>
      </c>
      <c r="C972" s="22" t="s">
        <v>17</v>
      </c>
      <c r="D972" s="22" t="s">
        <v>59</v>
      </c>
      <c r="E972" s="22" t="s">
        <v>3063</v>
      </c>
      <c r="F972" s="23" t="n">
        <v>71761.93</v>
      </c>
      <c r="G972" s="24" t="n">
        <v>1.029</v>
      </c>
      <c r="H972" s="24" t="n">
        <v>0.4937</v>
      </c>
      <c r="I972" s="22" t="s">
        <v>203</v>
      </c>
      <c r="J972" s="22"/>
      <c r="K972" s="23" t="n">
        <v>48322.27</v>
      </c>
      <c r="L972" s="22" t="s">
        <v>204</v>
      </c>
      <c r="M972" s="22" t="s">
        <v>205</v>
      </c>
    </row>
    <row r="973" customFormat="false" ht="15" hidden="false" customHeight="false" outlineLevel="0" collapsed="false">
      <c r="A973" s="22" t="s">
        <v>3064</v>
      </c>
      <c r="B973" s="22" t="s">
        <v>3065</v>
      </c>
      <c r="C973" s="22" t="s">
        <v>15</v>
      </c>
      <c r="D973" s="22" t="s">
        <v>58</v>
      </c>
      <c r="E973" s="22" t="s">
        <v>3066</v>
      </c>
      <c r="F973" s="23" t="n">
        <v>55317.32</v>
      </c>
      <c r="G973" s="24" t="n">
        <v>1.1888</v>
      </c>
      <c r="H973" s="24" t="n">
        <v>0.6728</v>
      </c>
      <c r="I973" s="22" t="s">
        <v>203</v>
      </c>
      <c r="J973" s="22"/>
      <c r="K973" s="23" t="n">
        <v>58547.88</v>
      </c>
      <c r="L973" s="22" t="s">
        <v>204</v>
      </c>
      <c r="M973" s="22" t="s">
        <v>205</v>
      </c>
    </row>
    <row r="974" customFormat="false" ht="15" hidden="false" customHeight="false" outlineLevel="0" collapsed="false">
      <c r="A974" s="22" t="s">
        <v>3067</v>
      </c>
      <c r="B974" s="22" t="s">
        <v>3068</v>
      </c>
      <c r="C974" s="22" t="s">
        <v>15</v>
      </c>
      <c r="D974" s="22" t="s">
        <v>61</v>
      </c>
      <c r="E974" s="22" t="s">
        <v>3069</v>
      </c>
      <c r="F974" s="23" t="n">
        <v>2708.04</v>
      </c>
      <c r="G974" s="24" t="n">
        <v>1.0287</v>
      </c>
      <c r="H974" s="24" t="n">
        <v>0.2524</v>
      </c>
      <c r="I974" s="22" t="s">
        <v>203</v>
      </c>
      <c r="J974" s="22"/>
      <c r="K974" s="23" t="n">
        <v>930.44</v>
      </c>
      <c r="L974" s="22" t="s">
        <v>204</v>
      </c>
      <c r="M974" s="22" t="s">
        <v>205</v>
      </c>
    </row>
    <row r="975" customFormat="false" ht="15" hidden="false" customHeight="false" outlineLevel="0" collapsed="false">
      <c r="A975" s="22" t="s">
        <v>3070</v>
      </c>
      <c r="B975" s="22" t="s">
        <v>3071</v>
      </c>
      <c r="C975" s="22" t="s">
        <v>15</v>
      </c>
      <c r="D975" s="22" t="s">
        <v>60</v>
      </c>
      <c r="E975" s="22" t="s">
        <v>3072</v>
      </c>
      <c r="F975" s="23" t="n">
        <v>13196.69</v>
      </c>
      <c r="G975" s="24" t="n">
        <v>1.1811</v>
      </c>
      <c r="H975" s="24" t="n">
        <v>0.5535</v>
      </c>
      <c r="I975" s="22" t="s">
        <v>203</v>
      </c>
      <c r="J975" s="22"/>
      <c r="K975" s="23" t="n">
        <v>11416.28</v>
      </c>
      <c r="L975" s="22" t="s">
        <v>204</v>
      </c>
      <c r="M975" s="22" t="s">
        <v>205</v>
      </c>
    </row>
    <row r="976" customFormat="false" ht="15" hidden="false" customHeight="false" outlineLevel="0" collapsed="false">
      <c r="A976" s="22" t="s">
        <v>3073</v>
      </c>
      <c r="B976" s="22" t="s">
        <v>3074</v>
      </c>
      <c r="C976" s="22" t="s">
        <v>17</v>
      </c>
      <c r="D976" s="22" t="s">
        <v>58</v>
      </c>
      <c r="E976" s="22" t="s">
        <v>3075</v>
      </c>
      <c r="F976" s="23" t="n">
        <v>65092.28</v>
      </c>
      <c r="G976" s="24" t="n">
        <v>1.018</v>
      </c>
      <c r="H976" s="24" t="n">
        <v>0.1358</v>
      </c>
      <c r="I976" s="22" t="s">
        <v>203</v>
      </c>
      <c r="J976" s="22"/>
      <c r="K976" s="23" t="n">
        <v>11927.56</v>
      </c>
      <c r="L976" s="22" t="s">
        <v>204</v>
      </c>
      <c r="M976" s="22" t="s">
        <v>205</v>
      </c>
    </row>
    <row r="977" customFormat="false" ht="15" hidden="false" customHeight="false" outlineLevel="0" collapsed="false">
      <c r="A977" s="22" t="s">
        <v>3076</v>
      </c>
      <c r="B977" s="22" t="s">
        <v>3077</v>
      </c>
      <c r="C977" s="22" t="s">
        <v>15</v>
      </c>
      <c r="D977" s="22" t="s">
        <v>59</v>
      </c>
      <c r="E977" s="22" t="s">
        <v>3078</v>
      </c>
      <c r="F977" s="23" t="n">
        <v>61112.55</v>
      </c>
      <c r="G977" s="24" t="n">
        <v>1.1392</v>
      </c>
      <c r="H977" s="24" t="n">
        <v>0.4713</v>
      </c>
      <c r="I977" s="22" t="s">
        <v>203</v>
      </c>
      <c r="J977" s="22"/>
      <c r="K977" s="23" t="n">
        <v>43419.33</v>
      </c>
      <c r="L977" s="22" t="s">
        <v>204</v>
      </c>
      <c r="M977" s="22" t="s">
        <v>205</v>
      </c>
    </row>
    <row r="978" customFormat="false" ht="15" hidden="false" customHeight="false" outlineLevel="0" collapsed="false">
      <c r="A978" s="22" t="s">
        <v>3079</v>
      </c>
      <c r="B978" s="22" t="s">
        <v>3080</v>
      </c>
      <c r="C978" s="22" t="s">
        <v>17</v>
      </c>
      <c r="D978" s="22" t="s">
        <v>60</v>
      </c>
      <c r="E978" s="22" t="s">
        <v>3081</v>
      </c>
      <c r="F978" s="23" t="n">
        <v>11269.75</v>
      </c>
      <c r="G978" s="24" t="n">
        <v>1.2571</v>
      </c>
      <c r="H978" s="24" t="n">
        <v>0.5295</v>
      </c>
      <c r="I978" s="22" t="s">
        <v>203</v>
      </c>
      <c r="J978" s="22"/>
      <c r="K978" s="23" t="n">
        <v>9943.17</v>
      </c>
      <c r="L978" s="22" t="s">
        <v>204</v>
      </c>
      <c r="M978" s="22" t="s">
        <v>205</v>
      </c>
    </row>
    <row r="979" customFormat="false" ht="15" hidden="false" customHeight="false" outlineLevel="0" collapsed="false">
      <c r="A979" s="22" t="s">
        <v>3082</v>
      </c>
      <c r="B979" s="22" t="s">
        <v>3083</v>
      </c>
      <c r="C979" s="22" t="s">
        <v>15</v>
      </c>
      <c r="D979" s="22" t="s">
        <v>58</v>
      </c>
      <c r="E979" s="22" t="s">
        <v>2099</v>
      </c>
      <c r="F979" s="23" t="n">
        <v>80504.94</v>
      </c>
      <c r="G979" s="24" t="n">
        <v>1.1654</v>
      </c>
      <c r="H979" s="24" t="n">
        <v>0.845</v>
      </c>
      <c r="I979" s="22" t="s">
        <v>203</v>
      </c>
      <c r="J979" s="22"/>
      <c r="K979" s="23" t="n">
        <v>104908.22</v>
      </c>
      <c r="L979" s="22" t="s">
        <v>204</v>
      </c>
      <c r="M979" s="22" t="s">
        <v>205</v>
      </c>
    </row>
    <row r="980" customFormat="false" ht="15" hidden="false" customHeight="false" outlineLevel="0" collapsed="false">
      <c r="A980" s="22" t="s">
        <v>3084</v>
      </c>
      <c r="B980" s="22" t="s">
        <v>3085</v>
      </c>
      <c r="C980" s="22" t="s">
        <v>15</v>
      </c>
      <c r="D980" s="22" t="s">
        <v>61</v>
      </c>
      <c r="E980" s="22" t="s">
        <v>2834</v>
      </c>
      <c r="F980" s="23" t="n">
        <v>3282.68</v>
      </c>
      <c r="G980" s="24" t="n">
        <v>1.0025</v>
      </c>
      <c r="H980" s="24" t="n">
        <v>0.9303</v>
      </c>
      <c r="I980" s="22" t="s">
        <v>203</v>
      </c>
      <c r="J980" s="22"/>
      <c r="K980" s="23" t="n">
        <v>4051.27</v>
      </c>
      <c r="L980" s="22" t="s">
        <v>204</v>
      </c>
      <c r="M980" s="22" t="s">
        <v>205</v>
      </c>
    </row>
    <row r="981" customFormat="false" ht="15" hidden="false" customHeight="false" outlineLevel="0" collapsed="false">
      <c r="A981" s="22" t="s">
        <v>3086</v>
      </c>
      <c r="B981" s="22" t="s">
        <v>3087</v>
      </c>
      <c r="C981" s="22" t="s">
        <v>15</v>
      </c>
      <c r="D981" s="22" t="s">
        <v>61</v>
      </c>
      <c r="E981" s="22" t="s">
        <v>3088</v>
      </c>
      <c r="F981" s="23" t="n">
        <v>3680.05</v>
      </c>
      <c r="G981" s="24" t="n">
        <v>1.1036</v>
      </c>
      <c r="H981" s="24" t="n">
        <v>0.875</v>
      </c>
      <c r="I981" s="22" t="s">
        <v>203</v>
      </c>
      <c r="J981" s="22"/>
      <c r="K981" s="23" t="n">
        <v>4702.5</v>
      </c>
      <c r="L981" s="22" t="s">
        <v>204</v>
      </c>
      <c r="M981" s="22" t="s">
        <v>205</v>
      </c>
    </row>
    <row r="982" customFormat="false" ht="15" hidden="false" customHeight="false" outlineLevel="0" collapsed="false">
      <c r="A982" s="22" t="s">
        <v>3089</v>
      </c>
      <c r="B982" s="22" t="s">
        <v>3090</v>
      </c>
      <c r="C982" s="22" t="s">
        <v>17</v>
      </c>
      <c r="D982" s="22" t="s">
        <v>60</v>
      </c>
      <c r="E982" s="22" t="s">
        <v>3091</v>
      </c>
      <c r="F982" s="23" t="n">
        <v>13789.5</v>
      </c>
      <c r="G982" s="24" t="n">
        <v>1.2076</v>
      </c>
      <c r="H982" s="24" t="n">
        <v>0.6754</v>
      </c>
      <c r="I982" s="22" t="s">
        <v>203</v>
      </c>
      <c r="J982" s="22"/>
      <c r="K982" s="23" t="n">
        <v>14907.59</v>
      </c>
      <c r="L982" s="22" t="s">
        <v>204</v>
      </c>
      <c r="M982" s="22" t="s">
        <v>205</v>
      </c>
    </row>
    <row r="983" customFormat="false" ht="15" hidden="false" customHeight="false" outlineLevel="0" collapsed="false">
      <c r="A983" s="22" t="s">
        <v>3092</v>
      </c>
      <c r="B983" s="22" t="s">
        <v>3093</v>
      </c>
      <c r="C983" s="22" t="s">
        <v>15</v>
      </c>
      <c r="D983" s="22" t="s">
        <v>61</v>
      </c>
      <c r="E983" s="22" t="s">
        <v>3094</v>
      </c>
      <c r="F983" s="23" t="n">
        <v>10030.87</v>
      </c>
      <c r="G983" s="24" t="n">
        <v>1.0393</v>
      </c>
      <c r="H983" s="24" t="n">
        <v>0.7512</v>
      </c>
      <c r="I983" s="22" t="s">
        <v>203</v>
      </c>
      <c r="J983" s="22"/>
      <c r="K983" s="23" t="n">
        <v>10363.12</v>
      </c>
      <c r="L983" s="22" t="s">
        <v>204</v>
      </c>
      <c r="M983" s="22" t="s">
        <v>205</v>
      </c>
    </row>
    <row r="984" customFormat="false" ht="15" hidden="false" customHeight="false" outlineLevel="0" collapsed="false">
      <c r="A984" s="22" t="s">
        <v>3095</v>
      </c>
      <c r="B984" s="22" t="s">
        <v>3096</v>
      </c>
      <c r="C984" s="22" t="s">
        <v>15</v>
      </c>
      <c r="D984" s="22" t="s">
        <v>59</v>
      </c>
      <c r="E984" s="22" t="s">
        <v>3097</v>
      </c>
      <c r="F984" s="23" t="n">
        <v>86171.95</v>
      </c>
      <c r="G984" s="24" t="n">
        <v>1.037</v>
      </c>
      <c r="H984" s="24" t="n">
        <v>0.01</v>
      </c>
      <c r="I984" s="22" t="s">
        <v>203</v>
      </c>
      <c r="J984" s="22"/>
      <c r="K984" s="23" t="n">
        <v>1182.5</v>
      </c>
      <c r="L984" s="22" t="s">
        <v>204</v>
      </c>
      <c r="M984" s="22" t="s">
        <v>205</v>
      </c>
    </row>
    <row r="985" customFormat="false" ht="15" hidden="false" customHeight="false" outlineLevel="0" collapsed="false">
      <c r="A985" s="22" t="s">
        <v>3098</v>
      </c>
      <c r="B985" s="22" t="s">
        <v>3099</v>
      </c>
      <c r="C985" s="22" t="s">
        <v>15</v>
      </c>
      <c r="D985" s="22" t="s">
        <v>58</v>
      </c>
      <c r="E985" s="22" t="s">
        <v>3100</v>
      </c>
      <c r="F985" s="23" t="n">
        <v>72911.03</v>
      </c>
      <c r="G985" s="24" t="n">
        <v>1.2984</v>
      </c>
      <c r="H985" s="24" t="n">
        <v>0.7148</v>
      </c>
      <c r="I985" s="22" t="s">
        <v>203</v>
      </c>
      <c r="J985" s="22"/>
      <c r="K985" s="23" t="n">
        <v>89545.04</v>
      </c>
      <c r="L985" s="22" t="s">
        <v>204</v>
      </c>
      <c r="M985" s="22" t="s">
        <v>205</v>
      </c>
    </row>
    <row r="986" customFormat="false" ht="15" hidden="false" customHeight="false" outlineLevel="0" collapsed="false">
      <c r="A986" s="22" t="s">
        <v>3101</v>
      </c>
      <c r="B986" s="22" t="s">
        <v>3102</v>
      </c>
      <c r="C986" s="22" t="s">
        <v>15</v>
      </c>
      <c r="D986" s="22" t="s">
        <v>60</v>
      </c>
      <c r="E986" s="22" t="s">
        <v>3103</v>
      </c>
      <c r="F986" s="23" t="n">
        <v>31104.15</v>
      </c>
      <c r="G986" s="24" t="n">
        <v>1.2468</v>
      </c>
      <c r="H986" s="24" t="n">
        <v>0.741</v>
      </c>
      <c r="I986" s="22" t="s">
        <v>203</v>
      </c>
      <c r="J986" s="22"/>
      <c r="K986" s="23" t="n">
        <v>38026.7</v>
      </c>
      <c r="L986" s="22" t="s">
        <v>204</v>
      </c>
      <c r="M986" s="22" t="s">
        <v>205</v>
      </c>
    </row>
    <row r="987" customFormat="false" ht="15" hidden="false" customHeight="false" outlineLevel="0" collapsed="false">
      <c r="A987" s="22" t="s">
        <v>3104</v>
      </c>
      <c r="B987" s="22" t="s">
        <v>3105</v>
      </c>
      <c r="C987" s="22" t="s">
        <v>15</v>
      </c>
      <c r="D987" s="22" t="s">
        <v>62</v>
      </c>
      <c r="E987" s="22" t="s">
        <v>3106</v>
      </c>
      <c r="F987" s="23" t="n">
        <v>587943.59</v>
      </c>
      <c r="G987" s="24" t="n">
        <v>1.2878</v>
      </c>
      <c r="H987" s="24" t="n">
        <v>0.5508</v>
      </c>
      <c r="I987" s="22" t="s">
        <v>203</v>
      </c>
      <c r="J987" s="22"/>
      <c r="K987" s="23" t="n">
        <v>551865.55</v>
      </c>
      <c r="L987" s="22" t="s">
        <v>204</v>
      </c>
      <c r="M987" s="22" t="s">
        <v>205</v>
      </c>
    </row>
    <row r="988" customFormat="false" ht="15" hidden="false" customHeight="false" outlineLevel="0" collapsed="false">
      <c r="A988" s="22" t="s">
        <v>3107</v>
      </c>
      <c r="B988" s="22" t="s">
        <v>3108</v>
      </c>
      <c r="C988" s="22" t="s">
        <v>17</v>
      </c>
      <c r="D988" s="22" t="s">
        <v>60</v>
      </c>
      <c r="E988" s="22" t="s">
        <v>3109</v>
      </c>
      <c r="F988" s="23" t="n">
        <v>22719.57</v>
      </c>
      <c r="G988" s="24" t="n">
        <v>1.2134</v>
      </c>
      <c r="H988" s="24" t="n">
        <v>0.858</v>
      </c>
      <c r="I988" s="22" t="s">
        <v>203</v>
      </c>
      <c r="J988" s="22"/>
      <c r="K988" s="23" t="n">
        <v>31352.06</v>
      </c>
      <c r="L988" s="22" t="s">
        <v>204</v>
      </c>
      <c r="M988" s="22" t="s">
        <v>205</v>
      </c>
    </row>
    <row r="989" customFormat="false" ht="15" hidden="false" customHeight="false" outlineLevel="0" collapsed="false">
      <c r="A989" s="22" t="s">
        <v>3110</v>
      </c>
      <c r="B989" s="22" t="s">
        <v>3111</v>
      </c>
      <c r="C989" s="22" t="s">
        <v>17</v>
      </c>
      <c r="D989" s="22" t="s">
        <v>58</v>
      </c>
      <c r="E989" s="22" t="s">
        <v>3112</v>
      </c>
      <c r="F989" s="23" t="n">
        <v>56258.31</v>
      </c>
      <c r="G989" s="24" t="n">
        <v>1.1107</v>
      </c>
      <c r="H989" s="24" t="n">
        <v>0.01</v>
      </c>
      <c r="I989" s="22" t="s">
        <v>203</v>
      </c>
      <c r="J989" s="22"/>
      <c r="K989" s="23" t="n">
        <v>828.24</v>
      </c>
      <c r="L989" s="22" t="s">
        <v>204</v>
      </c>
      <c r="M989" s="22" t="s">
        <v>205</v>
      </c>
    </row>
    <row r="990" customFormat="false" ht="15" hidden="false" customHeight="false" outlineLevel="0" collapsed="false">
      <c r="A990" s="22" t="s">
        <v>3113</v>
      </c>
      <c r="B990" s="22" t="s">
        <v>3114</v>
      </c>
      <c r="C990" s="22" t="s">
        <v>15</v>
      </c>
      <c r="D990" s="22" t="s">
        <v>61</v>
      </c>
      <c r="E990" s="22" t="s">
        <v>2664</v>
      </c>
      <c r="F990" s="23" t="n">
        <v>4058.53</v>
      </c>
      <c r="G990" s="24" t="n">
        <v>1.1276</v>
      </c>
      <c r="H990" s="24" t="n">
        <v>0.9546</v>
      </c>
      <c r="I990" s="22" t="s">
        <v>203</v>
      </c>
      <c r="J990" s="22"/>
      <c r="K990" s="23" t="n">
        <v>5780.97</v>
      </c>
      <c r="L990" s="22" t="s">
        <v>204</v>
      </c>
      <c r="M990" s="22" t="s">
        <v>205</v>
      </c>
    </row>
    <row r="991" customFormat="false" ht="15" hidden="false" customHeight="false" outlineLevel="0" collapsed="false">
      <c r="A991" s="22" t="s">
        <v>3115</v>
      </c>
      <c r="B991" s="22" t="s">
        <v>3116</v>
      </c>
      <c r="C991" s="22" t="s">
        <v>15</v>
      </c>
      <c r="D991" s="22" t="s">
        <v>59</v>
      </c>
      <c r="E991" s="22" t="s">
        <v>3117</v>
      </c>
      <c r="F991" s="23" t="n">
        <v>66956.05</v>
      </c>
      <c r="G991" s="24" t="n">
        <v>1.0345</v>
      </c>
      <c r="H991" s="24" t="n">
        <v>0.072</v>
      </c>
      <c r="I991" s="22" t="s">
        <v>203</v>
      </c>
      <c r="J991" s="22"/>
      <c r="K991" s="23" t="n">
        <v>6599.46</v>
      </c>
      <c r="L991" s="22" t="s">
        <v>204</v>
      </c>
      <c r="M991" s="22" t="s">
        <v>205</v>
      </c>
    </row>
    <row r="992" customFormat="false" ht="15" hidden="false" customHeight="false" outlineLevel="0" collapsed="false">
      <c r="A992" s="22" t="s">
        <v>3118</v>
      </c>
      <c r="B992" s="22" t="s">
        <v>3119</v>
      </c>
      <c r="C992" s="22" t="s">
        <v>17</v>
      </c>
      <c r="D992" s="22" t="s">
        <v>61</v>
      </c>
      <c r="E992" s="22" t="s">
        <v>3120</v>
      </c>
      <c r="F992" s="23" t="n">
        <v>7650.41</v>
      </c>
      <c r="G992" s="24" t="n">
        <v>1.1231</v>
      </c>
      <c r="H992" s="24" t="n">
        <v>0.2927</v>
      </c>
      <c r="I992" s="22" t="s">
        <v>203</v>
      </c>
      <c r="J992" s="22"/>
      <c r="K992" s="23" t="n">
        <v>3333.5</v>
      </c>
      <c r="L992" s="22" t="s">
        <v>204</v>
      </c>
      <c r="M992" s="22" t="s">
        <v>205</v>
      </c>
    </row>
    <row r="993" customFormat="false" ht="15" hidden="false" customHeight="false" outlineLevel="0" collapsed="false">
      <c r="A993" s="22" t="s">
        <v>3121</v>
      </c>
      <c r="B993" s="22" t="s">
        <v>3122</v>
      </c>
      <c r="C993" s="22" t="s">
        <v>17</v>
      </c>
      <c r="D993" s="22" t="s">
        <v>58</v>
      </c>
      <c r="E993" s="22" t="s">
        <v>3123</v>
      </c>
      <c r="F993" s="23" t="n">
        <v>79215.3</v>
      </c>
      <c r="G993" s="24" t="n">
        <v>1.2525</v>
      </c>
      <c r="H993" s="24" t="n">
        <v>0.4167</v>
      </c>
      <c r="I993" s="22" t="s">
        <v>203</v>
      </c>
      <c r="J993" s="22"/>
      <c r="K993" s="23" t="n">
        <v>54800.56</v>
      </c>
      <c r="L993" s="22" t="s">
        <v>204</v>
      </c>
      <c r="M993" s="22" t="s">
        <v>205</v>
      </c>
    </row>
    <row r="994" customFormat="false" ht="15" hidden="false" customHeight="false" outlineLevel="0" collapsed="false">
      <c r="A994" s="22" t="s">
        <v>3124</v>
      </c>
      <c r="B994" s="22" t="s">
        <v>3125</v>
      </c>
      <c r="C994" s="22" t="s">
        <v>17</v>
      </c>
      <c r="D994" s="22" t="s">
        <v>61</v>
      </c>
      <c r="E994" s="22" t="s">
        <v>3126</v>
      </c>
      <c r="F994" s="23" t="n">
        <v>4479.58</v>
      </c>
      <c r="G994" s="24" t="n">
        <v>1.0185</v>
      </c>
      <c r="H994" s="24" t="n">
        <v>0.994</v>
      </c>
      <c r="I994" s="22" t="s">
        <v>203</v>
      </c>
      <c r="J994" s="22"/>
      <c r="K994" s="23" t="n">
        <v>6011.18</v>
      </c>
      <c r="L994" s="22" t="s">
        <v>204</v>
      </c>
      <c r="M994" s="22" t="s">
        <v>205</v>
      </c>
    </row>
    <row r="995" customFormat="false" ht="15" hidden="false" customHeight="false" outlineLevel="0" collapsed="false">
      <c r="A995" s="22" t="s">
        <v>3127</v>
      </c>
      <c r="B995" s="22" t="s">
        <v>3128</v>
      </c>
      <c r="C995" s="22" t="s">
        <v>15</v>
      </c>
      <c r="D995" s="22" t="s">
        <v>58</v>
      </c>
      <c r="E995" s="22" t="s">
        <v>3129</v>
      </c>
      <c r="F995" s="23" t="n">
        <v>66149.09</v>
      </c>
      <c r="G995" s="24" t="n">
        <v>1.2675</v>
      </c>
      <c r="H995" s="24" t="n">
        <v>0.1409</v>
      </c>
      <c r="I995" s="22" t="s">
        <v>203</v>
      </c>
      <c r="J995" s="22"/>
      <c r="K995" s="23" t="n">
        <v>15632.85</v>
      </c>
      <c r="L995" s="22" t="s">
        <v>204</v>
      </c>
      <c r="M995" s="22" t="s">
        <v>205</v>
      </c>
    </row>
    <row r="996" customFormat="false" ht="15" hidden="false" customHeight="false" outlineLevel="0" collapsed="false">
      <c r="A996" s="22" t="s">
        <v>3130</v>
      </c>
      <c r="B996" s="22" t="s">
        <v>3131</v>
      </c>
      <c r="C996" s="22" t="s">
        <v>17</v>
      </c>
      <c r="D996" s="22" t="s">
        <v>61</v>
      </c>
      <c r="E996" s="22" t="s">
        <v>3132</v>
      </c>
      <c r="F996" s="23" t="n">
        <v>2057.31</v>
      </c>
      <c r="G996" s="24" t="n">
        <v>1.1943</v>
      </c>
      <c r="H996" s="24" t="n">
        <v>0.3918</v>
      </c>
      <c r="I996" s="22" t="s">
        <v>203</v>
      </c>
      <c r="J996" s="22"/>
      <c r="K996" s="23" t="n">
        <v>1276</v>
      </c>
      <c r="L996" s="22" t="s">
        <v>204</v>
      </c>
      <c r="M996" s="22" t="s">
        <v>205</v>
      </c>
    </row>
    <row r="997" customFormat="false" ht="15" hidden="false" customHeight="false" outlineLevel="0" collapsed="false">
      <c r="A997" s="22" t="s">
        <v>3133</v>
      </c>
      <c r="B997" s="22" t="s">
        <v>3134</v>
      </c>
      <c r="C997" s="22" t="s">
        <v>15</v>
      </c>
      <c r="D997" s="22" t="s">
        <v>61</v>
      </c>
      <c r="E997" s="22" t="s">
        <v>1954</v>
      </c>
      <c r="F997" s="23" t="n">
        <v>3436.52</v>
      </c>
      <c r="G997" s="24" t="n">
        <v>1.2873</v>
      </c>
      <c r="H997" s="24" t="n">
        <v>0.0388</v>
      </c>
      <c r="I997" s="22" t="s">
        <v>203</v>
      </c>
      <c r="J997" s="22"/>
      <c r="K997" s="23" t="n">
        <v>227.14</v>
      </c>
      <c r="L997" s="22" t="s">
        <v>204</v>
      </c>
      <c r="M997" s="22" t="s">
        <v>205</v>
      </c>
    </row>
    <row r="998" customFormat="false" ht="15" hidden="false" customHeight="false" outlineLevel="0" collapsed="false">
      <c r="A998" s="22" t="s">
        <v>3135</v>
      </c>
      <c r="B998" s="22" t="s">
        <v>3136</v>
      </c>
      <c r="C998" s="22" t="s">
        <v>15</v>
      </c>
      <c r="D998" s="22" t="s">
        <v>61</v>
      </c>
      <c r="E998" s="22" t="s">
        <v>3137</v>
      </c>
      <c r="F998" s="23" t="n">
        <v>9141.31</v>
      </c>
      <c r="G998" s="24" t="n">
        <v>1.1974</v>
      </c>
      <c r="H998" s="24" t="n">
        <v>0.6366</v>
      </c>
      <c r="I998" s="22" t="s">
        <v>203</v>
      </c>
      <c r="J998" s="22"/>
      <c r="K998" s="23" t="n">
        <v>9220.82</v>
      </c>
      <c r="L998" s="22" t="s">
        <v>204</v>
      </c>
      <c r="M998" s="22" t="s">
        <v>205</v>
      </c>
    </row>
    <row r="999" customFormat="false" ht="15" hidden="false" customHeight="false" outlineLevel="0" collapsed="false">
      <c r="A999" s="22" t="s">
        <v>3138</v>
      </c>
      <c r="B999" s="22" t="s">
        <v>3139</v>
      </c>
      <c r="C999" s="22" t="s">
        <v>15</v>
      </c>
      <c r="D999" s="22" t="s">
        <v>60</v>
      </c>
      <c r="E999" s="22" t="s">
        <v>3140</v>
      </c>
      <c r="F999" s="23" t="n">
        <v>28960.21</v>
      </c>
      <c r="G999" s="24" t="n">
        <v>1.1902</v>
      </c>
      <c r="H999" s="24" t="n">
        <v>0.2508</v>
      </c>
      <c r="I999" s="22" t="s">
        <v>203</v>
      </c>
      <c r="J999" s="22"/>
      <c r="K999" s="23" t="n">
        <v>11439.43</v>
      </c>
      <c r="L999" s="22" t="s">
        <v>204</v>
      </c>
      <c r="M999" s="22" t="s">
        <v>205</v>
      </c>
    </row>
    <row r="1000" customFormat="false" ht="15" hidden="false" customHeight="false" outlineLevel="0" collapsed="false">
      <c r="A1000" s="22" t="s">
        <v>3141</v>
      </c>
      <c r="B1000" s="22" t="s">
        <v>3142</v>
      </c>
      <c r="C1000" s="22" t="s">
        <v>19</v>
      </c>
      <c r="D1000" s="22" t="s">
        <v>58</v>
      </c>
      <c r="E1000" s="22" t="s">
        <v>2359</v>
      </c>
      <c r="F1000" s="23" t="n">
        <v>86815.08</v>
      </c>
      <c r="G1000" s="24" t="n">
        <v>1.267</v>
      </c>
      <c r="H1000" s="24" t="n">
        <v>0.5905</v>
      </c>
      <c r="I1000" s="22" t="s">
        <v>203</v>
      </c>
      <c r="J1000" s="22"/>
      <c r="K1000" s="23" t="n">
        <v>86753.75</v>
      </c>
      <c r="L1000" s="22" t="s">
        <v>204</v>
      </c>
      <c r="M1000" s="22" t="s">
        <v>205</v>
      </c>
    </row>
    <row r="1001" customFormat="false" ht="15" hidden="false" customHeight="false" outlineLevel="0" collapsed="false">
      <c r="A1001" s="22" t="s">
        <v>3143</v>
      </c>
      <c r="B1001" s="22" t="s">
        <v>3144</v>
      </c>
      <c r="C1001" s="22" t="s">
        <v>17</v>
      </c>
      <c r="D1001" s="22" t="s">
        <v>60</v>
      </c>
      <c r="E1001" s="22" t="s">
        <v>3145</v>
      </c>
      <c r="F1001" s="23" t="n">
        <v>16282.73</v>
      </c>
      <c r="G1001" s="24" t="n">
        <v>1.05</v>
      </c>
      <c r="H1001" s="24" t="n">
        <v>0.5559</v>
      </c>
      <c r="I1001" s="22" t="s">
        <v>203</v>
      </c>
      <c r="J1001" s="22"/>
      <c r="K1001" s="23" t="n">
        <v>12597.6</v>
      </c>
      <c r="L1001" s="22" t="s">
        <v>204</v>
      </c>
      <c r="M1001" s="22" t="s">
        <v>205</v>
      </c>
    </row>
    <row r="1002" customFormat="false" ht="15" hidden="false" customHeight="false" outlineLevel="0" collapsed="false">
      <c r="A1002" s="22" t="s">
        <v>3146</v>
      </c>
      <c r="B1002" s="22" t="s">
        <v>3147</v>
      </c>
      <c r="C1002" s="22" t="s">
        <v>21</v>
      </c>
      <c r="D1002" s="22" t="s">
        <v>59</v>
      </c>
      <c r="E1002" s="22" t="s">
        <v>3148</v>
      </c>
      <c r="F1002" s="23" t="n">
        <v>108970.76</v>
      </c>
      <c r="G1002" s="24" t="n">
        <v>1.0054</v>
      </c>
      <c r="H1002" s="24" t="n">
        <v>0.0662</v>
      </c>
      <c r="I1002" s="22" t="s">
        <v>203</v>
      </c>
      <c r="J1002" s="22"/>
      <c r="K1002" s="23" t="n">
        <v>9222.81</v>
      </c>
      <c r="L1002" s="22" t="s">
        <v>204</v>
      </c>
      <c r="M1002" s="22" t="s">
        <v>205</v>
      </c>
    </row>
    <row r="1003" customFormat="false" ht="15" hidden="false" customHeight="false" outlineLevel="0" collapsed="false">
      <c r="A1003" s="22" t="s">
        <v>3149</v>
      </c>
      <c r="B1003" s="22" t="s">
        <v>3150</v>
      </c>
      <c r="C1003" s="22" t="s">
        <v>17</v>
      </c>
      <c r="D1003" s="22" t="s">
        <v>61</v>
      </c>
      <c r="E1003" s="22" t="s">
        <v>3151</v>
      </c>
      <c r="F1003" s="23" t="n">
        <v>5135.9</v>
      </c>
      <c r="G1003" s="24" t="n">
        <v>1.1015</v>
      </c>
      <c r="H1003" s="24" t="n">
        <v>0.1458</v>
      </c>
      <c r="I1003" s="22" t="s">
        <v>203</v>
      </c>
      <c r="J1003" s="22"/>
      <c r="K1003" s="23" t="n">
        <v>1093.28</v>
      </c>
      <c r="L1003" s="22" t="s">
        <v>204</v>
      </c>
      <c r="M1003" s="22" t="s">
        <v>205</v>
      </c>
    </row>
    <row r="1004" customFormat="false" ht="15" hidden="false" customHeight="false" outlineLevel="0" collapsed="false">
      <c r="A1004" s="22" t="s">
        <v>3152</v>
      </c>
      <c r="B1004" s="22" t="s">
        <v>3153</v>
      </c>
      <c r="C1004" s="22" t="s">
        <v>15</v>
      </c>
      <c r="D1004" s="22" t="s">
        <v>61</v>
      </c>
      <c r="E1004" s="22" t="s">
        <v>1017</v>
      </c>
      <c r="F1004" s="23" t="n">
        <v>8220.29</v>
      </c>
      <c r="G1004" s="24" t="n">
        <v>1.2763</v>
      </c>
      <c r="H1004" s="24" t="n">
        <v>0.896</v>
      </c>
      <c r="I1004" s="22" t="s">
        <v>203</v>
      </c>
      <c r="J1004" s="22"/>
      <c r="K1004" s="23" t="n">
        <v>12439.51</v>
      </c>
      <c r="L1004" s="22" t="s">
        <v>204</v>
      </c>
      <c r="M1004" s="2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2026-10-23T15:45:10Z</dcterms:created>
  <dc:creator>openpyxl</dc:creator>
  <dc:description/>
  <dc:language>en-US</dc:language>
  <cp:lastModifiedBy/>
  <dcterms:modified xsi:type="dcterms:W3CDTF">2026-10-23T15:45:10Z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