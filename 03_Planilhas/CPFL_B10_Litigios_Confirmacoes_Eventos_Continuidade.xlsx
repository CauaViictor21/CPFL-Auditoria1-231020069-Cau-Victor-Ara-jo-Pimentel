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T501_Litigios" sheetId="1" state="visible" r:id="rId3"/>
    <sheet name="PT501_Estoques_Segm" sheetId="2" state="visible" r:id="rId4"/>
    <sheet name="PT505_Controle" sheetId="3" state="visible" r:id="rId5"/>
    <sheet name="PT560_Linha_Tempo" sheetId="4" state="visible" r:id="rId6"/>
    <sheet name="PT570_Liquidez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<sst xmlns="http://schemas.openxmlformats.org/spreadsheetml/2006/main" count="355" uniqueCount="281">
  <si>
    <t xml:space="preserve">PT 501 — Litígios e reclamações (DF25 nota 22, p. 94–96/62–64)</t>
  </si>
  <si>
    <t xml:space="preserve">Valores em R$ mil, salvo indicação. Azul/amarelo = dado de entrada com fonte; preto = fórmula.</t>
  </si>
  <si>
    <t xml:space="preserve">Natureza (provável — provisionado)</t>
  </si>
  <si>
    <t xml:space="preserve">Saldo 31/12/2024</t>
  </si>
  <si>
    <t xml:space="preserve">Adições</t>
  </si>
  <si>
    <t xml:space="preserve">Reversões</t>
  </si>
  <si>
    <t xml:space="preserve">Pagamentos</t>
  </si>
  <si>
    <t xml:space="preserve">Atualização</t>
  </si>
  <si>
    <t xml:space="preserve">Saldo 31/12/2025</t>
  </si>
  <si>
    <t xml:space="preserve">Recálculo do saldo final</t>
  </si>
  <si>
    <t xml:space="preserve">Trabalhistas</t>
  </si>
  <si>
    <t xml:space="preserve">Cíveis</t>
  </si>
  <si>
    <t xml:space="preserve">Fiscais</t>
  </si>
  <si>
    <t xml:space="preserve">Outros</t>
  </si>
  <si>
    <t xml:space="preserve">Total</t>
  </si>
  <si>
    <t xml:space="preserve">Total divulgado / BP (p. 35/3)</t>
  </si>
  <si>
    <t xml:space="preserve">Diferença (calculado − divulgado)</t>
  </si>
  <si>
    <t xml:space="preserve">Depósitos judiciais (ativo)</t>
  </si>
  <si>
    <t xml:space="preserve">Trabalhistas 274.015; cíveis 39.361; fiscais 449.343; outros 43.057 (2025)</t>
  </si>
  <si>
    <t xml:space="preserve">Perdas possíveis (não provisionadas; divulgadas)</t>
  </si>
  <si>
    <t xml:space="preserve">31/12/2025</t>
  </si>
  <si>
    <t xml:space="preserve">31/12/2024</t>
  </si>
  <si>
    <t xml:space="preserve">Variação</t>
  </si>
  <si>
    <t xml:space="preserve">% materialidade global</t>
  </si>
  <si>
    <t xml:space="preserve">Principais causas (p. 95/63)</t>
  </si>
  <si>
    <t xml:space="preserve">Acidentes de trabalho, periculosidade, horas extras</t>
  </si>
  <si>
    <t xml:space="preserve">Indenizações, danos elétricos, majoração tarifária, faixa de domínio</t>
  </si>
  <si>
    <t xml:space="preserve">IR e CS</t>
  </si>
  <si>
    <t xml:space="preserve">Fiscais — Outros</t>
  </si>
  <si>
    <t xml:space="preserve">INSS, ICMS, FINSOCIAL, PIS e COFINS</t>
  </si>
  <si>
    <t xml:space="preserve">Regulatório</t>
  </si>
  <si>
    <t xml:space="preserve">Fiscalização técnica, comercial e econômico-financeira</t>
  </si>
  <si>
    <t xml:space="preserve">Total (quadro)</t>
  </si>
  <si>
    <t xml:space="preserve">Divulgado: 10.748.481 / 10.182.096</t>
  </si>
  <si>
    <t xml:space="preserve">Conferência com o total divulgado</t>
  </si>
  <si>
    <t xml:space="preserve">Esperado 0</t>
  </si>
  <si>
    <t xml:space="preserve">Casos individuais divulgados</t>
  </si>
  <si>
    <t xml:space="preserve">Valor</t>
  </si>
  <si>
    <t xml:space="preserve">Prognóstico</t>
  </si>
  <si>
    <t xml:space="preserve">Fonte / ponto de auditoria</t>
  </si>
  <si>
    <t xml:space="preserve">CEEE Prev — contribuições não paritárias (CPFL Transmissão)</t>
  </si>
  <si>
    <t xml:space="preserve">Possível</t>
  </si>
  <si>
    <t xml:space="preserve">p. 95/63</t>
  </si>
  <si>
    <t xml:space="preserve">ABRAGEL × União — garantia física (Renováveis)</t>
  </si>
  <si>
    <t xml:space="preserve">ACP Estação Ecológica de Jataí — parcela possível</t>
  </si>
  <si>
    <t xml:space="preserve">p. 95/63; restante 927.018 remoto (pedido 970.854)</t>
  </si>
  <si>
    <t xml:space="preserve">IRRF Jantus (Renováveis) — decisão definitiva desfavorável nov/2025</t>
  </si>
  <si>
    <t xml:space="preserve">Obrigação em 31/12/2025</t>
  </si>
  <si>
    <t xml:space="preserve">p. 96/64; quitado em jan/2026 por 60.950 (Lei 14.689/2023) → PT 560</t>
  </si>
  <si>
    <t xml:space="preserve">IRPJ/CSLL 2011 — ERSA/SMITA (CPFL Geração → Renováveis)</t>
  </si>
  <si>
    <t xml:space="preserve">p. 96/64; CARF favorável nov/2024, cabe recurso</t>
  </si>
  <si>
    <t xml:space="preserve">IRPJ/CSLL 1999–2003 — ágio RGE (execução fiscal)</t>
  </si>
  <si>
    <t xml:space="preserve">Possível (inferido do contexto)</t>
  </si>
  <si>
    <t xml:space="preserve">p. 96/64; TRF4 desfavorável; REsp parcialmente provido em 26/11/2025</t>
  </si>
  <si>
    <t xml:space="preserve">CPFL Brasil × ANEEL — Notas Técnicas 23 e 81/2003 (ativo contingente)</t>
  </si>
  <si>
    <t xml:space="preserve">Ganho contingente (não reconhecido)</t>
  </si>
  <si>
    <t xml:space="preserve">p. 94–95/62–63; cálculo da AGU até mar/2025</t>
  </si>
  <si>
    <t xml:space="preserve">PT 501 — Estoques (aplicabilidade) e informações por segmento (nota 30)</t>
  </si>
  <si>
    <t xml:space="preserve">Estoques</t>
  </si>
  <si>
    <t xml:space="preserve">2025</t>
  </si>
  <si>
    <t xml:space="preserve">2024</t>
  </si>
  <si>
    <t xml:space="preserve">Fonte / leitura</t>
  </si>
  <si>
    <t xml:space="preserve">Estoques (BP)</t>
  </si>
  <si>
    <t xml:space="preserve">BP p. 34/2 (sem nota específica)</t>
  </si>
  <si>
    <t xml:space="preserve">% do ativo total</t>
  </si>
  <si>
    <t xml:space="preserve">% da materialidade global</t>
  </si>
  <si>
    <t xml:space="preserve">Abaixo da materialidade global</t>
  </si>
  <si>
    <t xml:space="preserve">% da materialidade de execução</t>
  </si>
  <si>
    <t xml:space="preserve">Saldo &lt; execução: inventário físico não obrigatório por relevância isolada; procedimento planejado por amostra</t>
  </si>
  <si>
    <t xml:space="preserve">Segmento (nota 30, p. 103/71) — LAIR 2025</t>
  </si>
  <si>
    <t xml:space="preserve">Fonte</t>
  </si>
  <si>
    <t xml:space="preserve">Distribuição</t>
  </si>
  <si>
    <t xml:space="preserve">Nota 30 (transcrição do B05; DV18)</t>
  </si>
  <si>
    <t xml:space="preserve">Geração</t>
  </si>
  <si>
    <t xml:space="preserve">Transmissão</t>
  </si>
  <si>
    <t xml:space="preserve">Comercialização</t>
  </si>
  <si>
    <t xml:space="preserve">Serviços</t>
  </si>
  <si>
    <t xml:space="preserve">Outros / eliminações</t>
  </si>
  <si>
    <t xml:space="preserve">Soma dos segmentos</t>
  </si>
  <si>
    <t xml:space="preserve">LAIR consolidado (DRE p. 36/4)</t>
  </si>
  <si>
    <t xml:space="preserve">Diferença</t>
  </si>
  <si>
    <t xml:space="preserve">Participação da Distribuição no LAIR</t>
  </si>
  <si>
    <t xml:space="preserve">Segmento que concentra o ativo financeiro da concessão (R01)</t>
  </si>
  <si>
    <t xml:space="preserve">PT 505 — Controle de confirmações externas (MODELOS DIDÁTICOS — NENHUMA SOLICITAÇÃO FOI ENVIADA)</t>
  </si>
  <si>
    <t xml:space="preserve">Nenhum destinatário pessoal foi identificado; destinatários são categorias institucionais. Colunas de envio e resposta propositalmente vazias. Valores em R$ mil.</t>
  </si>
  <si>
    <t xml:space="preserve">Ref.</t>
  </si>
  <si>
    <t xml:space="preserve">Saldo / assunto</t>
  </si>
  <si>
    <t xml:space="preserve">Destinatário (categoria institucional)</t>
  </si>
  <si>
    <t xml:space="preserve">Tipo</t>
  </si>
  <si>
    <t xml:space="preserve">Valor no BP</t>
  </si>
  <si>
    <t xml:space="preserve">Seleção</t>
  </si>
  <si>
    <t xml:space="preserve">Data de envio</t>
  </si>
  <si>
    <t xml:space="preserve">Resposta</t>
  </si>
  <si>
    <t xml:space="preserve">Procedimento alternativo se não houver resposta</t>
  </si>
  <si>
    <t xml:space="preserve">CF-01</t>
  </si>
  <si>
    <t xml:space="preserve">Caixa e equivalentes + TVM; garantias; contas vinculadas</t>
  </si>
  <si>
    <t xml:space="preserve">Instituições financeiras com saldo (lista da administração)</t>
  </si>
  <si>
    <t xml:space="preserve">Positiva em branco</t>
  </si>
  <si>
    <t xml:space="preserve">Todas com saldo ≥ trivial + amostra das demais</t>
  </si>
  <si>
    <t xml:space="preserve">NÃO ENVIADO</t>
  </si>
  <si>
    <t xml:space="preserve">—</t>
  </si>
  <si>
    <t xml:space="preserve">Extratos de 31/12 e de janeiro; conciliações</t>
  </si>
  <si>
    <t xml:space="preserve">CF-02</t>
  </si>
  <si>
    <t xml:space="preserve">Mútuo com a SGEL (PC 19.416 + PNC 4.393.234)</t>
  </si>
  <si>
    <t xml:space="preserve">State Grid Europe Limited (área de tesouraria)</t>
  </si>
  <si>
    <t xml:space="preserve">Positiva com saldo</t>
  </si>
  <si>
    <t xml:space="preserve">Integral (parte relacionada; R13)</t>
  </si>
  <si>
    <t xml:space="preserve">Contratos, extratos de swap, recebimento dos recursos, atas</t>
  </si>
  <si>
    <t xml:space="preserve">CF-03</t>
  </si>
  <si>
    <t xml:space="preserve">Debêntures detidas pela SGBP (nota 31 d)</t>
  </si>
  <si>
    <t xml:space="preserve">SGBP (área financeira) e agente fiduciário da emissão</t>
  </si>
  <si>
    <t xml:space="preserve">Integral (parte relacionada)</t>
  </si>
  <si>
    <t xml:space="preserve">Escritura, extrato do escriturador/B3, PU de 31/12</t>
  </si>
  <si>
    <t xml:space="preserve">CF-04</t>
  </si>
  <si>
    <t xml:space="preserve">Empréstimos e debêntures (notas 18 e 19; o valor inclui as debêntures da CF-03)</t>
  </si>
  <si>
    <t xml:space="preserve">Agentes fiduciários, BNDES e bancos credores</t>
  </si>
  <si>
    <t xml:space="preserve">Emissões ≥ execução + amostra estratificada</t>
  </si>
  <si>
    <t xml:space="preserve">Escrituras, extratos B3, pagamentos subsequentes</t>
  </si>
  <si>
    <t xml:space="preserve">CF-05</t>
  </si>
  <si>
    <t xml:space="preserve">Derivativos (swaps)</t>
  </si>
  <si>
    <t xml:space="preserve">Contrapartes bancárias</t>
  </si>
  <si>
    <t xml:space="preserve">Integral por contraparte</t>
  </si>
  <si>
    <t xml:space="preserve">Laudos de MTM e confirmações de negociação (term sheets)</t>
  </si>
  <si>
    <t xml:space="preserve">CF-06</t>
  </si>
  <si>
    <t xml:space="preserve">Consumidores livres e concessionárias (recebíveis)</t>
  </si>
  <si>
    <t xml:space="preserve">Clientes de maior saldo (pessoas jurídicas)</t>
  </si>
  <si>
    <t xml:space="preserve">Positiva (maiores) e negativa (pulverizados)</t>
  </si>
  <si>
    <t xml:space="preserve">Estratificada; residenciais pulverizados não confirmados</t>
  </si>
  <si>
    <t xml:space="preserve">Recebimentos subsequentes; faturas; medição</t>
  </si>
  <si>
    <t xml:space="preserve">CF-07</t>
  </si>
  <si>
    <t xml:space="preserve">Liquidação CCEE</t>
  </si>
  <si>
    <t xml:space="preserve">CCEE</t>
  </si>
  <si>
    <t xml:space="preserve">Positiva / relatório de liquidação</t>
  </si>
  <si>
    <t xml:space="preserve">Saldos de liquidação de dez/2025</t>
  </si>
  <si>
    <t xml:space="preserve">Relatórios de contabilização CCEE (PT 402)</t>
  </si>
  <si>
    <t xml:space="preserve">CF-08</t>
  </si>
  <si>
    <t xml:space="preserve">Litígios e reclamações (carta jurídica — NBC TA 501 item 10)</t>
  </si>
  <si>
    <t xml:space="preserve">Escritórios de advocacia externos que patrocinam as causas</t>
  </si>
  <si>
    <t xml:space="preserve">Carta de circularização jurídica</t>
  </si>
  <si>
    <t xml:space="preserve">Todos os escritórios com causas prováveis ou possíveis relevantes</t>
  </si>
  <si>
    <t xml:space="preserve">Reunião com o jurídico interno; leitura de processos públicos</t>
  </si>
  <si>
    <t xml:space="preserve">Situação</t>
  </si>
  <si>
    <t xml:space="preserve">Todos os modelos: NÃO ENVIADOS. Não há respostas, exceções ou confirmações recebidas.</t>
  </si>
  <si>
    <t xml:space="preserve">PT 560 — Eventos subsequentes: linha do tempo com datas reais (corte da pesquisa: 23/10/2026)</t>
  </si>
  <si>
    <t xml:space="preserve">Classificação conforme NBC TA 560 (R1) e CPC 24: "ajuste" = condição existente em 31/12/2025; "divulgação" = condição posterior relevante.</t>
  </si>
  <si>
    <t xml:space="preserve">Data</t>
  </si>
  <si>
    <t xml:space="preserve">Evento</t>
  </si>
  <si>
    <t xml:space="preserve">Janela da NBC TA 560</t>
  </si>
  <si>
    <t xml:space="preserve">Classificação</t>
  </si>
  <si>
    <t xml:space="preserve">Data das demonstrações contábeis</t>
  </si>
  <si>
    <t xml:space="preserve">Marco</t>
  </si>
  <si>
    <t xml:space="preserve">DF25</t>
  </si>
  <si>
    <t xml:space="preserve">jan/2026</t>
  </si>
  <si>
    <t xml:space="preserve">Quitação do IRRF Jantus por 60.950 (decisão definitiva de nov/2025; débito de 139.291 em 31/12/2025)</t>
  </si>
  <si>
    <t xml:space="preserve">Até o relatório (itens 6–9)</t>
  </si>
  <si>
    <t xml:space="preserve">Condição existente em 31/12 (ajuste): verificar reconhecimento</t>
  </si>
  <si>
    <t xml:space="preserve">DF25 nota 22 p. 96/64; nota 10 p. 68</t>
  </si>
  <si>
    <t xml:space="preserve">Emissão de debêntures: Paulista 1.700.000; Santa Cruz 100.000; Transmissão 100.000 (CDI + 0,30%)</t>
  </si>
  <si>
    <t xml:space="preserve">Até o relatório</t>
  </si>
  <si>
    <t xml:space="preserve">Não ajusta; divulgado</t>
  </si>
  <si>
    <t xml:space="preserve">DF25 nota 37.3 p. 114/82</t>
  </si>
  <si>
    <t xml:space="preserve">02/02/2026</t>
  </si>
  <si>
    <t xml:space="preserve">AGE aprova incorporação da CPFL Geração pela CPFL Brasil</t>
  </si>
  <si>
    <t xml:space="preserve">Não ajusta; divulgado (sem impacto no consolidado)</t>
  </si>
  <si>
    <t xml:space="preserve">DF25 nota 37.1 p. 113–114/81–82</t>
  </si>
  <si>
    <t xml:space="preserve">até 23/02/2026</t>
  </si>
  <si>
    <t xml:space="preserve">Curtailment: Lei 15.269/2025; termo de compromisso ainda incerto; nada reconhecido</t>
  </si>
  <si>
    <t xml:space="preserve">Incerteza divulgada (ativo contingente)</t>
  </si>
  <si>
    <t xml:space="preserve">DF25 nota 37.2 p. 114/82</t>
  </si>
  <si>
    <t xml:space="preserve">23/02/2026</t>
  </si>
  <si>
    <t xml:space="preserve">Autorização da emissão das DF pela administração</t>
  </si>
  <si>
    <t xml:space="preserve">DF25 nota 2.1 p. 45</t>
  </si>
  <si>
    <t xml:space="preserve">04/03/2026</t>
  </si>
  <si>
    <t xml:space="preserve">Aprovação pelo Conselho de Administração e data do relatório do auditor (PwC, sem modificação)</t>
  </si>
  <si>
    <t xml:space="preserve">Marco: fim da obrigação ativa (item 6)</t>
  </si>
  <si>
    <t xml:space="preserve">DF25 nota 2.1 p. 45; relatório p. 32</t>
  </si>
  <si>
    <t xml:space="preserve">20/03/2026</t>
  </si>
  <si>
    <t xml:space="preserve">Publicação legal das DF (Valor Econômico)</t>
  </si>
  <si>
    <t xml:space="preserve">Marco: divulgação das DF</t>
  </si>
  <si>
    <t xml:space="preserve">Ata metodológica da base (URL publicidade legal)</t>
  </si>
  <si>
    <t xml:space="preserve">06/04/2026</t>
  </si>
  <si>
    <t xml:space="preserve">Despacho do MME (DOU) convoca a assinatura dos aditivos de concessão</t>
  </si>
  <si>
    <t xml:space="preserve">Após a divulgação (itens 14–17)</t>
  </si>
  <si>
    <t xml:space="preserve">Evento de 2026; não afeta 2025</t>
  </si>
  <si>
    <t xml:space="preserve">Fato Relevante 08/05/2026</t>
  </si>
  <si>
    <t xml:space="preserve">22–24/04/2026</t>
  </si>
  <si>
    <t xml:space="preserve">ANEEL: RTA da Paulista (+12,13%) e RTP da Santa Cruz (+15,12%)</t>
  </si>
  <si>
    <t xml:space="preserve">Após a divulgação</t>
  </si>
  <si>
    <t xml:space="preserve">Evento de 2026</t>
  </si>
  <si>
    <t xml:space="preserve">ITR 1T26 nota 23.1 p. 55/22</t>
  </si>
  <si>
    <t xml:space="preserve">23/04/2026</t>
  </si>
  <si>
    <t xml:space="preserve">Mútuo SGEL × CPFL Transmissão (200.000; EURIBOR + 1,0%)</t>
  </si>
  <si>
    <t xml:space="preserve">Evento de 2026 (parte relacionada)</t>
  </si>
  <si>
    <t xml:space="preserve">ITR 1T26 nota 23.2; comunicado RI 27/04/2026</t>
  </si>
  <si>
    <t xml:space="preserve">29/04/2026</t>
  </si>
  <si>
    <t xml:space="preserve">AGO aprova dividendos de 2025 (proposta de 4.300 milhões)</t>
  </si>
  <si>
    <t xml:space="preserve">Proposta já divulgada em 2025 (não ajusta)</t>
  </si>
  <si>
    <t xml:space="preserve">Release 4T25 p. 3; dividendos pagos em parcelas até out/2026</t>
  </si>
  <si>
    <t xml:space="preserve">06/05/2026</t>
  </si>
  <si>
    <t xml:space="preserve">Assinatura dos termos aditivos (prorrogação por 30 anos)</t>
  </si>
  <si>
    <t xml:space="preserve">Evento de 2026: reclassificação prospectiva de 29.599.494</t>
  </si>
  <si>
    <t xml:space="preserve">ITR 1T26 nota 23.3; ITR 2T26 notas 1.2 e 11</t>
  </si>
  <si>
    <t xml:space="preserve">11 e 13/05/2026</t>
  </si>
  <si>
    <t xml:space="preserve">ITR 1T26 autorizado e revisado (PwC)</t>
  </si>
  <si>
    <t xml:space="preserve">ITR 1T26 p. 42 e 58</t>
  </si>
  <si>
    <t xml:space="preserve">06/07/2026</t>
  </si>
  <si>
    <t xml:space="preserve">Mútuo SGEL × Transmissão, Renováveis e Brasil (1.805.000; CNH + 2,47%)</t>
  </si>
  <si>
    <t xml:space="preserve">ITR 2T26 nota 24.1; comunicado RI 07/07/2026</t>
  </si>
  <si>
    <t xml:space="preserve">jul/2026</t>
  </si>
  <si>
    <t xml:space="preserve">Portaria MME 140/2026 (curtailment); manifestação de interesse em 07/08/2026</t>
  </si>
  <si>
    <t xml:space="preserve">Evento de 2026; nada reconhecido no 2T26</t>
  </si>
  <si>
    <t xml:space="preserve">ITR 2T26 nota 24.3 p. 60/26</t>
  </si>
  <si>
    <t xml:space="preserve">24/07/2026</t>
  </si>
  <si>
    <t xml:space="preserve">Temporal em Ribeirão Preto (Paulista): baixas e provisões</t>
  </si>
  <si>
    <t xml:space="preserve">ITR 2T26 nota 24.4 p. 60/26</t>
  </si>
  <si>
    <t xml:space="preserve">10 e 13/08/2026</t>
  </si>
  <si>
    <t xml:space="preserve">ITR 2T26 autorizado e revisado (PwC)</t>
  </si>
  <si>
    <t xml:space="preserve">ITR 2T26 p. 44 e 65</t>
  </si>
  <si>
    <t xml:space="preserve">14/10/2026</t>
  </si>
  <si>
    <t xml:space="preserve">Comunicado: conferência de resultados do 3T26 remarcada de 13/11 para 16/11/2026</t>
  </si>
  <si>
    <t xml:space="preserve">Sem efeito</t>
  </si>
  <si>
    <t xml:space="preserve">RI CPFL, lista de comunicados 2026</t>
  </si>
  <si>
    <t xml:space="preserve">23/10/2026</t>
  </si>
  <si>
    <t xml:space="preserve">Corte da pesquisa: RI CPFL (lista de comunicados 2026), notícias de mercado; nenhum fato relevante novo após o ITR 2T26 identificado</t>
  </si>
  <si>
    <t xml:space="preserve">Corte efetivo</t>
  </si>
  <si>
    <t xml:space="preserve">Pesquisa web em 23/10/2026</t>
  </si>
  <si>
    <t xml:space="preserve">PT 570 — Liquidez, vencimentos e covenants (horizonte: 12 meses a partir de 31/12/2025, NBC TA 570 item 13)</t>
  </si>
  <si>
    <t xml:space="preserve">Passivos financeiros (fluxo não descontado; nota 34 g, p. 113/81)</t>
  </si>
  <si>
    <t xml:space="preserve">&lt; 1 mês</t>
  </si>
  <si>
    <t xml:space="preserve">1–3 meses</t>
  </si>
  <si>
    <t xml:space="preserve">3–12 meses</t>
  </si>
  <si>
    <t xml:space="preserve">1–3 anos</t>
  </si>
  <si>
    <t xml:space="preserve">4–5 anos</t>
  </si>
  <si>
    <t xml:space="preserve">&gt; 5 anos</t>
  </si>
  <si>
    <t xml:space="preserve">Soma − total</t>
  </si>
  <si>
    <t xml:space="preserve">Fornecedores</t>
  </si>
  <si>
    <t xml:space="preserve">Empréstimos e financiamentos — principal e encargos</t>
  </si>
  <si>
    <t xml:space="preserve">Derivativos</t>
  </si>
  <si>
    <t xml:space="preserve">Debêntures — principal e encargos</t>
  </si>
  <si>
    <t xml:space="preserve">Total calculado</t>
  </si>
  <si>
    <t xml:space="preserve">Total divulgado</t>
  </si>
  <si>
    <t xml:space="preserve">Diferença (arredondamento)</t>
  </si>
  <si>
    <t xml:space="preserve">Cobertura em 12 meses</t>
  </si>
  <si>
    <t xml:space="preserve">Fonte / natureza</t>
  </si>
  <si>
    <t xml:space="preserve">Saídas contratuais em até 12 meses (passivos financeiros)</t>
  </si>
  <si>
    <t xml:space="preserve">Nota 34 g</t>
  </si>
  <si>
    <t xml:space="preserve">Caixa e equivalentes + TVM em 31/12/2025</t>
  </si>
  <si>
    <t xml:space="preserve">BP p. 34/2 (release: 2.905 milhões)</t>
  </si>
  <si>
    <t xml:space="preserve">Caixa líquido das atividades operacionais 2025 (referência histórica)</t>
  </si>
  <si>
    <t xml:space="preserve">DFC p. 39/7</t>
  </si>
  <si>
    <t xml:space="preserve">Dividendos de 2025 a pagar em 2026 (proposta)</t>
  </si>
  <si>
    <t xml:space="preserve">Release 4T25 p. 3; AGO 29/04/2026</t>
  </si>
  <si>
    <t xml:space="preserve">Captações de jan/2026 (debêntures)</t>
  </si>
  <si>
    <t xml:space="preserve">Cobertura simples = (caixa + FCO − dividendos + captações) ÷ saídas</t>
  </si>
  <si>
    <t xml:space="preserve">Cenário didático; ignora investimentos (capex) e refinanciamentos</t>
  </si>
  <si>
    <t xml:space="preserve">Capital circulante líquido (AC − PC)</t>
  </si>
  <si>
    <t xml:space="preserve">Nota 1.4 p. 44/12: −1.259.649</t>
  </si>
  <si>
    <t xml:space="preserve">Cobertura de amortizações de 12 meses divulgada pela companhia</t>
  </si>
  <si>
    <t xml:space="preserve">Release 4T25 p. 15 (caixa 2.905 ÷ amortizações 2026 de 4.732 milhões)</t>
  </si>
  <si>
    <t xml:space="preserve">Prazo médio da dívida (anos)</t>
  </si>
  <si>
    <t xml:space="preserve">Release 4T25 p. 15</t>
  </si>
  <si>
    <t xml:space="preserve">Covenant consolidado (notas 18 e 19, p. 82–83/50–51)</t>
  </si>
  <si>
    <t xml:space="preserve">Limite</t>
  </si>
  <si>
    <t xml:space="preserve">Divulgado (release)</t>
  </si>
  <si>
    <t xml:space="preserve">Folga</t>
  </si>
  <si>
    <t xml:space="preserve">Natureza da evidência</t>
  </si>
  <si>
    <t xml:space="preserve">Dívida líquida / EBITDA ajustado (máx.)</t>
  </si>
  <si>
    <t xml:space="preserve">Informação da administração (release 4T25 p. 4 e 15); não auditada; definição pró-forma</t>
  </si>
  <si>
    <t xml:space="preserve">Dívida líquida no critério dos covenants (R$ milhões)</t>
  </si>
  <si>
    <t xml:space="preserve">Release p. 15</t>
  </si>
  <si>
    <t xml:space="preserve">EBITDA pró-forma (R$ milhões)</t>
  </si>
  <si>
    <t xml:space="preserve">Recálculo DL/EBITDA com os dados do release</t>
  </si>
  <si>
    <t xml:space="preserve">Conferência aritmética</t>
  </si>
  <si>
    <t xml:space="preserve">Queda de EBITDA que levaria ao limite (dívida constante)</t>
  </si>
  <si>
    <t xml:space="preserve">Cenário didático</t>
  </si>
  <si>
    <t xml:space="preserve">Aumento de dívida líquida que levaria ao limite (EBITDA constante; R$ milhões)</t>
  </si>
  <si>
    <t xml:space="preserve">EBITDA ajustado / resultado financeiro (mín. 2,25) e PL / (PL + DL) (mín. 0,28)</t>
  </si>
  <si>
    <t xml:space="preserve">não divulgado</t>
  </si>
  <si>
    <t xml:space="preserve">Não recalculável com definições públicas</t>
  </si>
  <si>
    <t xml:space="preserve">Indicador didático com dados auditados: (dívida bruta − caixa − TVM) ÷ (resultado do serviço + D&amp;A)</t>
  </si>
  <si>
    <t xml:space="preserve">NÃO é o covenant (sem consolidação proporcional nem mútuo SGEL)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</si>
</sst>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0.00%"/>
    <numFmt numFmtId="168" formatCode="0.00\x"/>
    <numFmt numFmtId="169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DE9E7"/>
      </patternFill>
    </fill>
    <fill>
      <patternFill patternType="solid">
        <fgColor rgb="FFFDE9E7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4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n">
        <v>632533</v>
      </c>
      <c r="C5" s="5" t="n">
        <v>148117</v>
      </c>
      <c r="D5" s="5" t="n">
        <v>-18954</v>
      </c>
      <c r="E5" s="5" t="n">
        <v>-85938</v>
      </c>
      <c r="F5" s="5" t="n">
        <v>85382</v>
      </c>
      <c r="G5" s="5" t="n">
        <v>761139</v>
      </c>
      <c r="H5" s="6" t="n">
        <f aca="false">SUM(B5:F5)-G5</f>
        <v>1</v>
      </c>
    </row>
    <row r="6" customFormat="false" ht="15" hidden="false" customHeight="false" outlineLevel="0" collapsed="false">
      <c r="A6" s="4" t="s">
        <v>11</v>
      </c>
      <c r="B6" s="5" t="n">
        <v>347977</v>
      </c>
      <c r="C6" s="5" t="n">
        <v>225660</v>
      </c>
      <c r="D6" s="5" t="n">
        <v>-20052</v>
      </c>
      <c r="E6" s="5" t="n">
        <v>-157871</v>
      </c>
      <c r="F6" s="5" t="n">
        <v>50463</v>
      </c>
      <c r="G6" s="5" t="n">
        <v>446178</v>
      </c>
      <c r="H6" s="6" t="n">
        <f aca="false">SUM(B6:F6)-G6</f>
        <v>-1</v>
      </c>
    </row>
    <row r="7" customFormat="false" ht="15" hidden="false" customHeight="false" outlineLevel="0" collapsed="false">
      <c r="A7" s="4" t="s">
        <v>12</v>
      </c>
      <c r="B7" s="5" t="n">
        <v>387442</v>
      </c>
      <c r="C7" s="5" t="n">
        <v>18356</v>
      </c>
      <c r="D7" s="5" t="n">
        <v>-14203</v>
      </c>
      <c r="E7" s="5" t="n">
        <v>-42161</v>
      </c>
      <c r="F7" s="5" t="n">
        <v>40601</v>
      </c>
      <c r="G7" s="5" t="n">
        <v>390034</v>
      </c>
      <c r="H7" s="6" t="n">
        <f aca="false">SUM(B7:F7)-G7</f>
        <v>1</v>
      </c>
    </row>
    <row r="8" customFormat="false" ht="15" hidden="false" customHeight="false" outlineLevel="0" collapsed="false">
      <c r="A8" s="4" t="s">
        <v>13</v>
      </c>
      <c r="B8" s="5" t="n">
        <v>194028</v>
      </c>
      <c r="C8" s="5" t="n">
        <v>30978</v>
      </c>
      <c r="D8" s="5" t="n">
        <v>-54266</v>
      </c>
      <c r="E8" s="5" t="n">
        <v>-49097</v>
      </c>
      <c r="F8" s="5" t="n">
        <v>21909</v>
      </c>
      <c r="G8" s="5" t="n">
        <v>143552</v>
      </c>
      <c r="H8" s="6" t="n">
        <f aca="false">SUM(B8:F8)-G8</f>
        <v>0</v>
      </c>
    </row>
    <row r="9" customFormat="false" ht="15" hidden="false" customHeight="false" outlineLevel="0" collapsed="false">
      <c r="A9" s="7" t="s">
        <v>14</v>
      </c>
      <c r="B9" s="8" t="n">
        <f aca="false">SUM(B5:B8)</f>
        <v>1561980</v>
      </c>
      <c r="C9" s="8" t="n">
        <f aca="false">SUM(C5:C8)</f>
        <v>423111</v>
      </c>
      <c r="D9" s="8" t="n">
        <f aca="false">SUM(D5:D8)</f>
        <v>-107475</v>
      </c>
      <c r="E9" s="8" t="n">
        <f aca="false">SUM(E5:E8)</f>
        <v>-335067</v>
      </c>
      <c r="F9" s="8" t="n">
        <f aca="false">SUM(F5:F8)</f>
        <v>198355</v>
      </c>
      <c r="G9" s="8" t="n">
        <f aca="false">SUM(G5:G8)</f>
        <v>1740903</v>
      </c>
      <c r="H9" s="8" t="n">
        <f aca="false">SUM(H5:H8)</f>
        <v>1</v>
      </c>
    </row>
    <row r="10" customFormat="false" ht="15" hidden="false" customHeight="false" outlineLevel="0" collapsed="false">
      <c r="A10" s="4" t="s">
        <v>15</v>
      </c>
      <c r="B10" s="5" t="n">
        <v>1561980</v>
      </c>
      <c r="C10" s="5" t="n">
        <v>423111</v>
      </c>
      <c r="D10" s="5" t="n">
        <v>-107475</v>
      </c>
      <c r="E10" s="5" t="n">
        <v>-335067</v>
      </c>
      <c r="F10" s="5" t="n">
        <v>198354</v>
      </c>
      <c r="G10" s="5" t="n">
        <v>1740903</v>
      </c>
      <c r="H10" s="4"/>
    </row>
    <row r="11" customFormat="false" ht="15" hidden="false" customHeight="false" outlineLevel="0" collapsed="false">
      <c r="A11" s="4" t="s">
        <v>16</v>
      </c>
      <c r="B11" s="6" t="n">
        <f aca="false">B9-B10</f>
        <v>0</v>
      </c>
      <c r="C11" s="6" t="n">
        <f aca="false">C9-C10</f>
        <v>0</v>
      </c>
      <c r="D11" s="6" t="n">
        <f aca="false">D9-D10</f>
        <v>0</v>
      </c>
      <c r="E11" s="6" t="n">
        <f aca="false">E9-E10</f>
        <v>0</v>
      </c>
      <c r="F11" s="6" t="n">
        <f aca="false">F9-F10</f>
        <v>1</v>
      </c>
      <c r="G11" s="6" t="n">
        <f aca="false">G9-G10</f>
        <v>0</v>
      </c>
      <c r="H11" s="4"/>
    </row>
    <row r="12" customFormat="false" ht="26.85" hidden="false" customHeight="false" outlineLevel="0" collapsed="false">
      <c r="A12" s="4" t="s">
        <v>17</v>
      </c>
      <c r="B12" s="5" t="n">
        <v>749936</v>
      </c>
      <c r="C12" s="4"/>
      <c r="D12" s="4"/>
      <c r="E12" s="4"/>
      <c r="F12" s="4"/>
      <c r="G12" s="5" t="n">
        <v>805776</v>
      </c>
      <c r="H12" s="4" t="s">
        <v>18</v>
      </c>
    </row>
    <row r="14" customFormat="false" ht="39.55" hidden="false" customHeight="false" outlineLevel="0" collapsed="false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/>
      <c r="G14" s="3"/>
      <c r="H14" s="3" t="s">
        <v>24</v>
      </c>
    </row>
    <row r="15" customFormat="false" ht="26.85" hidden="false" customHeight="false" outlineLevel="0" collapsed="false">
      <c r="A15" s="4" t="s">
        <v>10</v>
      </c>
      <c r="B15" s="5" t="n">
        <v>824356</v>
      </c>
      <c r="C15" s="5" t="n">
        <v>684129</v>
      </c>
      <c r="D15" s="6" t="n">
        <f aca="false">B15-C15</f>
        <v>140227</v>
      </c>
      <c r="E15" s="9" t="n">
        <f aca="false">B15/404562.3</f>
        <v>2.03764908396062</v>
      </c>
      <c r="F15" s="4"/>
      <c r="G15" s="4"/>
      <c r="H15" s="4" t="s">
        <v>25</v>
      </c>
    </row>
    <row r="16" customFormat="false" ht="26.85" hidden="false" customHeight="false" outlineLevel="0" collapsed="false">
      <c r="A16" s="4" t="s">
        <v>11</v>
      </c>
      <c r="B16" s="5" t="n">
        <v>2801625</v>
      </c>
      <c r="C16" s="5" t="n">
        <v>2699688</v>
      </c>
      <c r="D16" s="6" t="n">
        <f aca="false">B16-C16</f>
        <v>101937</v>
      </c>
      <c r="E16" s="9" t="n">
        <f aca="false">B16/404562.3</f>
        <v>6.92507680522876</v>
      </c>
      <c r="F16" s="4"/>
      <c r="G16" s="4"/>
      <c r="H16" s="4" t="s">
        <v>26</v>
      </c>
    </row>
    <row r="17" customFormat="false" ht="15" hidden="false" customHeight="false" outlineLevel="0" collapsed="false">
      <c r="A17" s="4" t="s">
        <v>12</v>
      </c>
      <c r="B17" s="5" t="n">
        <v>3414924</v>
      </c>
      <c r="C17" s="5" t="n">
        <v>3356569</v>
      </c>
      <c r="D17" s="6" t="n">
        <f aca="false">B17-C17</f>
        <v>58355</v>
      </c>
      <c r="E17" s="9" t="n">
        <f aca="false">B17/404562.3</f>
        <v>8.44103368010316</v>
      </c>
      <c r="F17" s="4"/>
      <c r="G17" s="4"/>
      <c r="H17" s="4" t="s">
        <v>27</v>
      </c>
    </row>
    <row r="18" customFormat="false" ht="15" hidden="false" customHeight="false" outlineLevel="0" collapsed="false">
      <c r="A18" s="4" t="s">
        <v>28</v>
      </c>
      <c r="B18" s="5" t="n">
        <v>3665609</v>
      </c>
      <c r="C18" s="5" t="n">
        <v>3246062</v>
      </c>
      <c r="D18" s="6" t="n">
        <f aca="false">B18-C18</f>
        <v>419547</v>
      </c>
      <c r="E18" s="9" t="n">
        <f aca="false">B18/404562.3</f>
        <v>9.06067866432438</v>
      </c>
      <c r="F18" s="4"/>
      <c r="G18" s="4"/>
      <c r="H18" s="4" t="s">
        <v>29</v>
      </c>
    </row>
    <row r="19" customFormat="false" ht="26.85" hidden="false" customHeight="false" outlineLevel="0" collapsed="false">
      <c r="A19" s="4" t="s">
        <v>30</v>
      </c>
      <c r="B19" s="5" t="n">
        <v>41967</v>
      </c>
      <c r="C19" s="5" t="n">
        <v>195648</v>
      </c>
      <c r="D19" s="6" t="n">
        <f aca="false">B19-C19</f>
        <v>-153681</v>
      </c>
      <c r="E19" s="9" t="n">
        <f aca="false">B19/404562.3</f>
        <v>0.103734332141181</v>
      </c>
      <c r="F19" s="4"/>
      <c r="G19" s="4"/>
      <c r="H19" s="4" t="s">
        <v>31</v>
      </c>
    </row>
    <row r="20" customFormat="false" ht="15" hidden="false" customHeight="false" outlineLevel="0" collapsed="false">
      <c r="A20" s="7" t="s">
        <v>32</v>
      </c>
      <c r="B20" s="8" t="n">
        <f aca="false">SUM(B15:B19)</f>
        <v>10748481</v>
      </c>
      <c r="C20" s="8" t="n">
        <f aca="false">SUM(C15:C19)</f>
        <v>10182096</v>
      </c>
      <c r="D20" s="8" t="n">
        <f aca="false">B20-C20</f>
        <v>566385</v>
      </c>
      <c r="E20" s="10" t="n">
        <f aca="false">B20/404562.3</f>
        <v>26.5681725657581</v>
      </c>
      <c r="F20" s="7"/>
      <c r="G20" s="7"/>
      <c r="H20" s="7" t="s">
        <v>33</v>
      </c>
    </row>
    <row r="21" customFormat="false" ht="15" hidden="false" customHeight="false" outlineLevel="0" collapsed="false">
      <c r="A21" s="4" t="s">
        <v>34</v>
      </c>
      <c r="B21" s="6" t="n">
        <f aca="false">B20-10748481</f>
        <v>0</v>
      </c>
      <c r="C21" s="6" t="n">
        <f aca="false">C20-10182096</f>
        <v>0</v>
      </c>
      <c r="D21" s="4"/>
      <c r="E21" s="4"/>
      <c r="F21" s="4"/>
      <c r="G21" s="4"/>
      <c r="H21" s="4" t="s">
        <v>35</v>
      </c>
    </row>
    <row r="23" customFormat="false" ht="39.55" hidden="false" customHeight="false" outlineLevel="0" collapsed="false">
      <c r="A23" s="3" t="s">
        <v>36</v>
      </c>
      <c r="B23" s="3" t="s">
        <v>37</v>
      </c>
      <c r="C23" s="3" t="s">
        <v>38</v>
      </c>
      <c r="D23" s="3" t="s">
        <v>23</v>
      </c>
      <c r="E23" s="3"/>
      <c r="F23" s="3"/>
      <c r="G23" s="3"/>
      <c r="H23" s="3" t="s">
        <v>39</v>
      </c>
    </row>
    <row r="24" customFormat="false" ht="26.85" hidden="false" customHeight="false" outlineLevel="0" collapsed="false">
      <c r="A24" s="4" t="s">
        <v>40</v>
      </c>
      <c r="B24" s="5" t="n">
        <v>519456</v>
      </c>
      <c r="C24" s="4" t="s">
        <v>41</v>
      </c>
      <c r="D24" s="9" t="n">
        <f aca="false">B24/404562.3</f>
        <v>1.28399507319392</v>
      </c>
      <c r="E24" s="4"/>
      <c r="F24" s="4"/>
      <c r="G24" s="4"/>
      <c r="H24" s="4" t="s">
        <v>42</v>
      </c>
    </row>
    <row r="25" customFormat="false" ht="26.85" hidden="false" customHeight="false" outlineLevel="0" collapsed="false">
      <c r="A25" s="4" t="s">
        <v>43</v>
      </c>
      <c r="B25" s="5" t="n">
        <v>380500</v>
      </c>
      <c r="C25" s="4" t="s">
        <v>41</v>
      </c>
      <c r="D25" s="9" t="n">
        <f aca="false">B25/404562.3</f>
        <v>0.940522633967624</v>
      </c>
      <c r="E25" s="4"/>
      <c r="F25" s="4"/>
      <c r="G25" s="4"/>
      <c r="H25" s="4" t="s">
        <v>42</v>
      </c>
    </row>
    <row r="26" customFormat="false" ht="26.85" hidden="false" customHeight="false" outlineLevel="0" collapsed="false">
      <c r="A26" s="4" t="s">
        <v>44</v>
      </c>
      <c r="B26" s="5" t="n">
        <v>51712</v>
      </c>
      <c r="C26" s="4" t="s">
        <v>41</v>
      </c>
      <c r="D26" s="9" t="n">
        <f aca="false">B26/404562.3</f>
        <v>0.12782209316093</v>
      </c>
      <c r="E26" s="4"/>
      <c r="F26" s="4"/>
      <c r="G26" s="4"/>
      <c r="H26" s="4" t="s">
        <v>45</v>
      </c>
    </row>
    <row r="27" customFormat="false" ht="39.55" hidden="false" customHeight="false" outlineLevel="0" collapsed="false">
      <c r="A27" s="4" t="s">
        <v>46</v>
      </c>
      <c r="B27" s="5" t="n">
        <v>139291</v>
      </c>
      <c r="C27" s="4" t="s">
        <v>47</v>
      </c>
      <c r="D27" s="9" t="n">
        <f aca="false">B27/404562.3</f>
        <v>0.344300494633336</v>
      </c>
      <c r="E27" s="4"/>
      <c r="F27" s="4"/>
      <c r="G27" s="4"/>
      <c r="H27" s="4" t="s">
        <v>48</v>
      </c>
    </row>
    <row r="28" customFormat="false" ht="26.85" hidden="false" customHeight="false" outlineLevel="0" collapsed="false">
      <c r="A28" s="4" t="s">
        <v>49</v>
      </c>
      <c r="B28" s="5" t="n">
        <v>504722</v>
      </c>
      <c r="C28" s="4" t="s">
        <v>41</v>
      </c>
      <c r="D28" s="9" t="n">
        <f aca="false">B28/404562.3</f>
        <v>1.24757546612722</v>
      </c>
      <c r="E28" s="4"/>
      <c r="F28" s="4"/>
      <c r="G28" s="4"/>
      <c r="H28" s="4" t="s">
        <v>50</v>
      </c>
    </row>
    <row r="29" customFormat="false" ht="39.55" hidden="false" customHeight="false" outlineLevel="0" collapsed="false">
      <c r="A29" s="4" t="s">
        <v>51</v>
      </c>
      <c r="B29" s="5" t="n">
        <v>650519</v>
      </c>
      <c r="C29" s="4" t="s">
        <v>52</v>
      </c>
      <c r="D29" s="9" t="n">
        <f aca="false">B29/404562.3</f>
        <v>1.60795753830745</v>
      </c>
      <c r="E29" s="4"/>
      <c r="F29" s="4"/>
      <c r="G29" s="4"/>
      <c r="H29" s="4" t="s">
        <v>53</v>
      </c>
    </row>
    <row r="30" customFormat="false" ht="52.2" hidden="false" customHeight="false" outlineLevel="0" collapsed="false">
      <c r="A30" s="4" t="s">
        <v>54</v>
      </c>
      <c r="B30" s="5" t="n">
        <v>4678104</v>
      </c>
      <c r="C30" s="4" t="s">
        <v>55</v>
      </c>
      <c r="D30" s="9" t="n">
        <f aca="false">B30/404562.3</f>
        <v>11.5633710803009</v>
      </c>
      <c r="E30" s="4"/>
      <c r="F30" s="4"/>
      <c r="G30" s="4"/>
      <c r="H30" s="4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58</v>
      </c>
      <c r="B4" s="3" t="s">
        <v>59</v>
      </c>
      <c r="C4" s="3" t="s">
        <v>60</v>
      </c>
      <c r="D4" s="3" t="s">
        <v>22</v>
      </c>
      <c r="E4" s="3" t="s">
        <v>61</v>
      </c>
    </row>
    <row r="5" customFormat="false" ht="15" hidden="false" customHeight="false" outlineLevel="0" collapsed="false">
      <c r="A5" s="4" t="s">
        <v>62</v>
      </c>
      <c r="B5" s="5" t="n">
        <v>236566</v>
      </c>
      <c r="C5" s="5" t="n">
        <v>221573</v>
      </c>
      <c r="D5" s="6" t="n">
        <f aca="false">B5-C5</f>
        <v>14993</v>
      </c>
      <c r="E5" s="4" t="s">
        <v>63</v>
      </c>
    </row>
    <row r="6" customFormat="false" ht="15" hidden="false" customHeight="false" outlineLevel="0" collapsed="false">
      <c r="A6" s="4" t="s">
        <v>64</v>
      </c>
      <c r="B6" s="11" t="n">
        <f aca="false">B5/81099930</f>
        <v>0.00291696922549748</v>
      </c>
      <c r="C6" s="11" t="n">
        <f aca="false">C5/77129194</f>
        <v>0.00287275139942471</v>
      </c>
      <c r="D6" s="4"/>
      <c r="E6" s="4"/>
    </row>
    <row r="7" customFormat="false" ht="15" hidden="false" customHeight="false" outlineLevel="0" collapsed="false">
      <c r="A7" s="4" t="s">
        <v>65</v>
      </c>
      <c r="B7" s="9" t="n">
        <f aca="false">B5/404562.3</f>
        <v>0.584745538573416</v>
      </c>
      <c r="C7" s="4"/>
      <c r="D7" s="4"/>
      <c r="E7" s="4" t="s">
        <v>66</v>
      </c>
    </row>
    <row r="8" customFormat="false" ht="39.55" hidden="false" customHeight="false" outlineLevel="0" collapsed="false">
      <c r="A8" s="4" t="s">
        <v>67</v>
      </c>
      <c r="B8" s="9" t="n">
        <f aca="false">B5/303421.73</f>
        <v>0.779660705250082</v>
      </c>
      <c r="C8" s="4"/>
      <c r="D8" s="4"/>
      <c r="E8" s="4" t="s">
        <v>68</v>
      </c>
    </row>
    <row r="10" customFormat="false" ht="15" hidden="false" customHeight="false" outlineLevel="0" collapsed="false">
      <c r="A10" s="3" t="s">
        <v>69</v>
      </c>
      <c r="B10" s="3" t="s">
        <v>37</v>
      </c>
      <c r="C10" s="3"/>
      <c r="D10" s="3"/>
      <c r="E10" s="3" t="s">
        <v>70</v>
      </c>
    </row>
    <row r="11" customFormat="false" ht="15" hidden="false" customHeight="false" outlineLevel="0" collapsed="false">
      <c r="A11" s="4" t="s">
        <v>71</v>
      </c>
      <c r="B11" s="5" t="n">
        <v>5331500</v>
      </c>
      <c r="C11" s="4"/>
      <c r="D11" s="4"/>
      <c r="E11" s="4" t="s">
        <v>72</v>
      </c>
    </row>
    <row r="12" customFormat="false" ht="15" hidden="false" customHeight="false" outlineLevel="0" collapsed="false">
      <c r="A12" s="4" t="s">
        <v>73</v>
      </c>
      <c r="B12" s="5" t="n">
        <v>2547712</v>
      </c>
      <c r="C12" s="4"/>
      <c r="D12" s="4"/>
      <c r="E12" s="4" t="s">
        <v>72</v>
      </c>
    </row>
    <row r="13" customFormat="false" ht="15" hidden="false" customHeight="false" outlineLevel="0" collapsed="false">
      <c r="A13" s="4" t="s">
        <v>74</v>
      </c>
      <c r="B13" s="5" t="n">
        <v>350619</v>
      </c>
      <c r="C13" s="4"/>
      <c r="D13" s="4"/>
      <c r="E13" s="4" t="s">
        <v>72</v>
      </c>
    </row>
    <row r="14" customFormat="false" ht="15" hidden="false" customHeight="false" outlineLevel="0" collapsed="false">
      <c r="A14" s="4" t="s">
        <v>75</v>
      </c>
      <c r="B14" s="5" t="n">
        <v>-281094</v>
      </c>
      <c r="C14" s="4"/>
      <c r="D14" s="4"/>
      <c r="E14" s="4" t="s">
        <v>72</v>
      </c>
    </row>
    <row r="15" customFormat="false" ht="15" hidden="false" customHeight="false" outlineLevel="0" collapsed="false">
      <c r="A15" s="4" t="s">
        <v>76</v>
      </c>
      <c r="B15" s="5" t="n">
        <v>259335</v>
      </c>
      <c r="C15" s="4"/>
      <c r="D15" s="4"/>
      <c r="E15" s="4" t="s">
        <v>72</v>
      </c>
    </row>
    <row r="16" customFormat="false" ht="15" hidden="false" customHeight="false" outlineLevel="0" collapsed="false">
      <c r="A16" s="4" t="s">
        <v>77</v>
      </c>
      <c r="B16" s="5" t="n">
        <v>-116826</v>
      </c>
      <c r="C16" s="4"/>
      <c r="D16" s="4"/>
      <c r="E16" s="4" t="s">
        <v>72</v>
      </c>
    </row>
    <row r="17" customFormat="false" ht="15" hidden="false" customHeight="false" outlineLevel="0" collapsed="false">
      <c r="A17" s="7" t="s">
        <v>78</v>
      </c>
      <c r="B17" s="8" t="n">
        <f aca="false">SUM(B11:B16)</f>
        <v>8091246</v>
      </c>
      <c r="C17" s="7"/>
      <c r="D17" s="7"/>
      <c r="E17" s="7"/>
    </row>
    <row r="18" customFormat="false" ht="15" hidden="false" customHeight="false" outlineLevel="0" collapsed="false">
      <c r="A18" s="4" t="s">
        <v>79</v>
      </c>
      <c r="B18" s="5" t="n">
        <v>8091246</v>
      </c>
      <c r="C18" s="4"/>
      <c r="D18" s="4"/>
      <c r="E18" s="4"/>
    </row>
    <row r="19" customFormat="false" ht="15" hidden="false" customHeight="false" outlineLevel="0" collapsed="false">
      <c r="A19" s="7" t="s">
        <v>80</v>
      </c>
      <c r="B19" s="8" t="n">
        <f aca="false">B17-B18</f>
        <v>0</v>
      </c>
      <c r="C19" s="7"/>
      <c r="D19" s="7"/>
      <c r="E19" s="7" t="s">
        <v>35</v>
      </c>
    </row>
    <row r="20" customFormat="false" ht="26.85" hidden="false" customHeight="false" outlineLevel="0" collapsed="false">
      <c r="A20" s="4" t="s">
        <v>81</v>
      </c>
      <c r="B20" s="9" t="n">
        <f aca="false">B11/B18</f>
        <v>0.658922000394006</v>
      </c>
      <c r="C20" s="4"/>
      <c r="D20" s="4"/>
      <c r="E20" s="4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9" min="7" style="0" width="14"/>
    <col collapsed="false" customWidth="true" hidden="false" outlineLevel="0" max="10" min="10" style="0" width="40"/>
  </cols>
  <sheetData>
    <row r="1" customFormat="false" ht="15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84</v>
      </c>
    </row>
    <row r="4" customFormat="false" ht="26.85" hidden="false" customHeight="false" outlineLevel="0" collapsed="false">
      <c r="A4" s="3" t="s">
        <v>85</v>
      </c>
      <c r="B4" s="3" t="s">
        <v>86</v>
      </c>
      <c r="C4" s="3" t="s">
        <v>87</v>
      </c>
      <c r="D4" s="3" t="s">
        <v>88</v>
      </c>
      <c r="E4" s="3" t="s">
        <v>89</v>
      </c>
      <c r="F4" s="3" t="s">
        <v>90</v>
      </c>
      <c r="G4" s="3" t="s">
        <v>91</v>
      </c>
      <c r="H4" s="3" t="s">
        <v>92</v>
      </c>
      <c r="I4" s="3" t="s">
        <v>80</v>
      </c>
      <c r="J4" s="3" t="s">
        <v>93</v>
      </c>
    </row>
    <row r="5" customFormat="false" ht="52.2" hidden="false" customHeight="false" outlineLevel="0" collapsed="false">
      <c r="A5" s="4" t="s">
        <v>94</v>
      </c>
      <c r="B5" s="4" t="s">
        <v>95</v>
      </c>
      <c r="C5" s="4" t="s">
        <v>96</v>
      </c>
      <c r="D5" s="4" t="s">
        <v>97</v>
      </c>
      <c r="E5" s="6" t="n">
        <f aca="false">2229320+675762</f>
        <v>2905082</v>
      </c>
      <c r="F5" s="4" t="s">
        <v>98</v>
      </c>
      <c r="G5" s="4" t="s">
        <v>99</v>
      </c>
      <c r="H5" s="4" t="s">
        <v>100</v>
      </c>
      <c r="I5" s="4" t="s">
        <v>100</v>
      </c>
      <c r="J5" s="4" t="s">
        <v>101</v>
      </c>
    </row>
    <row r="6" customFormat="false" ht="39.55" hidden="false" customHeight="false" outlineLevel="0" collapsed="false">
      <c r="A6" s="4" t="s">
        <v>102</v>
      </c>
      <c r="B6" s="4" t="s">
        <v>103</v>
      </c>
      <c r="C6" s="4" t="s">
        <v>104</v>
      </c>
      <c r="D6" s="4" t="s">
        <v>105</v>
      </c>
      <c r="E6" s="5" t="n">
        <v>4412650</v>
      </c>
      <c r="F6" s="4" t="s">
        <v>106</v>
      </c>
      <c r="G6" s="4" t="s">
        <v>99</v>
      </c>
      <c r="H6" s="4" t="s">
        <v>100</v>
      </c>
      <c r="I6" s="4" t="s">
        <v>100</v>
      </c>
      <c r="J6" s="4" t="s">
        <v>107</v>
      </c>
    </row>
    <row r="7" customFormat="false" ht="26.85" hidden="false" customHeight="false" outlineLevel="0" collapsed="false">
      <c r="A7" s="4" t="s">
        <v>108</v>
      </c>
      <c r="B7" s="4" t="s">
        <v>109</v>
      </c>
      <c r="C7" s="4" t="s">
        <v>110</v>
      </c>
      <c r="D7" s="4" t="s">
        <v>105</v>
      </c>
      <c r="E7" s="5" t="n">
        <v>325563</v>
      </c>
      <c r="F7" s="4" t="s">
        <v>111</v>
      </c>
      <c r="G7" s="4" t="s">
        <v>99</v>
      </c>
      <c r="H7" s="4" t="s">
        <v>100</v>
      </c>
      <c r="I7" s="4" t="s">
        <v>100</v>
      </c>
      <c r="J7" s="4" t="s">
        <v>112</v>
      </c>
    </row>
    <row r="8" customFormat="false" ht="52.2" hidden="false" customHeight="false" outlineLevel="0" collapsed="false">
      <c r="A8" s="4" t="s">
        <v>113</v>
      </c>
      <c r="B8" s="4" t="s">
        <v>114</v>
      </c>
      <c r="C8" s="4" t="s">
        <v>115</v>
      </c>
      <c r="D8" s="4" t="s">
        <v>105</v>
      </c>
      <c r="E8" s="6" t="n">
        <f aca="false">3160115+6417553+1735590+17742469</f>
        <v>29055727</v>
      </c>
      <c r="F8" s="4" t="s">
        <v>116</v>
      </c>
      <c r="G8" s="4" t="s">
        <v>99</v>
      </c>
      <c r="H8" s="4" t="s">
        <v>100</v>
      </c>
      <c r="I8" s="4" t="s">
        <v>100</v>
      </c>
      <c r="J8" s="4" t="s">
        <v>117</v>
      </c>
    </row>
    <row r="9" customFormat="false" ht="26.85" hidden="false" customHeight="false" outlineLevel="0" collapsed="false">
      <c r="A9" s="4" t="s">
        <v>118</v>
      </c>
      <c r="B9" s="4" t="s">
        <v>119</v>
      </c>
      <c r="C9" s="4" t="s">
        <v>120</v>
      </c>
      <c r="D9" s="4" t="s">
        <v>105</v>
      </c>
      <c r="E9" s="6" t="n">
        <f aca="false">4513+591350</f>
        <v>595863</v>
      </c>
      <c r="F9" s="4" t="s">
        <v>121</v>
      </c>
      <c r="G9" s="4" t="s">
        <v>99</v>
      </c>
      <c r="H9" s="4" t="s">
        <v>100</v>
      </c>
      <c r="I9" s="4" t="s">
        <v>100</v>
      </c>
      <c r="J9" s="4" t="s">
        <v>122</v>
      </c>
    </row>
    <row r="10" customFormat="false" ht="52.2" hidden="false" customHeight="false" outlineLevel="0" collapsed="false">
      <c r="A10" s="4" t="s">
        <v>123</v>
      </c>
      <c r="B10" s="4" t="s">
        <v>124</v>
      </c>
      <c r="C10" s="4" t="s">
        <v>125</v>
      </c>
      <c r="D10" s="4" t="s">
        <v>126</v>
      </c>
      <c r="E10" s="6" t="n">
        <f aca="false">6244460+133102</f>
        <v>6377562</v>
      </c>
      <c r="F10" s="4" t="s">
        <v>127</v>
      </c>
      <c r="G10" s="4" t="s">
        <v>99</v>
      </c>
      <c r="H10" s="4" t="s">
        <v>100</v>
      </c>
      <c r="I10" s="4" t="s">
        <v>100</v>
      </c>
      <c r="J10" s="4" t="s">
        <v>128</v>
      </c>
    </row>
    <row r="11" customFormat="false" ht="39.55" hidden="false" customHeight="false" outlineLevel="0" collapsed="false">
      <c r="A11" s="4" t="s">
        <v>129</v>
      </c>
      <c r="B11" s="4" t="s">
        <v>130</v>
      </c>
      <c r="C11" s="4" t="s">
        <v>131</v>
      </c>
      <c r="D11" s="4" t="s">
        <v>132</v>
      </c>
      <c r="E11" s="6"/>
      <c r="F11" s="4" t="s">
        <v>133</v>
      </c>
      <c r="G11" s="4" t="s">
        <v>99</v>
      </c>
      <c r="H11" s="4" t="s">
        <v>100</v>
      </c>
      <c r="I11" s="4" t="s">
        <v>100</v>
      </c>
      <c r="J11" s="4" t="s">
        <v>134</v>
      </c>
    </row>
    <row r="12" customFormat="false" ht="77.6" hidden="false" customHeight="false" outlineLevel="0" collapsed="false">
      <c r="A12" s="4" t="s">
        <v>135</v>
      </c>
      <c r="B12" s="4" t="s">
        <v>136</v>
      </c>
      <c r="C12" s="4" t="s">
        <v>137</v>
      </c>
      <c r="D12" s="4" t="s">
        <v>138</v>
      </c>
      <c r="E12" s="5" t="n">
        <v>1740903</v>
      </c>
      <c r="F12" s="4" t="s">
        <v>139</v>
      </c>
      <c r="G12" s="4" t="s">
        <v>99</v>
      </c>
      <c r="H12" s="4" t="s">
        <v>100</v>
      </c>
      <c r="I12" s="4" t="s">
        <v>100</v>
      </c>
      <c r="J12" s="4" t="s">
        <v>140</v>
      </c>
    </row>
    <row r="14" customFormat="false" ht="52.2" hidden="false" customHeight="false" outlineLevel="0" collapsed="false">
      <c r="A14" s="12"/>
      <c r="B14" s="12" t="s">
        <v>141</v>
      </c>
      <c r="C14" s="12" t="s">
        <v>142</v>
      </c>
      <c r="D14" s="12"/>
      <c r="E14" s="12"/>
      <c r="F14" s="12"/>
      <c r="G14" s="12"/>
      <c r="H14" s="12"/>
      <c r="I14" s="12"/>
      <c r="J14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8"/>
    <col collapsed="false" customWidth="true" hidden="false" outlineLevel="0" max="4" min="3" style="0" width="30"/>
    <col collapsed="false" customWidth="true" hidden="false" outlineLevel="0" max="5" min="5" style="0" width="44"/>
  </cols>
  <sheetData>
    <row r="1" customFormat="false" ht="15" hidden="false" customHeight="false" outlineLevel="0" collapsed="false">
      <c r="A1" s="1" t="s">
        <v>143</v>
      </c>
    </row>
    <row r="2" customFormat="false" ht="15" hidden="false" customHeight="false" outlineLevel="0" collapsed="false">
      <c r="A2" s="2" t="s">
        <v>144</v>
      </c>
    </row>
    <row r="4" customFormat="false" ht="15" hidden="false" customHeight="false" outlineLevel="0" collapsed="false">
      <c r="A4" s="3" t="s">
        <v>145</v>
      </c>
      <c r="B4" s="3" t="s">
        <v>146</v>
      </c>
      <c r="C4" s="3" t="s">
        <v>147</v>
      </c>
      <c r="D4" s="3" t="s">
        <v>148</v>
      </c>
      <c r="E4" s="3" t="s">
        <v>70</v>
      </c>
    </row>
    <row r="5" customFormat="false" ht="15" hidden="false" customHeight="false" outlineLevel="0" collapsed="false">
      <c r="A5" s="4" t="s">
        <v>20</v>
      </c>
      <c r="B5" s="4" t="s">
        <v>149</v>
      </c>
      <c r="C5" s="4" t="s">
        <v>150</v>
      </c>
      <c r="D5" s="4" t="s">
        <v>100</v>
      </c>
      <c r="E5" s="4" t="s">
        <v>151</v>
      </c>
    </row>
    <row r="6" customFormat="false" ht="39.55" hidden="false" customHeight="false" outlineLevel="0" collapsed="false">
      <c r="A6" s="4" t="s">
        <v>152</v>
      </c>
      <c r="B6" s="4" t="s">
        <v>153</v>
      </c>
      <c r="C6" s="4" t="s">
        <v>154</v>
      </c>
      <c r="D6" s="4" t="s">
        <v>155</v>
      </c>
      <c r="E6" s="4" t="s">
        <v>156</v>
      </c>
    </row>
    <row r="7" customFormat="false" ht="26.85" hidden="false" customHeight="false" outlineLevel="0" collapsed="false">
      <c r="A7" s="4" t="s">
        <v>152</v>
      </c>
      <c r="B7" s="4" t="s">
        <v>157</v>
      </c>
      <c r="C7" s="4" t="s">
        <v>158</v>
      </c>
      <c r="D7" s="4" t="s">
        <v>159</v>
      </c>
      <c r="E7" s="4" t="s">
        <v>160</v>
      </c>
    </row>
    <row r="8" customFormat="false" ht="26.85" hidden="false" customHeight="false" outlineLevel="0" collapsed="false">
      <c r="A8" s="4" t="s">
        <v>161</v>
      </c>
      <c r="B8" s="4" t="s">
        <v>162</v>
      </c>
      <c r="C8" s="4" t="s">
        <v>158</v>
      </c>
      <c r="D8" s="4" t="s">
        <v>163</v>
      </c>
      <c r="E8" s="4" t="s">
        <v>164</v>
      </c>
    </row>
    <row r="9" customFormat="false" ht="26.85" hidden="false" customHeight="false" outlineLevel="0" collapsed="false">
      <c r="A9" s="4" t="s">
        <v>165</v>
      </c>
      <c r="B9" s="4" t="s">
        <v>166</v>
      </c>
      <c r="C9" s="4" t="s">
        <v>158</v>
      </c>
      <c r="D9" s="4" t="s">
        <v>167</v>
      </c>
      <c r="E9" s="4" t="s">
        <v>168</v>
      </c>
    </row>
    <row r="10" customFormat="false" ht="15" hidden="false" customHeight="false" outlineLevel="0" collapsed="false">
      <c r="A10" s="4" t="s">
        <v>169</v>
      </c>
      <c r="B10" s="4" t="s">
        <v>170</v>
      </c>
      <c r="C10" s="4" t="s">
        <v>150</v>
      </c>
      <c r="D10" s="4" t="s">
        <v>100</v>
      </c>
      <c r="E10" s="4" t="s">
        <v>171</v>
      </c>
    </row>
    <row r="11" customFormat="false" ht="26.85" hidden="false" customHeight="false" outlineLevel="0" collapsed="false">
      <c r="A11" s="4" t="s">
        <v>172</v>
      </c>
      <c r="B11" s="4" t="s">
        <v>173</v>
      </c>
      <c r="C11" s="4" t="s">
        <v>174</v>
      </c>
      <c r="D11" s="4" t="s">
        <v>100</v>
      </c>
      <c r="E11" s="4" t="s">
        <v>175</v>
      </c>
    </row>
    <row r="12" customFormat="false" ht="26.85" hidden="false" customHeight="false" outlineLevel="0" collapsed="false">
      <c r="A12" s="4" t="s">
        <v>176</v>
      </c>
      <c r="B12" s="4" t="s">
        <v>177</v>
      </c>
      <c r="C12" s="4" t="s">
        <v>178</v>
      </c>
      <c r="D12" s="4" t="s">
        <v>100</v>
      </c>
      <c r="E12" s="4" t="s">
        <v>179</v>
      </c>
    </row>
    <row r="13" customFormat="false" ht="26.85" hidden="false" customHeight="false" outlineLevel="0" collapsed="false">
      <c r="A13" s="4" t="s">
        <v>180</v>
      </c>
      <c r="B13" s="4" t="s">
        <v>181</v>
      </c>
      <c r="C13" s="4" t="s">
        <v>182</v>
      </c>
      <c r="D13" s="4" t="s">
        <v>183</v>
      </c>
      <c r="E13" s="4" t="s">
        <v>184</v>
      </c>
    </row>
    <row r="14" customFormat="false" ht="26.85" hidden="false" customHeight="false" outlineLevel="0" collapsed="false">
      <c r="A14" s="4" t="s">
        <v>185</v>
      </c>
      <c r="B14" s="4" t="s">
        <v>186</v>
      </c>
      <c r="C14" s="4" t="s">
        <v>187</v>
      </c>
      <c r="D14" s="4" t="s">
        <v>188</v>
      </c>
      <c r="E14" s="4" t="s">
        <v>189</v>
      </c>
    </row>
    <row r="15" customFormat="false" ht="26.85" hidden="false" customHeight="false" outlineLevel="0" collapsed="false">
      <c r="A15" s="4" t="s">
        <v>190</v>
      </c>
      <c r="B15" s="4" t="s">
        <v>191</v>
      </c>
      <c r="C15" s="4" t="s">
        <v>187</v>
      </c>
      <c r="D15" s="4" t="s">
        <v>192</v>
      </c>
      <c r="E15" s="4" t="s">
        <v>193</v>
      </c>
    </row>
    <row r="16" customFormat="false" ht="26.85" hidden="false" customHeight="false" outlineLevel="0" collapsed="false">
      <c r="A16" s="4" t="s">
        <v>194</v>
      </c>
      <c r="B16" s="4" t="s">
        <v>195</v>
      </c>
      <c r="C16" s="4" t="s">
        <v>187</v>
      </c>
      <c r="D16" s="4" t="s">
        <v>196</v>
      </c>
      <c r="E16" s="4" t="s">
        <v>197</v>
      </c>
    </row>
    <row r="17" customFormat="false" ht="26.85" hidden="false" customHeight="false" outlineLevel="0" collapsed="false">
      <c r="A17" s="4" t="s">
        <v>198</v>
      </c>
      <c r="B17" s="4" t="s">
        <v>199</v>
      </c>
      <c r="C17" s="4" t="s">
        <v>187</v>
      </c>
      <c r="D17" s="4" t="s">
        <v>200</v>
      </c>
      <c r="E17" s="4" t="s">
        <v>201</v>
      </c>
    </row>
    <row r="18" customFormat="false" ht="26.85" hidden="false" customHeight="false" outlineLevel="0" collapsed="false">
      <c r="A18" s="4" t="s">
        <v>202</v>
      </c>
      <c r="B18" s="4" t="s">
        <v>203</v>
      </c>
      <c r="C18" s="4" t="s">
        <v>187</v>
      </c>
      <c r="D18" s="4" t="s">
        <v>100</v>
      </c>
      <c r="E18" s="4" t="s">
        <v>204</v>
      </c>
    </row>
    <row r="19" customFormat="false" ht="26.85" hidden="false" customHeight="false" outlineLevel="0" collapsed="false">
      <c r="A19" s="4" t="s">
        <v>205</v>
      </c>
      <c r="B19" s="4" t="s">
        <v>206</v>
      </c>
      <c r="C19" s="4" t="s">
        <v>187</v>
      </c>
      <c r="D19" s="4" t="s">
        <v>192</v>
      </c>
      <c r="E19" s="4" t="s">
        <v>207</v>
      </c>
    </row>
    <row r="20" customFormat="false" ht="26.85" hidden="false" customHeight="false" outlineLevel="0" collapsed="false">
      <c r="A20" s="4" t="s">
        <v>208</v>
      </c>
      <c r="B20" s="4" t="s">
        <v>209</v>
      </c>
      <c r="C20" s="4" t="s">
        <v>187</v>
      </c>
      <c r="D20" s="4" t="s">
        <v>210</v>
      </c>
      <c r="E20" s="4" t="s">
        <v>211</v>
      </c>
    </row>
    <row r="21" customFormat="false" ht="15" hidden="false" customHeight="false" outlineLevel="0" collapsed="false">
      <c r="A21" s="4" t="s">
        <v>212</v>
      </c>
      <c r="B21" s="4" t="s">
        <v>213</v>
      </c>
      <c r="C21" s="4" t="s">
        <v>187</v>
      </c>
      <c r="D21" s="4" t="s">
        <v>188</v>
      </c>
      <c r="E21" s="4" t="s">
        <v>214</v>
      </c>
    </row>
    <row r="22" customFormat="false" ht="26.85" hidden="false" customHeight="false" outlineLevel="0" collapsed="false">
      <c r="A22" s="4" t="s">
        <v>215</v>
      </c>
      <c r="B22" s="4" t="s">
        <v>216</v>
      </c>
      <c r="C22" s="4" t="s">
        <v>187</v>
      </c>
      <c r="D22" s="4" t="s">
        <v>100</v>
      </c>
      <c r="E22" s="4" t="s">
        <v>217</v>
      </c>
    </row>
    <row r="23" customFormat="false" ht="26.85" hidden="false" customHeight="false" outlineLevel="0" collapsed="false">
      <c r="A23" s="4" t="s">
        <v>218</v>
      </c>
      <c r="B23" s="4" t="s">
        <v>219</v>
      </c>
      <c r="C23" s="4" t="s">
        <v>187</v>
      </c>
      <c r="D23" s="4" t="s">
        <v>220</v>
      </c>
      <c r="E23" s="4" t="s">
        <v>221</v>
      </c>
    </row>
    <row r="24" customFormat="false" ht="39.55" hidden="false" customHeight="false" outlineLevel="0" collapsed="false">
      <c r="A24" s="4" t="s">
        <v>222</v>
      </c>
      <c r="B24" s="4" t="s">
        <v>223</v>
      </c>
      <c r="C24" s="4" t="s">
        <v>224</v>
      </c>
      <c r="D24" s="4" t="s">
        <v>100</v>
      </c>
      <c r="E24" s="4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4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" t="s">
        <v>226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227</v>
      </c>
      <c r="B4" s="3" t="s">
        <v>228</v>
      </c>
      <c r="C4" s="3" t="s">
        <v>229</v>
      </c>
      <c r="D4" s="3" t="s">
        <v>230</v>
      </c>
      <c r="E4" s="3" t="s">
        <v>231</v>
      </c>
      <c r="F4" s="3" t="s">
        <v>232</v>
      </c>
      <c r="G4" s="3" t="s">
        <v>233</v>
      </c>
      <c r="H4" s="3" t="s">
        <v>14</v>
      </c>
      <c r="I4" s="13" t="s">
        <v>234</v>
      </c>
    </row>
    <row r="5" customFormat="false" ht="15" hidden="false" customHeight="false" outlineLevel="0" collapsed="false">
      <c r="A5" s="4" t="s">
        <v>235</v>
      </c>
      <c r="B5" s="5" t="n">
        <v>3946688</v>
      </c>
      <c r="C5" s="5" t="n">
        <v>138471</v>
      </c>
      <c r="D5" s="5" t="n">
        <v>13240</v>
      </c>
      <c r="E5" s="5" t="n">
        <v>8027</v>
      </c>
      <c r="F5" s="5" t="n">
        <v>0</v>
      </c>
      <c r="G5" s="5" t="n">
        <v>231672</v>
      </c>
      <c r="H5" s="5" t="n">
        <v>4338098</v>
      </c>
      <c r="I5" s="14" t="n">
        <f aca="false">SUM(B5:G5)-H5</f>
        <v>0</v>
      </c>
    </row>
    <row r="6" customFormat="false" ht="26.85" hidden="false" customHeight="false" outlineLevel="0" collapsed="false">
      <c r="A6" s="4" t="s">
        <v>236</v>
      </c>
      <c r="B6" s="5" t="n">
        <v>1149081</v>
      </c>
      <c r="C6" s="5" t="n">
        <v>478797</v>
      </c>
      <c r="D6" s="5" t="n">
        <v>2384105</v>
      </c>
      <c r="E6" s="5" t="n">
        <v>6065951</v>
      </c>
      <c r="F6" s="5" t="n">
        <v>651210</v>
      </c>
      <c r="G6" s="5" t="n">
        <v>691741</v>
      </c>
      <c r="H6" s="5" t="n">
        <v>11420885</v>
      </c>
      <c r="I6" s="14" t="n">
        <f aca="false">SUM(B6:G6)-H6</f>
        <v>0</v>
      </c>
    </row>
    <row r="7" customFormat="false" ht="15" hidden="false" customHeight="false" outlineLevel="0" collapsed="false">
      <c r="A7" s="4" t="s">
        <v>237</v>
      </c>
      <c r="B7" s="5" t="n">
        <v>0</v>
      </c>
      <c r="C7" s="5" t="n">
        <v>419</v>
      </c>
      <c r="D7" s="5" t="n">
        <v>232121</v>
      </c>
      <c r="E7" s="5" t="n">
        <v>13274</v>
      </c>
      <c r="F7" s="5" t="n">
        <v>73836</v>
      </c>
      <c r="G7" s="5" t="n">
        <v>83744</v>
      </c>
      <c r="H7" s="5" t="n">
        <v>403394</v>
      </c>
      <c r="I7" s="14" t="n">
        <f aca="false">SUM(B7:G7)-H7</f>
        <v>0</v>
      </c>
    </row>
    <row r="8" customFormat="false" ht="15" hidden="false" customHeight="false" outlineLevel="0" collapsed="false">
      <c r="A8" s="4" t="s">
        <v>238</v>
      </c>
      <c r="B8" s="5" t="n">
        <v>0</v>
      </c>
      <c r="C8" s="5" t="n">
        <v>569096</v>
      </c>
      <c r="D8" s="5" t="n">
        <v>2636721</v>
      </c>
      <c r="E8" s="5" t="n">
        <v>5477838</v>
      </c>
      <c r="F8" s="5" t="n">
        <v>8120876</v>
      </c>
      <c r="G8" s="5" t="n">
        <v>13837054</v>
      </c>
      <c r="H8" s="5" t="n">
        <v>30641585</v>
      </c>
      <c r="I8" s="14" t="n">
        <f aca="false">SUM(B8:G8)-H8</f>
        <v>0</v>
      </c>
    </row>
    <row r="9" customFormat="false" ht="15" hidden="false" customHeight="false" outlineLevel="0" collapsed="false">
      <c r="A9" s="4" t="s">
        <v>13</v>
      </c>
      <c r="B9" s="5" t="n">
        <v>276800</v>
      </c>
      <c r="C9" s="5" t="n">
        <v>996171</v>
      </c>
      <c r="D9" s="5" t="n">
        <v>94562</v>
      </c>
      <c r="E9" s="5" t="n">
        <v>78469</v>
      </c>
      <c r="F9" s="5" t="n">
        <v>92931</v>
      </c>
      <c r="G9" s="5" t="n">
        <v>80149</v>
      </c>
      <c r="H9" s="5" t="n">
        <v>1619082</v>
      </c>
      <c r="I9" s="14" t="n">
        <f aca="false">SUM(B9:G9)-H9</f>
        <v>0</v>
      </c>
    </row>
    <row r="10" customFormat="false" ht="15" hidden="false" customHeight="false" outlineLevel="0" collapsed="false">
      <c r="A10" s="7" t="s">
        <v>239</v>
      </c>
      <c r="B10" s="8" t="n">
        <f aca="false">SUM(B5:B9)</f>
        <v>5372569</v>
      </c>
      <c r="C10" s="8" t="n">
        <f aca="false">SUM(C5:C9)</f>
        <v>2182954</v>
      </c>
      <c r="D10" s="8" t="n">
        <f aca="false">SUM(D5:D9)</f>
        <v>5360749</v>
      </c>
      <c r="E10" s="8" t="n">
        <f aca="false">SUM(E5:E9)</f>
        <v>11643559</v>
      </c>
      <c r="F10" s="8" t="n">
        <f aca="false">SUM(F5:F9)</f>
        <v>8938853</v>
      </c>
      <c r="G10" s="8" t="n">
        <f aca="false">SUM(G5:G9)</f>
        <v>14924360</v>
      </c>
      <c r="H10" s="8" t="n">
        <f aca="false">SUM(H5:H9)</f>
        <v>48423044</v>
      </c>
    </row>
    <row r="11" customFormat="false" ht="15" hidden="false" customHeight="false" outlineLevel="0" collapsed="false">
      <c r="A11" s="4" t="s">
        <v>240</v>
      </c>
      <c r="B11" s="5" t="n">
        <v>5372569</v>
      </c>
      <c r="C11" s="5" t="n">
        <v>2182955</v>
      </c>
      <c r="D11" s="5" t="n">
        <v>5360749</v>
      </c>
      <c r="E11" s="5" t="n">
        <v>11643558</v>
      </c>
      <c r="F11" s="5" t="n">
        <v>8938853</v>
      </c>
      <c r="G11" s="5" t="n">
        <v>14924359</v>
      </c>
      <c r="H11" s="5" t="n">
        <v>48423044</v>
      </c>
    </row>
    <row r="12" customFormat="false" ht="15" hidden="false" customHeight="false" outlineLevel="0" collapsed="false">
      <c r="A12" s="4" t="s">
        <v>241</v>
      </c>
      <c r="B12" s="6" t="n">
        <f aca="false">B10-B11</f>
        <v>0</v>
      </c>
      <c r="C12" s="6" t="n">
        <f aca="false">C10-C11</f>
        <v>-1</v>
      </c>
      <c r="D12" s="6" t="n">
        <f aca="false">D10-D11</f>
        <v>0</v>
      </c>
      <c r="E12" s="6" t="n">
        <f aca="false">E10-E11</f>
        <v>1</v>
      </c>
      <c r="F12" s="6" t="n">
        <f aca="false">F10-F11</f>
        <v>0</v>
      </c>
      <c r="G12" s="6" t="n">
        <f aca="false">G10-G11</f>
        <v>1</v>
      </c>
      <c r="H12" s="6" t="n">
        <f aca="false">H10-H11</f>
        <v>0</v>
      </c>
    </row>
    <row r="14" customFormat="false" ht="26.85" hidden="false" customHeight="false" outlineLevel="0" collapsed="false">
      <c r="A14" s="3" t="s">
        <v>242</v>
      </c>
      <c r="B14" s="3" t="s">
        <v>37</v>
      </c>
      <c r="C14" s="3"/>
      <c r="D14" s="3"/>
      <c r="E14" s="3"/>
      <c r="F14" s="3"/>
      <c r="G14" s="3"/>
      <c r="H14" s="3" t="s">
        <v>243</v>
      </c>
    </row>
    <row r="15" customFormat="false" ht="26.85" hidden="false" customHeight="false" outlineLevel="0" collapsed="false">
      <c r="A15" s="4" t="s">
        <v>244</v>
      </c>
      <c r="B15" s="6" t="n">
        <f aca="false">B11+C11+D11</f>
        <v>12916273</v>
      </c>
      <c r="C15" s="4"/>
      <c r="D15" s="4"/>
      <c r="E15" s="4"/>
      <c r="F15" s="4"/>
      <c r="G15" s="4"/>
      <c r="H15" s="4" t="s">
        <v>245</v>
      </c>
    </row>
    <row r="16" customFormat="false" ht="39.55" hidden="false" customHeight="false" outlineLevel="0" collapsed="false">
      <c r="A16" s="4" t="s">
        <v>246</v>
      </c>
      <c r="B16" s="6" t="n">
        <f aca="false">2229320+675762</f>
        <v>2905082</v>
      </c>
      <c r="C16" s="4"/>
      <c r="D16" s="4"/>
      <c r="E16" s="4"/>
      <c r="F16" s="4"/>
      <c r="G16" s="4"/>
      <c r="H16" s="4" t="s">
        <v>247</v>
      </c>
    </row>
    <row r="17" customFormat="false" ht="26.85" hidden="false" customHeight="false" outlineLevel="0" collapsed="false">
      <c r="A17" s="4" t="s">
        <v>248</v>
      </c>
      <c r="B17" s="5" t="n">
        <v>7162797</v>
      </c>
      <c r="C17" s="4"/>
      <c r="D17" s="4"/>
      <c r="E17" s="4"/>
      <c r="F17" s="4"/>
      <c r="G17" s="4"/>
      <c r="H17" s="4" t="s">
        <v>249</v>
      </c>
    </row>
    <row r="18" customFormat="false" ht="39.55" hidden="false" customHeight="false" outlineLevel="0" collapsed="false">
      <c r="A18" s="4" t="s">
        <v>250</v>
      </c>
      <c r="B18" s="5" t="n">
        <v>-4300000</v>
      </c>
      <c r="C18" s="4"/>
      <c r="D18" s="4"/>
      <c r="E18" s="4"/>
      <c r="F18" s="4"/>
      <c r="G18" s="4"/>
      <c r="H18" s="4" t="s">
        <v>251</v>
      </c>
    </row>
    <row r="19" customFormat="false" ht="26.85" hidden="false" customHeight="false" outlineLevel="0" collapsed="false">
      <c r="A19" s="4" t="s">
        <v>252</v>
      </c>
      <c r="B19" s="5" t="n">
        <v>1900000</v>
      </c>
      <c r="C19" s="4"/>
      <c r="D19" s="4"/>
      <c r="E19" s="4"/>
      <c r="F19" s="4"/>
      <c r="G19" s="4"/>
      <c r="H19" s="4" t="s">
        <v>160</v>
      </c>
    </row>
    <row r="20" customFormat="false" ht="77.6" hidden="false" customHeight="false" outlineLevel="0" collapsed="false">
      <c r="A20" s="4" t="s">
        <v>253</v>
      </c>
      <c r="B20" s="15" t="n">
        <f aca="false">(B16+B17+B18+B19)/B15</f>
        <v>0.593660338396378</v>
      </c>
      <c r="C20" s="4"/>
      <c r="D20" s="4"/>
      <c r="E20" s="4"/>
      <c r="F20" s="4"/>
      <c r="G20" s="4"/>
      <c r="H20" s="4" t="s">
        <v>254</v>
      </c>
    </row>
    <row r="21" customFormat="false" ht="39.55" hidden="false" customHeight="false" outlineLevel="0" collapsed="false">
      <c r="A21" s="4" t="s">
        <v>255</v>
      </c>
      <c r="B21" s="6" t="n">
        <f aca="false">16616314-17875963</f>
        <v>-1259649</v>
      </c>
      <c r="C21" s="4"/>
      <c r="D21" s="4"/>
      <c r="E21" s="4"/>
      <c r="F21" s="4"/>
      <c r="G21" s="4"/>
      <c r="H21" s="4" t="s">
        <v>256</v>
      </c>
    </row>
    <row r="22" customFormat="false" ht="64.9" hidden="false" customHeight="false" outlineLevel="0" collapsed="false">
      <c r="A22" s="4" t="s">
        <v>257</v>
      </c>
      <c r="B22" s="16" t="n">
        <v>0.61</v>
      </c>
      <c r="C22" s="4"/>
      <c r="D22" s="4"/>
      <c r="E22" s="4"/>
      <c r="F22" s="4"/>
      <c r="G22" s="4"/>
      <c r="H22" s="4" t="s">
        <v>258</v>
      </c>
    </row>
    <row r="23" customFormat="false" ht="26.85" hidden="false" customHeight="false" outlineLevel="0" collapsed="false">
      <c r="A23" s="4" t="s">
        <v>259</v>
      </c>
      <c r="B23" s="17" t="n">
        <v>4.13</v>
      </c>
      <c r="C23" s="4"/>
      <c r="D23" s="4"/>
      <c r="E23" s="4"/>
      <c r="F23" s="4"/>
      <c r="G23" s="4"/>
      <c r="H23" s="4" t="s">
        <v>260</v>
      </c>
    </row>
    <row r="25" customFormat="false" ht="26.85" hidden="false" customHeight="false" outlineLevel="0" collapsed="false">
      <c r="A25" s="3" t="s">
        <v>261</v>
      </c>
      <c r="B25" s="3" t="s">
        <v>262</v>
      </c>
      <c r="C25" s="3" t="s">
        <v>263</v>
      </c>
      <c r="D25" s="3" t="s">
        <v>264</v>
      </c>
      <c r="E25" s="3"/>
      <c r="F25" s="3"/>
      <c r="G25" s="3"/>
      <c r="H25" s="3" t="s">
        <v>265</v>
      </c>
    </row>
    <row r="26" customFormat="false" ht="90.25" hidden="false" customHeight="false" outlineLevel="0" collapsed="false">
      <c r="A26" s="4" t="s">
        <v>266</v>
      </c>
      <c r="B26" s="16" t="n">
        <v>3.75</v>
      </c>
      <c r="C26" s="16" t="n">
        <v>2.3</v>
      </c>
      <c r="D26" s="15" t="n">
        <f aca="false">B26-C26</f>
        <v>1.45</v>
      </c>
      <c r="E26" s="4"/>
      <c r="F26" s="4"/>
      <c r="G26" s="4"/>
      <c r="H26" s="4" t="s">
        <v>267</v>
      </c>
    </row>
    <row r="27" customFormat="false" ht="26.85" hidden="false" customHeight="false" outlineLevel="0" collapsed="false">
      <c r="A27" s="4" t="s">
        <v>268</v>
      </c>
      <c r="B27" s="4"/>
      <c r="C27" s="5" t="n">
        <v>30530</v>
      </c>
      <c r="D27" s="4"/>
      <c r="E27" s="4"/>
      <c r="F27" s="4"/>
      <c r="G27" s="4"/>
      <c r="H27" s="4" t="s">
        <v>269</v>
      </c>
    </row>
    <row r="28" customFormat="false" ht="15" hidden="false" customHeight="false" outlineLevel="0" collapsed="false">
      <c r="A28" s="4" t="s">
        <v>270</v>
      </c>
      <c r="B28" s="4"/>
      <c r="C28" s="5" t="n">
        <v>13280</v>
      </c>
      <c r="D28" s="4"/>
      <c r="E28" s="4"/>
      <c r="F28" s="4"/>
      <c r="G28" s="4"/>
      <c r="H28" s="4" t="s">
        <v>269</v>
      </c>
    </row>
    <row r="29" customFormat="false" ht="26.85" hidden="false" customHeight="false" outlineLevel="0" collapsed="false">
      <c r="A29" s="4" t="s">
        <v>271</v>
      </c>
      <c r="B29" s="4"/>
      <c r="C29" s="15" t="n">
        <f aca="false">C27/C28</f>
        <v>2.29894578313253</v>
      </c>
      <c r="D29" s="4"/>
      <c r="E29" s="4"/>
      <c r="F29" s="4"/>
      <c r="G29" s="4"/>
      <c r="H29" s="4" t="s">
        <v>272</v>
      </c>
    </row>
    <row r="30" customFormat="false" ht="26.85" hidden="false" customHeight="false" outlineLevel="0" collapsed="false">
      <c r="A30" s="4" t="s">
        <v>273</v>
      </c>
      <c r="B30" s="4"/>
      <c r="C30" s="9" t="n">
        <f aca="false">1-C27/(B26*C28)</f>
        <v>0.386947791164659</v>
      </c>
      <c r="D30" s="4"/>
      <c r="E30" s="4"/>
      <c r="F30" s="4"/>
      <c r="G30" s="4"/>
      <c r="H30" s="4" t="s">
        <v>274</v>
      </c>
    </row>
    <row r="31" customFormat="false" ht="26.85" hidden="false" customHeight="false" outlineLevel="0" collapsed="false">
      <c r="A31" s="4" t="s">
        <v>275</v>
      </c>
      <c r="B31" s="4"/>
      <c r="C31" s="6" t="n">
        <f aca="false">B26*C28-C27</f>
        <v>19270</v>
      </c>
      <c r="D31" s="4"/>
      <c r="E31" s="4"/>
      <c r="F31" s="4"/>
      <c r="G31" s="4"/>
      <c r="H31" s="4" t="s">
        <v>274</v>
      </c>
    </row>
    <row r="32" customFormat="false" ht="39.55" hidden="false" customHeight="false" outlineLevel="0" collapsed="false">
      <c r="A32" s="4" t="s">
        <v>276</v>
      </c>
      <c r="B32" s="4"/>
      <c r="C32" s="4" t="s">
        <v>277</v>
      </c>
      <c r="D32" s="4"/>
      <c r="E32" s="4"/>
      <c r="F32" s="4"/>
      <c r="G32" s="4"/>
      <c r="H32" s="4" t="s">
        <v>278</v>
      </c>
    </row>
    <row r="33" customFormat="false" ht="77.6" hidden="false" customHeight="false" outlineLevel="0" collapsed="false">
      <c r="A33" s="4" t="s">
        <v>279</v>
      </c>
      <c r="B33" s="4"/>
      <c r="C33" s="15" t="n">
        <f aca="false">(29055727-2229320-675762)/(10778490+2397217)</f>
        <v>1.98476218391924</v>
      </c>
      <c r="D33" s="4"/>
      <c r="E33" s="4"/>
      <c r="F33" s="4"/>
      <c r="G33" s="4"/>
      <c r="H33" s="4" t="s">
        <v>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2026-10-24T00:04:04Z</dcterms:created>
  <dc:creator>openpyxl</dc:creator>
  <dc:description/>
  <dc:language>en-US</dc:language>
  <cp:lastModifiedBy/>
  <dcterms:modified xsi:type="dcterms:W3CDTF">2026-10-24T00:04:04Z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