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P_Ativo" sheetId="1" state="visible" r:id="rId3"/>
    <sheet name="BP_Passivo_PL" sheetId="2" state="visible" r:id="rId4"/>
    <sheet name="DRE" sheetId="3" state="visible" r:id="rId5"/>
    <sheet name="DFC" sheetId="4" state="visible" r:id="rId6"/>
    <sheet name="Nota11_AFC" sheetId="5" state="visible" r:id="rId7"/>
    <sheet name="Conciliacoes" sheetId="6" state="visible" r:id="rId8"/>
    <sheet name="Grupo_Nota1" sheetId="7" state="visible" r:id="rId9"/>
    <sheet name="Relatorio_Auditor" sheetId="8" state="visible" r:id="rId10"/>
    <sheet name="Fontes_Usadas" sheetId="9" state="visible" r:id="rId11"/>
    <sheet name="Divergencias_B02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<sst xmlns="http://schemas.openxmlformats.org/spreadsheetml/2006/main" count="888" uniqueCount="447">
  <si>
    <t xml:space="preserve">Balanço patrimonial consolidado — ATIVO (R$ mil)</t>
  </si>
  <si>
    <t xml:space="preserve">Preparador: matrícula 231020069 (assistido por IA) | Data: 22/10/2026 | Modalidade: Realizado com evidência pública | Revisão: ____</t>
  </si>
  <si>
    <t xml:space="preserve">Fonte: DF25 CPFL.pdf, p. física 34 / impressa 2 (imagem lida a 300 dpi em 22/10/2026). Comparativo 2024 do mesmo documento. Nota 2.4 (p. física 46): arredondamento após totalização — somas podem diferir em unidades.</t>
  </si>
  <si>
    <t xml:space="preserve">ID</t>
  </si>
  <si>
    <t xml:space="preserve">Linha (consolidado)</t>
  </si>
  <si>
    <t xml:space="preserve">Nota</t>
  </si>
  <si>
    <t xml:space="preserve">31/12/2025 | 2025</t>
  </si>
  <si>
    <t xml:space="preserve">31/12/2024 | 2024</t>
  </si>
  <si>
    <t xml:space="preserve">Documento</t>
  </si>
  <si>
    <t xml:space="preserve">Pág. física</t>
  </si>
  <si>
    <t xml:space="preserve">Pág. impressa</t>
  </si>
  <si>
    <t xml:space="preserve">Escala / perímetro</t>
  </si>
  <si>
    <t xml:space="preserve">Circulante</t>
  </si>
  <si>
    <t xml:space="preserve">AC01</t>
  </si>
  <si>
    <t xml:space="preserve">Caixa e equivalentes de caixa</t>
  </si>
  <si>
    <t xml:space="preserve">FC01 DF25 CPFL.pdf</t>
  </si>
  <si>
    <t xml:space="preserve">R$ mil | consolidado</t>
  </si>
  <si>
    <t xml:space="preserve">AC02</t>
  </si>
  <si>
    <t xml:space="preserve">Títulos e valores mobiliários</t>
  </si>
  <si>
    <t xml:space="preserve">AC03</t>
  </si>
  <si>
    <t xml:space="preserve">Consumidores, concessionárias e permissionárias</t>
  </si>
  <si>
    <t xml:space="preserve">AC04</t>
  </si>
  <si>
    <t xml:space="preserve">Estoques</t>
  </si>
  <si>
    <t xml:space="preserve">AC05</t>
  </si>
  <si>
    <t xml:space="preserve">Dividendo e juros sobre o capital próprio</t>
  </si>
  <si>
    <t xml:space="preserve">AC06</t>
  </si>
  <si>
    <t xml:space="preserve">Imposto de renda e contribuição social a compensar</t>
  </si>
  <si>
    <t xml:space="preserve">AC07</t>
  </si>
  <si>
    <t xml:space="preserve">Outros tributos a compensar</t>
  </si>
  <si>
    <t xml:space="preserve">AC08</t>
  </si>
  <si>
    <t xml:space="preserve">PIS/COFINS a compensar sobre ICMS</t>
  </si>
  <si>
    <t xml:space="preserve">AC09</t>
  </si>
  <si>
    <t xml:space="preserve">Derivativos</t>
  </si>
  <si>
    <t xml:space="preserve">AC10</t>
  </si>
  <si>
    <t xml:space="preserve">Ativo financeiro setorial</t>
  </si>
  <si>
    <t xml:space="preserve">AC11</t>
  </si>
  <si>
    <t xml:space="preserve">Ativo contratual</t>
  </si>
  <si>
    <t xml:space="preserve">AC12</t>
  </si>
  <si>
    <t xml:space="preserve">Outros ativos</t>
  </si>
  <si>
    <t xml:space="preserve">Total do circulante (calculado)</t>
  </si>
  <si>
    <t xml:space="preserve">fórmula</t>
  </si>
  <si>
    <t xml:space="preserve">Total do circulante (divulgado)</t>
  </si>
  <si>
    <t xml:space="preserve">Diferença (calculado − divulgado)</t>
  </si>
  <si>
    <t xml:space="preserve">esperado 0 ou ±arredondamento (nota 2.4)</t>
  </si>
  <si>
    <t xml:space="preserve">Não circulante</t>
  </si>
  <si>
    <t xml:space="preserve">ANC01</t>
  </si>
  <si>
    <t xml:space="preserve">ANC02</t>
  </si>
  <si>
    <t xml:space="preserve">Depósitos judiciais</t>
  </si>
  <si>
    <t xml:space="preserve">ANC03</t>
  </si>
  <si>
    <t xml:space="preserve">ANC04</t>
  </si>
  <si>
    <t xml:space="preserve">ANC05</t>
  </si>
  <si>
    <t xml:space="preserve">ANC06</t>
  </si>
  <si>
    <t xml:space="preserve">ANC07</t>
  </si>
  <si>
    <t xml:space="preserve">ANC08</t>
  </si>
  <si>
    <t xml:space="preserve">Créditos fiscais diferidos</t>
  </si>
  <si>
    <t xml:space="preserve">ANC09</t>
  </si>
  <si>
    <t xml:space="preserve">Ativo financeiro da concessão</t>
  </si>
  <si>
    <t xml:space="preserve">ANC10</t>
  </si>
  <si>
    <t xml:space="preserve">Investimentos em instrumentos patrimoniais</t>
  </si>
  <si>
    <t xml:space="preserve">ANC11</t>
  </si>
  <si>
    <t xml:space="preserve">ANC12</t>
  </si>
  <si>
    <t xml:space="preserve">Investimentos</t>
  </si>
  <si>
    <t xml:space="preserve">ANC13</t>
  </si>
  <si>
    <t xml:space="preserve">Imobilizado</t>
  </si>
  <si>
    <t xml:space="preserve">ANC14</t>
  </si>
  <si>
    <t xml:space="preserve">Intangível</t>
  </si>
  <si>
    <t xml:space="preserve">ANC15</t>
  </si>
  <si>
    <t xml:space="preserve">Total do não circulante (calculado)</t>
  </si>
  <si>
    <t xml:space="preserve">Total do não circulante (divulgado)</t>
  </si>
  <si>
    <t xml:space="preserve">TOTAL DO ATIVO (calculado)</t>
  </si>
  <si>
    <t xml:space="preserve">TOTAL DO ATIVO (divulgado)</t>
  </si>
  <si>
    <t xml:space="preserve">Balanço patrimonial consolidado — PASSIVO E PATRIMÔNIO LÍQUIDO (R$ mil)</t>
  </si>
  <si>
    <t xml:space="preserve">Fonte: DF25 CPFL.pdf, p. física 35 / impressa 3 (imagem lida a 220 dpi em 22/10/2026).</t>
  </si>
  <si>
    <t xml:space="preserve">PC01</t>
  </si>
  <si>
    <t xml:space="preserve">Fornecedores</t>
  </si>
  <si>
    <t xml:space="preserve">PC02</t>
  </si>
  <si>
    <t xml:space="preserve">Empréstimos e financiamentos</t>
  </si>
  <si>
    <t xml:space="preserve">PC03</t>
  </si>
  <si>
    <t xml:space="preserve">Debêntures</t>
  </si>
  <si>
    <t xml:space="preserve">PC04</t>
  </si>
  <si>
    <t xml:space="preserve">Entidade de previdência privada</t>
  </si>
  <si>
    <t xml:space="preserve">PC05</t>
  </si>
  <si>
    <t xml:space="preserve">Imposto de renda e contribuição social a recolher</t>
  </si>
  <si>
    <t xml:space="preserve">PC06</t>
  </si>
  <si>
    <t xml:space="preserve">Outros impostos, taxas e contribuições a recolher</t>
  </si>
  <si>
    <t xml:space="preserve">PC07</t>
  </si>
  <si>
    <t xml:space="preserve">Mútuo com partes relacionadas</t>
  </si>
  <si>
    <t xml:space="preserve">PC08</t>
  </si>
  <si>
    <t xml:space="preserve">Dividendo</t>
  </si>
  <si>
    <t xml:space="preserve">PC09</t>
  </si>
  <si>
    <t xml:space="preserve">PC10</t>
  </si>
  <si>
    <t xml:space="preserve">Passivo financeiro setorial</t>
  </si>
  <si>
    <t xml:space="preserve">PC11</t>
  </si>
  <si>
    <t xml:space="preserve">Provisões para desmobilização e gastos ambientais</t>
  </si>
  <si>
    <t xml:space="preserve">PC12</t>
  </si>
  <si>
    <t xml:space="preserve">PIS/COFINS devolução consumidores</t>
  </si>
  <si>
    <t xml:space="preserve">PC13</t>
  </si>
  <si>
    <t xml:space="preserve">Outras contas a pagar</t>
  </si>
  <si>
    <t xml:space="preserve">Total do passivo circulante (calculado)</t>
  </si>
  <si>
    <t xml:space="preserve">Total do passivo circulante (divulgado)</t>
  </si>
  <si>
    <t xml:space="preserve">PNC01</t>
  </si>
  <si>
    <t xml:space="preserve">PNC02</t>
  </si>
  <si>
    <t xml:space="preserve">PNC03</t>
  </si>
  <si>
    <t xml:space="preserve">PNC04</t>
  </si>
  <si>
    <t xml:space="preserve">PNC05</t>
  </si>
  <si>
    <t xml:space="preserve">PNC06</t>
  </si>
  <si>
    <t xml:space="preserve">PNC07</t>
  </si>
  <si>
    <t xml:space="preserve">Débitos fiscais diferidos</t>
  </si>
  <si>
    <t xml:space="preserve">PNC08</t>
  </si>
  <si>
    <t xml:space="preserve">Provisões para riscos fiscais, cíveis e trabalhistas</t>
  </si>
  <si>
    <t xml:space="preserve">PNC09</t>
  </si>
  <si>
    <t xml:space="preserve">PNC10</t>
  </si>
  <si>
    <t xml:space="preserve">PNC11</t>
  </si>
  <si>
    <t xml:space="preserve">PNC12</t>
  </si>
  <si>
    <t xml:space="preserve">PNC13</t>
  </si>
  <si>
    <t xml:space="preserve">PNC14</t>
  </si>
  <si>
    <t xml:space="preserve">Total do passivo não circulante (calculado)</t>
  </si>
  <si>
    <t xml:space="preserve">Total do passivo não circulante (divulgado)</t>
  </si>
  <si>
    <t xml:space="preserve">Patrimônio líquido (nota 24)</t>
  </si>
  <si>
    <t xml:space="preserve">PL01</t>
  </si>
  <si>
    <t xml:space="preserve">Capital social</t>
  </si>
  <si>
    <t xml:space="preserve">PL02</t>
  </si>
  <si>
    <t xml:space="preserve">Reserva de capital</t>
  </si>
  <si>
    <t xml:space="preserve">PL03</t>
  </si>
  <si>
    <t xml:space="preserve">Reserva legal</t>
  </si>
  <si>
    <t xml:space="preserve">PL04</t>
  </si>
  <si>
    <t xml:space="preserve">Reserva estatutária - reforço de capital de giro</t>
  </si>
  <si>
    <t xml:space="preserve">PL05</t>
  </si>
  <si>
    <t xml:space="preserve">Reserva de lucro a realizar</t>
  </si>
  <si>
    <t xml:space="preserve">PL06</t>
  </si>
  <si>
    <t xml:space="preserve">PL07</t>
  </si>
  <si>
    <t xml:space="preserve">Resultado abrangente acumulado</t>
  </si>
  <si>
    <t xml:space="preserve">PL atribuído aos controladores (calculado)</t>
  </si>
  <si>
    <t xml:space="preserve">PL atribuído aos controladores (divulgado)</t>
  </si>
  <si>
    <t xml:space="preserve">PL08</t>
  </si>
  <si>
    <t xml:space="preserve">PL atribuído aos acionistas não controladores</t>
  </si>
  <si>
    <t xml:space="preserve">Total do patrimônio líquido (calculado)</t>
  </si>
  <si>
    <t xml:space="preserve">Total do patrimônio líquido (divulgado)</t>
  </si>
  <si>
    <t xml:space="preserve">TOTAL DO PASSIVO E PL (calculado)</t>
  </si>
  <si>
    <t xml:space="preserve">TOTAL DO PASSIVO E PL (divulgado)</t>
  </si>
  <si>
    <t xml:space="preserve">Demonstração do resultado consolidada (R$ mil)</t>
  </si>
  <si>
    <t xml:space="preserve">Fonte: DF25 CPFL.pdf, p. física 36 / impressa 4. Despesas negativas. Subcomponentes (depreciação etc.) registrados para análise; totais recalculados por fórmula.</t>
  </si>
  <si>
    <t xml:space="preserve">Receita e custos</t>
  </si>
  <si>
    <t xml:space="preserve">DR01</t>
  </si>
  <si>
    <t xml:space="preserve">Receita operacional líquida</t>
  </si>
  <si>
    <t xml:space="preserve">DR02</t>
  </si>
  <si>
    <t xml:space="preserve">Custo com energia elétrica</t>
  </si>
  <si>
    <t xml:space="preserve">DR03</t>
  </si>
  <si>
    <t xml:space="preserve">Custo com operação</t>
  </si>
  <si>
    <t xml:space="preserve">DR04</t>
  </si>
  <si>
    <t xml:space="preserve">Custo com serviço prestado a terceiros</t>
  </si>
  <si>
    <t xml:space="preserve">Lucro operacional bruto (calculado)</t>
  </si>
  <si>
    <t xml:space="preserve">Lucro operacional bruto (divulgado)</t>
  </si>
  <si>
    <t xml:space="preserve">Despesas operacionais</t>
  </si>
  <si>
    <t xml:space="preserve">DD01</t>
  </si>
  <si>
    <t xml:space="preserve">Despesas com vendas</t>
  </si>
  <si>
    <t xml:space="preserve">DD02</t>
  </si>
  <si>
    <t xml:space="preserve">Despesas gerais e administrativas</t>
  </si>
  <si>
    <t xml:space="preserve">DD03</t>
  </si>
  <si>
    <t xml:space="preserve">Outras despesas operacionais</t>
  </si>
  <si>
    <t xml:space="preserve">Resultado do serviço (calculado)</t>
  </si>
  <si>
    <t xml:space="preserve">Resultado do serviço (divulgado)</t>
  </si>
  <si>
    <t xml:space="preserve">Participações</t>
  </si>
  <si>
    <t xml:space="preserve">DP01</t>
  </si>
  <si>
    <t xml:space="preserve">Resultado de participações societárias</t>
  </si>
  <si>
    <t xml:space="preserve">Resultado antes do resultado financeiro (calculado)</t>
  </si>
  <si>
    <t xml:space="preserve">Resultado antes do resultado financeiro (divulgado)</t>
  </si>
  <si>
    <t xml:space="preserve">Resultado financeiro (nota 29)</t>
  </si>
  <si>
    <t xml:space="preserve">DF01</t>
  </si>
  <si>
    <t xml:space="preserve">Receitas financeiras</t>
  </si>
  <si>
    <t xml:space="preserve">DF02</t>
  </si>
  <si>
    <t xml:space="preserve">Despesas financeiras</t>
  </si>
  <si>
    <t xml:space="preserve">Lucro antes dos tributos (calculado)</t>
  </si>
  <si>
    <t xml:space="preserve">Lucro antes dos tributos (divulgado)</t>
  </si>
  <si>
    <t xml:space="preserve">Tributos sobre o lucro</t>
  </si>
  <si>
    <t xml:space="preserve">DT01</t>
  </si>
  <si>
    <t xml:space="preserve">Contribuição social</t>
  </si>
  <si>
    <t xml:space="preserve">DT02</t>
  </si>
  <si>
    <t xml:space="preserve">Imposto de renda</t>
  </si>
  <si>
    <t xml:space="preserve">Lucro líquido do exercício (calculado)</t>
  </si>
  <si>
    <t xml:space="preserve">Lucro líquido do exercício (divulgado)</t>
  </si>
  <si>
    <t xml:space="preserve">Detalhes e atribuição</t>
  </si>
  <si>
    <t xml:space="preserve">DX01</t>
  </si>
  <si>
    <t xml:space="preserve">  Depreciação e amortização (custo com operação)</t>
  </si>
  <si>
    <t xml:space="preserve">DX02</t>
  </si>
  <si>
    <t xml:space="preserve">  Outros custos com operação</t>
  </si>
  <si>
    <t xml:space="preserve">DX03</t>
  </si>
  <si>
    <t xml:space="preserve">  PDD (dentro de despesas com vendas)</t>
  </si>
  <si>
    <t xml:space="preserve">DX04</t>
  </si>
  <si>
    <t xml:space="preserve">  Amortização de intangível da concessão (outras despesas)</t>
  </si>
  <si>
    <t xml:space="preserve">DX05</t>
  </si>
  <si>
    <t xml:space="preserve">Lucro atribuído aos controladores</t>
  </si>
  <si>
    <t xml:space="preserve">DX06</t>
  </si>
  <si>
    <t xml:space="preserve">Lucro atribuído aos não controladores</t>
  </si>
  <si>
    <t xml:space="preserve">Controladores + não controladores − lucro líquido</t>
  </si>
  <si>
    <t xml:space="preserve">esperado 0/±1</t>
  </si>
  <si>
    <t xml:space="preserve">Custo com operação − (depreciação + outros custos)</t>
  </si>
  <si>
    <t xml:space="preserve">DX07</t>
  </si>
  <si>
    <t xml:space="preserve">Lucro por ação atribuído aos controladores (R$)</t>
  </si>
  <si>
    <t xml:space="preserve">Demonstração dos fluxos de caixa consolidada — método indireto (R$ mil)</t>
  </si>
  <si>
    <t xml:space="preserve">Fonte: DF25 CPFL.pdf, p. física 39 / impressa 7. Linhas detalhadas apenas onde servem a PTs (520, 570, 330); subtotais transcritos e conferidos.</t>
  </si>
  <si>
    <t xml:space="preserve">Linhas selecionadas</t>
  </si>
  <si>
    <t xml:space="preserve">FC01</t>
  </si>
  <si>
    <t xml:space="preserve">Lucro antes dos tributos</t>
  </si>
  <si>
    <t xml:space="preserve">FC02</t>
  </si>
  <si>
    <t xml:space="preserve">Depreciação e amortização</t>
  </si>
  <si>
    <t xml:space="preserve">FC03</t>
  </si>
  <si>
    <t xml:space="preserve">Provisão para créditos de liquidação duvidosa</t>
  </si>
  <si>
    <t xml:space="preserve">FC04</t>
  </si>
  <si>
    <t xml:space="preserve">Encargos de dívida e atualizações monetárias e cambiais</t>
  </si>
  <si>
    <t xml:space="preserve">FC05</t>
  </si>
  <si>
    <t xml:space="preserve">Equivalência patrimonial</t>
  </si>
  <si>
    <t xml:space="preserve">FC06</t>
  </si>
  <si>
    <t xml:space="preserve">Caixa líquido gerado pelas operações</t>
  </si>
  <si>
    <t xml:space="preserve">FC07</t>
  </si>
  <si>
    <t xml:space="preserve">Encargos de dívidas e debêntures pagos</t>
  </si>
  <si>
    <t xml:space="preserve">FC08</t>
  </si>
  <si>
    <t xml:space="preserve">Imposto de renda e contribuição social pagos</t>
  </si>
  <si>
    <t xml:space="preserve">FC09</t>
  </si>
  <si>
    <t xml:space="preserve">Caixa líquido gerado pelas atividades operacionais</t>
  </si>
  <si>
    <t xml:space="preserve">FC10</t>
  </si>
  <si>
    <t xml:space="preserve">Adições de ativo contratual</t>
  </si>
  <si>
    <t xml:space="preserve">FC11</t>
  </si>
  <si>
    <t xml:space="preserve">Aquisições de imobilizado</t>
  </si>
  <si>
    <t xml:space="preserve">FC12</t>
  </si>
  <si>
    <t xml:space="preserve">Caixa líquido consumido pelas atividades de investimento</t>
  </si>
  <si>
    <t xml:space="preserve">FC13</t>
  </si>
  <si>
    <t xml:space="preserve">Captação de empréstimos e debêntures</t>
  </si>
  <si>
    <t xml:space="preserve">FC14</t>
  </si>
  <si>
    <t xml:space="preserve">Amortização de principal de empréstimos e debêntures</t>
  </si>
  <si>
    <t xml:space="preserve">FC15</t>
  </si>
  <si>
    <t xml:space="preserve">Dividendo e juros sobre o capital próprio pagos</t>
  </si>
  <si>
    <t xml:space="preserve">FC16</t>
  </si>
  <si>
    <t xml:space="preserve">Caixa líquido consumido pelas atividades de financiamento</t>
  </si>
  <si>
    <t xml:space="preserve">FC17</t>
  </si>
  <si>
    <t xml:space="preserve">Aumento (redução) líquido de caixa e equivalentes</t>
  </si>
  <si>
    <t xml:space="preserve">FC18</t>
  </si>
  <si>
    <t xml:space="preserve">Saldo inicial de caixa e equivalentes</t>
  </si>
  <si>
    <t xml:space="preserve">FC19</t>
  </si>
  <si>
    <t xml:space="preserve">Saldo final de caixa e equivalentes</t>
  </si>
  <si>
    <t xml:space="preserve">Operações após encargos e IR (calculado) − divulgado</t>
  </si>
  <si>
    <t xml:space="preserve">Oper. + invest. + financ. − variação líquida</t>
  </si>
  <si>
    <t xml:space="preserve">Saldo inicial + variação − saldo final</t>
  </si>
  <si>
    <t xml:space="preserve">Nota 11 — Ativo financeiro da concessão: movimentação (R$ mil, consolidado, não circulante)</t>
  </si>
  <si>
    <t xml:space="preserve">Fonte: DF25 CPFL.pdf, nota 11, p. física 68 / impressa 36 (tabela em imagem, lida a 200 dpi). Texto: baixas de 2025 = 113.091 (atualização) + 114.570 (ativo).</t>
  </si>
  <si>
    <t xml:space="preserve">Movimentação</t>
  </si>
  <si>
    <t xml:space="preserve">N1101</t>
  </si>
  <si>
    <t xml:space="preserve">Saldo inicial</t>
  </si>
  <si>
    <t xml:space="preserve">N1102</t>
  </si>
  <si>
    <t xml:space="preserve">Ajuste ao valor justo (VNR)</t>
  </si>
  <si>
    <t xml:space="preserve">N1103</t>
  </si>
  <si>
    <t xml:space="preserve">Transferência - ativo contratual</t>
  </si>
  <si>
    <t xml:space="preserve">N1104</t>
  </si>
  <si>
    <t xml:space="preserve">Transferência - intangível em serviço</t>
  </si>
  <si>
    <t xml:space="preserve">N1105</t>
  </si>
  <si>
    <t xml:space="preserve">Baixas</t>
  </si>
  <si>
    <t xml:space="preserve">Saldo final (calculado)</t>
  </si>
  <si>
    <t xml:space="preserve">Saldo final (divulgado)</t>
  </si>
  <si>
    <t xml:space="preserve">Baixa da atualização + baixa do ativo (texto da nota)</t>
  </si>
  <si>
    <t xml:space="preserve">Diferença vs. linha Baixas</t>
  </si>
  <si>
    <t xml:space="preserve">Ajuste VNR / lucro antes dos tributos (DRE)</t>
  </si>
  <si>
    <t xml:space="preserve">insumo PT 320/540</t>
  </si>
  <si>
    <t xml:space="preserve">Conciliações entre demonstrações e notas (todas por fórmula)</t>
  </si>
  <si>
    <t xml:space="preserve">Diferenças de ±1 a ±2 decorrem do arredondamento descrito na nota 2.4 da DF25 (p. física 46). Qualquer outra diferença deve ser investigada.</t>
  </si>
  <si>
    <t xml:space="preserve">Teste</t>
  </si>
  <si>
    <t xml:space="preserve">2025</t>
  </si>
  <si>
    <t xml:space="preserve">2024</t>
  </si>
  <si>
    <t xml:space="preserve">Critério</t>
  </si>
  <si>
    <t xml:space="preserve">Resultado esperado</t>
  </si>
  <si>
    <t xml:space="preserve">CC01</t>
  </si>
  <si>
    <t xml:space="preserve">Ativo total − (passivo + PL) [equação patrimonial]</t>
  </si>
  <si>
    <t xml:space="preserve">|dif| ≤ 2</t>
  </si>
  <si>
    <t xml:space="preserve">0 ou arredondamento</t>
  </si>
  <si>
    <t xml:space="preserve">CC02</t>
  </si>
  <si>
    <t xml:space="preserve">Lucro antes dos tributos: DRE − DFC</t>
  </si>
  <si>
    <t xml:space="preserve">CC03</t>
  </si>
  <si>
    <t xml:space="preserve">Caixa final DFC − caixa BP</t>
  </si>
  <si>
    <t xml:space="preserve">CC04</t>
  </si>
  <si>
    <t xml:space="preserve">Caixa inicial DFC 2025 − caixa BP 2024</t>
  </si>
  <si>
    <t xml:space="preserve">CC05</t>
  </si>
  <si>
    <t xml:space="preserve">Nota 11 saldo final − linha do BP (ativo financeiro da concessão)</t>
  </si>
  <si>
    <t xml:space="preserve">CC06</t>
  </si>
  <si>
    <t xml:space="preserve">Nota 11 saldo inicial 2025 − saldo final 2024</t>
  </si>
  <si>
    <t xml:space="preserve">CC07</t>
  </si>
  <si>
    <t xml:space="preserve">PDD: DRE (vendas) − DFC (ajuste)</t>
  </si>
  <si>
    <t xml:space="preserve">Indicadores-chave para PTs 320/520/570 (fórmulas)</t>
  </si>
  <si>
    <t xml:space="preserve">IN01</t>
  </si>
  <si>
    <t xml:space="preserve">Ativo financeiro da concessão / ativo total</t>
  </si>
  <si>
    <t xml:space="preserve">cálculo próprio — não é indicador divulgado</t>
  </si>
  <si>
    <t xml:space="preserve">IN02</t>
  </si>
  <si>
    <t xml:space="preserve">Liquidez corrente (AC/PC)</t>
  </si>
  <si>
    <t xml:space="preserve">IN03</t>
  </si>
  <si>
    <t xml:space="preserve">Dívida bruta (empréstimos + debêntures, CP+LP)</t>
  </si>
  <si>
    <t xml:space="preserve">IN04</t>
  </si>
  <si>
    <t xml:space="preserve">Margem líquida (LL/receita)</t>
  </si>
  <si>
    <t xml:space="preserve">IN05</t>
  </si>
  <si>
    <t xml:space="preserve">Variação da receita líquida 2025/2024</t>
  </si>
  <si>
    <t xml:space="preserve">Estrutura do grupo — nota 1 (participações em 31/12/2025)</t>
  </si>
  <si>
    <t xml:space="preserve">Fonte: DF25 CPFL.pdf, nota 1, p. física 41–42 / impressa 9–10 (tabela em imagem). Classificação contábil (controlada / controlada em conjunto / coligada) a confirmar na nota 13 no Bloco 05.</t>
  </si>
  <si>
    <t xml:space="preserve">Segmento</t>
  </si>
  <si>
    <t xml:space="preserve">Entidade</t>
  </si>
  <si>
    <t xml:space="preserve">Tipo</t>
  </si>
  <si>
    <t xml:space="preserve">Participação</t>
  </si>
  <si>
    <t xml:space="preserve">Localização</t>
  </si>
  <si>
    <t xml:space="preserve">Término da concessão / obs.</t>
  </si>
  <si>
    <t xml:space="preserve">Distribuição</t>
  </si>
  <si>
    <t xml:space="preserve">Companhia Paulista de Força e Luz (CPFL Paulista)</t>
  </si>
  <si>
    <t xml:space="preserve">S.A. aberta</t>
  </si>
  <si>
    <t xml:space="preserve">Direta 100%</t>
  </si>
  <si>
    <t xml:space="preserve">Interior de SP</t>
  </si>
  <si>
    <t xml:space="preserve">Novembro de 2027</t>
  </si>
  <si>
    <t xml:space="preserve">Companhia Piratininga de Força e Luz (CPFL Piratininga)</t>
  </si>
  <si>
    <t xml:space="preserve">Interior e litoral de SP</t>
  </si>
  <si>
    <t xml:space="preserve">Outubro de 2028</t>
  </si>
  <si>
    <t xml:space="preserve">RGE Sul Distribuidora de Energia S.A. (CPFL RGE)</t>
  </si>
  <si>
    <t xml:space="preserve">Direta e indireta 100%</t>
  </si>
  <si>
    <t xml:space="preserve">Interior do RS</t>
  </si>
  <si>
    <t xml:space="preserve">Companhia Jaguari de Energia (CPFL Santa Cruz)</t>
  </si>
  <si>
    <t xml:space="preserve">S.A. fechada</t>
  </si>
  <si>
    <t xml:space="preserve">SP, PR e MG</t>
  </si>
  <si>
    <t xml:space="preserve">Julho de 2045</t>
  </si>
  <si>
    <t xml:space="preserve">Geração</t>
  </si>
  <si>
    <t xml:space="preserve">CPFL Energias Renováveis S.A. (CPFL Renováveis)</t>
  </si>
  <si>
    <t xml:space="preserve">Vários estados</t>
  </si>
  <si>
    <t xml:space="preserve">103 empreendimentos; 2.905,7 MW</t>
  </si>
  <si>
    <t xml:space="preserve">CPFL Geração de Energia S.A.</t>
  </si>
  <si>
    <t xml:space="preserve">SP</t>
  </si>
  <si>
    <t xml:space="preserve">Incorporada pela CPFL Brasil em 02/02/2026 (nota 37.1)</t>
  </si>
  <si>
    <t xml:space="preserve">CERAN</t>
  </si>
  <si>
    <t xml:space="preserve">Indireta 65%</t>
  </si>
  <si>
    <t xml:space="preserve">RS</t>
  </si>
  <si>
    <t xml:space="preserve">3 UHEs</t>
  </si>
  <si>
    <t xml:space="preserve">Foz do Chapecó Energia S.A.</t>
  </si>
  <si>
    <t xml:space="preserve">Indireta 51% (c)</t>
  </si>
  <si>
    <t xml:space="preserve">SC e RS</t>
  </si>
  <si>
    <t xml:space="preserve">Controlada em conjunto via Chapecoense (nota 1c)</t>
  </si>
  <si>
    <t xml:space="preserve">Campos Novos Energia S.A. (ENERCAN)</t>
  </si>
  <si>
    <t xml:space="preserve">Indireta 52,12%</t>
  </si>
  <si>
    <t xml:space="preserve">SC</t>
  </si>
  <si>
    <t xml:space="preserve">BAESA - Energética Barra Grande S.A.</t>
  </si>
  <si>
    <t xml:space="preserve">Indireta 25,01%</t>
  </si>
  <si>
    <t xml:space="preserve">Paulista Lajeado Energia S.A.</t>
  </si>
  <si>
    <t xml:space="preserve">Indireta 56,93% (a)</t>
  </si>
  <si>
    <t xml:space="preserve">TO</t>
  </si>
  <si>
    <t xml:space="preserve">Transmissão</t>
  </si>
  <si>
    <t xml:space="preserve">CPFL Transmissão (antiga CEEE-T)</t>
  </si>
  <si>
    <t xml:space="preserve">Lote 3 Leilão 4/2025 arrematado em 31/10/2025</t>
  </si>
  <si>
    <t xml:space="preserve">CPFL Piracicaba, Morro Agudo, Maracanaú, Sul I, Sul II</t>
  </si>
  <si>
    <t xml:space="preserve">Ltda.</t>
  </si>
  <si>
    <t xml:space="preserve">Indireta 100%</t>
  </si>
  <si>
    <t xml:space="preserve">SP, CE, SC, RS</t>
  </si>
  <si>
    <t xml:space="preserve">TESB</t>
  </si>
  <si>
    <t xml:space="preserve">Indireta 98,01%</t>
  </si>
  <si>
    <t xml:space="preserve">TPAE</t>
  </si>
  <si>
    <t xml:space="preserve">Indireta 9,65%</t>
  </si>
  <si>
    <t xml:space="preserve">ETAU</t>
  </si>
  <si>
    <t xml:space="preserve">Indireta 10%</t>
  </si>
  <si>
    <t xml:space="preserve">Comercialização</t>
  </si>
  <si>
    <t xml:space="preserve">CPFL Comercialização Brasil S.A. (CPFL Brasil)</t>
  </si>
  <si>
    <t xml:space="preserve">—</t>
  </si>
  <si>
    <t xml:space="preserve">Sucessora da CPFL Geração (2026)</t>
  </si>
  <si>
    <t xml:space="preserve">CPFL Meridional, CPFL Planalto, CPFL Brasil Varejista</t>
  </si>
  <si>
    <t xml:space="preserve">100% (direta/indireta)</t>
  </si>
  <si>
    <t xml:space="preserve">Relatório do auditor independente sobre as DF 2025 (fonte pública — não é procedimento do aluno)</t>
  </si>
  <si>
    <t xml:space="preserve">Leitura do relatório real da PwC. Os procedimentos descritos nele foram executados pela PwC, não por este trabalho acadêmico.</t>
  </si>
  <si>
    <t xml:space="preserve">Item</t>
  </si>
  <si>
    <t xml:space="preserve">Conteúdo</t>
  </si>
  <si>
    <t xml:space="preserve">Firma</t>
  </si>
  <si>
    <t xml:space="preserve">PricewaterhouseCoopers Auditores Independentes Ltda. (CRC 2SP027613/F-1), Campinas/SP</t>
  </si>
  <si>
    <t xml:space="preserve">relatório</t>
  </si>
  <si>
    <t xml:space="preserve">Data do relatório</t>
  </si>
  <si>
    <t xml:space="preserve">Campinas, 4 de março de 2026</t>
  </si>
  <si>
    <t xml:space="preserve">Opinião</t>
  </si>
  <si>
    <t xml:space="preserve">Sem modificação — demonstrações individuais e consolidadas apresentam adequadamente, em todos os aspectos relevantes, conforme BR GAAP e IFRS</t>
  </si>
  <si>
    <t xml:space="preserve">Base da opinião</t>
  </si>
  <si>
    <t xml:space="preserve">Normas brasileiras e internacionais de auditoria; independência conforme Código de Ética do CFC (entidades de interesse público)</t>
  </si>
  <si>
    <t xml:space="preserve">PAA 1</t>
  </si>
  <si>
    <t xml:space="preserve">Mensuração do ativo contratual das transmissoras e receita de remuneração/atualização (notas 3.2 e 15)</t>
  </si>
  <si>
    <t xml:space="preserve">PAA 2</t>
  </si>
  <si>
    <t xml:space="preserve">Receita de energia fornecida e não faturada (notas 3.11 e 7): R$ 1.763.858 mil em 31/12/2025; PwC envolveu especialistas de TI e recalculou</t>
  </si>
  <si>
    <t xml:space="preserve">PAA 3</t>
  </si>
  <si>
    <t xml:space="preserve">Mensuração e classificação do ativo financeiro da concessão (R$ 29.623.619 mil), ativo contratual (R$ 4.760.953 mil) e infraestrutura de distribuição em serviço (R$ 3.935.652 mil) (notas 11, 15, 16)</t>
  </si>
  <si>
    <t xml:space="preserve">Outros assuntos</t>
  </si>
  <si>
    <t xml:space="preserve">Demonstrações do Valor Adicionado (DVA) examinadas como informação suplementar (CPC 09)</t>
  </si>
  <si>
    <t xml:space="preserve">Ênfase / ressalva</t>
  </si>
  <si>
    <t xml:space="preserve">Nenhum parágrafo de ênfase ou ressalva identificado na leitura do texto das p. 26–32</t>
  </si>
  <si>
    <t xml:space="preserve">Aprovação das DF</t>
  </si>
  <si>
    <t xml:space="preserve">Autorização pela administração em 23/02/2026; aprovação pelo Conselho de Administração em 04/03/2026 (nota 2.1)</t>
  </si>
  <si>
    <t xml:space="preserve">FONTES_USADAS — Bloco 02</t>
  </si>
  <si>
    <t xml:space="preserve">Fonte = documento efetivamente aberto nesta sessão. URL de portal só como localizador. IDs F01–F20 (etapa 5) preservados; FC = fontes centrais do Bloco 01.</t>
  </si>
  <si>
    <t xml:space="preserve">Versão / exercício</t>
  </si>
  <si>
    <t xml:space="preserve">Local</t>
  </si>
  <si>
    <t xml:space="preserve">URL</t>
  </si>
  <si>
    <t xml:space="preserve">Data de acesso</t>
  </si>
  <si>
    <t xml:space="preserve">Páginas usadas</t>
  </si>
  <si>
    <t xml:space="preserve">Uso</t>
  </si>
  <si>
    <t xml:space="preserve">Observação</t>
  </si>
  <si>
    <t xml:space="preserve">FC01=F01</t>
  </si>
  <si>
    <t xml:space="preserve">DF25 CPFL.pdf — DF individuais e consolidadas 2025 + relatório PwC</t>
  </si>
  <si>
    <t xml:space="preserve">Exercício 2025 (comparativo 2024); 115 p.; SHA-256 0694f2b9…a578</t>
  </si>
  <si>
    <t xml:space="preserve">Drive 01_Demonstracoes (ID 1JcqtNdI-70DCaukfmVni-rR-nQbzW25h)</t>
  </si>
  <si>
    <t xml:space="preserve">https://publicidadelegal.valor.com.br/valor/2026/03/20/CPFLENERGIA1588267020032026.pdf (publicação legal registrada no controle; não reaberta)</t>
  </si>
  <si>
    <t xml:space="preserve">22/10/2026</t>
  </si>
  <si>
    <t xml:space="preserve">26–36, 39, 41–42, 45–46, 68, 113–115</t>
  </si>
  <si>
    <t xml:space="preserve">Saldos, notas 1, 2, 11, 37; relatório do auditor</t>
  </si>
  <si>
    <t xml:space="preserve">Data de acesso = abertura do arquivo do Drive; origem web original não comprovada nesta sessão</t>
  </si>
  <si>
    <t xml:space="preserve">FR_CPFL Energia 2025_V6_06-04-26_PT.pdf — Formulário de Referência 2025, versão 6</t>
  </si>
  <si>
    <t xml:space="preserve">FR 2025 v6</t>
  </si>
  <si>
    <t xml:space="preserve">Drive 03 (ID 12xVd4uA7Fj9cwYYlC3hYPGFw0PSJDb-d)</t>
  </si>
  <si>
    <t xml:space="preserve">https://www.rad.cvm.gov.br/ENETWEB/frmConsultaExternaCVM.aspx (portal)</t>
  </si>
  <si>
    <t xml:space="preserve">Item 1.1, p. 1 (numeração do FR)</t>
  </si>
  <si>
    <t xml:space="preserve">Histórico: 'anteriormente denominada Draft II'; NYSE/ADS deslistado em 2020; controle State Grid</t>
  </si>
  <si>
    <t xml:space="preserve">ARQUIVO TRUNCADO: 16.777.216 bytes; texto termina no item 2.1 (DV15)</t>
  </si>
  <si>
    <t xml:space="preserve">Enunciado P2 (texto do aluno)</t>
  </si>
  <si>
    <t xml:space="preserve">2026.2</t>
  </si>
  <si>
    <t xml:space="preserve">Conversa</t>
  </si>
  <si>
    <t xml:space="preserve">Escopo</t>
  </si>
  <si>
    <t xml:space="preserve">Divergências identificadas no Bloco 02</t>
  </si>
  <si>
    <t xml:space="preserve">Continuação de DV01–DV11 (Bloco 01).</t>
  </si>
  <si>
    <t xml:space="preserve">Origem (controle antigo)</t>
  </si>
  <si>
    <t xml:space="preserve">Fonte primária</t>
  </si>
  <si>
    <t xml:space="preserve">Impacto</t>
  </si>
  <si>
    <t xml:space="preserve">Tratamento</t>
  </si>
  <si>
    <t xml:space="preserve">Estado</t>
  </si>
  <si>
    <t xml:space="preserve">DV12</t>
  </si>
  <si>
    <t xml:space="preserve">00_CONTROLE: despesas com vendas 2025 = (986.664)</t>
  </si>
  <si>
    <t xml:space="preserve">DF25 p. física 36: (985.664)</t>
  </si>
  <si>
    <t xml:space="preserve">R$ 1.000 mil; não altera LAIR (controle tinha LAIR correto)</t>
  </si>
  <si>
    <t xml:space="preserve">Usar 985.664</t>
  </si>
  <si>
    <t xml:space="preserve">Resolvida</t>
  </si>
  <si>
    <t xml:space="preserve">DV13</t>
  </si>
  <si>
    <t xml:space="preserve">00_CONTROLE: resultado do serviço 2025 = 10.776.490</t>
  </si>
  <si>
    <t xml:space="preserve">DF25 p. física 36: 10.778.490</t>
  </si>
  <si>
    <t xml:space="preserve">R$ 2.000 mil em subtotal; LAIR e LL corretos no controle</t>
  </si>
  <si>
    <t xml:space="preserve">Usar 10.778.490</t>
  </si>
  <si>
    <t xml:space="preserve">DV14</t>
  </si>
  <si>
    <t xml:space="preserve">00_CONTROLE seção 3: nome anterior 'Draftll Participações S.A.'</t>
  </si>
  <si>
    <t xml:space="preserve">FR 2025 v6, item 1.1, p. 1: 'anteriormente denominada Draft II'</t>
  </si>
  <si>
    <t xml:space="preserve">Identificação societária (exigência do enunciado)</t>
  </si>
  <si>
    <t xml:space="preserve">Usar 'Draft II' como consta no FR; confirmar grafia completa no cadastro CVM quando acessível (PB02-02)</t>
  </si>
  <si>
    <t xml:space="preserve">Parcial</t>
  </si>
  <si>
    <t xml:space="preserve">DV15</t>
  </si>
  <si>
    <t xml:space="preserve">FR 2025 e FR 2026 no Drive com 16.777.216 bytes (16 MiB exatos)</t>
  </si>
  <si>
    <t xml:space="preserve">Texto do FR 2025 termina no item 2.1 (índice prevê 13 seções, ~296 p.)</t>
  </si>
  <si>
    <t xml:space="preserve">FR incompleto: itens 4 (riscos), 9 (auditores), 11 (partes relacionadas), 15 (controle) indisponíveis</t>
  </si>
  <si>
    <t xml:space="preserve">Usar apenas o trecho legível; baixar versão íntegra (ENET/RI) quando houver rota (PB02-03)</t>
  </si>
  <si>
    <t xml:space="preserve">Aberta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</si>
</sst>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9"/>
      <color rgb="FF7F6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6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8" min="7" style="0" width="9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9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22.3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customFormat="false" ht="15" hidden="false" customHeight="false" outlineLevel="0" collapsed="false">
      <c r="B5" s="5" t="s">
        <v>12</v>
      </c>
    </row>
    <row r="6" customFormat="false" ht="15" hidden="false" customHeight="false" outlineLevel="0" collapsed="false">
      <c r="A6" s="6" t="s">
        <v>13</v>
      </c>
      <c r="B6" s="6" t="s">
        <v>14</v>
      </c>
      <c r="C6" s="6" t="n">
        <v>5</v>
      </c>
      <c r="D6" s="7" t="n">
        <v>2229320</v>
      </c>
      <c r="E6" s="7" t="n">
        <v>1973401</v>
      </c>
      <c r="F6" s="6" t="s">
        <v>15</v>
      </c>
      <c r="G6" s="6" t="n">
        <v>34</v>
      </c>
      <c r="H6" s="6" t="n">
        <v>2</v>
      </c>
      <c r="I6" s="6" t="s">
        <v>16</v>
      </c>
    </row>
    <row r="7" customFormat="false" ht="15" hidden="false" customHeight="false" outlineLevel="0" collapsed="false">
      <c r="A7" s="6" t="s">
        <v>17</v>
      </c>
      <c r="B7" s="6" t="s">
        <v>18</v>
      </c>
      <c r="C7" s="6" t="n">
        <v>6</v>
      </c>
      <c r="D7" s="7" t="n">
        <v>675762</v>
      </c>
      <c r="E7" s="7" t="n">
        <v>1573654</v>
      </c>
      <c r="F7" s="6" t="s">
        <v>15</v>
      </c>
      <c r="G7" s="6" t="n">
        <v>34</v>
      </c>
      <c r="H7" s="6" t="n">
        <v>2</v>
      </c>
      <c r="I7" s="6" t="s">
        <v>16</v>
      </c>
    </row>
    <row r="8" customFormat="false" ht="15" hidden="false" customHeight="false" outlineLevel="0" collapsed="false">
      <c r="A8" s="6" t="s">
        <v>19</v>
      </c>
      <c r="B8" s="6" t="s">
        <v>20</v>
      </c>
      <c r="C8" s="6" t="n">
        <v>7</v>
      </c>
      <c r="D8" s="7" t="n">
        <v>6244460</v>
      </c>
      <c r="E8" s="7" t="n">
        <v>5883894</v>
      </c>
      <c r="F8" s="6" t="s">
        <v>15</v>
      </c>
      <c r="G8" s="6" t="n">
        <v>34</v>
      </c>
      <c r="H8" s="6" t="n">
        <v>2</v>
      </c>
      <c r="I8" s="6" t="s">
        <v>16</v>
      </c>
    </row>
    <row r="9" customFormat="false" ht="15" hidden="false" customHeight="false" outlineLevel="0" collapsed="false">
      <c r="A9" s="6" t="s">
        <v>21</v>
      </c>
      <c r="B9" s="6" t="s">
        <v>22</v>
      </c>
      <c r="C9" s="6"/>
      <c r="D9" s="7" t="n">
        <v>236566</v>
      </c>
      <c r="E9" s="7" t="n">
        <v>221573</v>
      </c>
      <c r="F9" s="6" t="s">
        <v>15</v>
      </c>
      <c r="G9" s="6" t="n">
        <v>34</v>
      </c>
      <c r="H9" s="6" t="n">
        <v>2</v>
      </c>
      <c r="I9" s="6" t="s">
        <v>16</v>
      </c>
    </row>
    <row r="10" customFormat="false" ht="15" hidden="false" customHeight="false" outlineLevel="0" collapsed="false">
      <c r="A10" s="6" t="s">
        <v>23</v>
      </c>
      <c r="B10" s="6" t="s">
        <v>24</v>
      </c>
      <c r="C10" s="6"/>
      <c r="D10" s="7" t="n">
        <v>14712</v>
      </c>
      <c r="E10" s="7" t="n">
        <v>19115</v>
      </c>
      <c r="F10" s="6" t="s">
        <v>15</v>
      </c>
      <c r="G10" s="6" t="n">
        <v>34</v>
      </c>
      <c r="H10" s="6" t="n">
        <v>2</v>
      </c>
      <c r="I10" s="6" t="s">
        <v>16</v>
      </c>
    </row>
    <row r="11" customFormat="false" ht="15" hidden="false" customHeight="false" outlineLevel="0" collapsed="false">
      <c r="A11" s="6" t="s">
        <v>25</v>
      </c>
      <c r="B11" s="6" t="s">
        <v>26</v>
      </c>
      <c r="C11" s="6" t="n">
        <v>8</v>
      </c>
      <c r="D11" s="7" t="n">
        <v>528584</v>
      </c>
      <c r="E11" s="7" t="n">
        <v>715764</v>
      </c>
      <c r="F11" s="6" t="s">
        <v>15</v>
      </c>
      <c r="G11" s="6" t="n">
        <v>34</v>
      </c>
      <c r="H11" s="6" t="n">
        <v>2</v>
      </c>
      <c r="I11" s="6" t="s">
        <v>16</v>
      </c>
    </row>
    <row r="12" customFormat="false" ht="15" hidden="false" customHeight="false" outlineLevel="0" collapsed="false">
      <c r="A12" s="6" t="s">
        <v>27</v>
      </c>
      <c r="B12" s="6" t="s">
        <v>28</v>
      </c>
      <c r="C12" s="6" t="n">
        <v>8</v>
      </c>
      <c r="D12" s="7" t="n">
        <v>693224</v>
      </c>
      <c r="E12" s="7" t="n">
        <v>653181</v>
      </c>
      <c r="F12" s="6" t="s">
        <v>15</v>
      </c>
      <c r="G12" s="6" t="n">
        <v>34</v>
      </c>
      <c r="H12" s="6" t="n">
        <v>2</v>
      </c>
      <c r="I12" s="6" t="s">
        <v>16</v>
      </c>
    </row>
    <row r="13" customFormat="false" ht="15" hidden="false" customHeight="false" outlineLevel="0" collapsed="false">
      <c r="A13" s="6" t="s">
        <v>29</v>
      </c>
      <c r="B13" s="6" t="s">
        <v>30</v>
      </c>
      <c r="C13" s="6" t="n">
        <v>8</v>
      </c>
      <c r="D13" s="7" t="n">
        <v>1844885</v>
      </c>
      <c r="E13" s="7" t="n">
        <v>1919127</v>
      </c>
      <c r="F13" s="6" t="s">
        <v>15</v>
      </c>
      <c r="G13" s="6" t="n">
        <v>34</v>
      </c>
      <c r="H13" s="6" t="n">
        <v>2</v>
      </c>
      <c r="I13" s="6" t="s">
        <v>16</v>
      </c>
    </row>
    <row r="14" customFormat="false" ht="15" hidden="false" customHeight="false" outlineLevel="0" collapsed="false">
      <c r="A14" s="6" t="s">
        <v>31</v>
      </c>
      <c r="B14" s="6" t="s">
        <v>32</v>
      </c>
      <c r="C14" s="6" t="n">
        <v>34</v>
      </c>
      <c r="D14" s="7" t="n">
        <v>4513</v>
      </c>
      <c r="E14" s="7" t="n">
        <v>915621</v>
      </c>
      <c r="F14" s="6" t="s">
        <v>15</v>
      </c>
      <c r="G14" s="6" t="n">
        <v>34</v>
      </c>
      <c r="H14" s="6" t="n">
        <v>2</v>
      </c>
      <c r="I14" s="6" t="s">
        <v>16</v>
      </c>
    </row>
    <row r="15" customFormat="false" ht="15" hidden="false" customHeight="false" outlineLevel="0" collapsed="false">
      <c r="A15" s="6" t="s">
        <v>33</v>
      </c>
      <c r="B15" s="6" t="s">
        <v>34</v>
      </c>
      <c r="C15" s="6" t="n">
        <v>9</v>
      </c>
      <c r="D15" s="7" t="n">
        <v>1442244</v>
      </c>
      <c r="E15" s="7" t="n">
        <v>393443</v>
      </c>
      <c r="F15" s="6" t="s">
        <v>15</v>
      </c>
      <c r="G15" s="6" t="n">
        <v>34</v>
      </c>
      <c r="H15" s="6" t="n">
        <v>2</v>
      </c>
      <c r="I15" s="6" t="s">
        <v>16</v>
      </c>
    </row>
    <row r="16" customFormat="false" ht="15" hidden="false" customHeight="false" outlineLevel="0" collapsed="false">
      <c r="A16" s="6" t="s">
        <v>35</v>
      </c>
      <c r="B16" s="6" t="s">
        <v>36</v>
      </c>
      <c r="C16" s="6" t="n">
        <v>15</v>
      </c>
      <c r="D16" s="7" t="n">
        <v>872283</v>
      </c>
      <c r="E16" s="7" t="n">
        <v>774368</v>
      </c>
      <c r="F16" s="6" t="s">
        <v>15</v>
      </c>
      <c r="G16" s="6" t="n">
        <v>34</v>
      </c>
      <c r="H16" s="6" t="n">
        <v>2</v>
      </c>
      <c r="I16" s="6" t="s">
        <v>16</v>
      </c>
    </row>
    <row r="17" customFormat="false" ht="15" hidden="false" customHeight="false" outlineLevel="0" collapsed="false">
      <c r="A17" s="6" t="s">
        <v>37</v>
      </c>
      <c r="B17" s="6" t="s">
        <v>38</v>
      </c>
      <c r="C17" s="6" t="n">
        <v>12</v>
      </c>
      <c r="D17" s="7" t="n">
        <v>1829761</v>
      </c>
      <c r="E17" s="7" t="n">
        <v>1508406</v>
      </c>
      <c r="F17" s="6" t="s">
        <v>15</v>
      </c>
      <c r="G17" s="6" t="n">
        <v>34</v>
      </c>
      <c r="H17" s="6" t="n">
        <v>2</v>
      </c>
      <c r="I17" s="6" t="s">
        <v>16</v>
      </c>
    </row>
    <row r="18" customFormat="false" ht="15" hidden="false" customHeight="false" outlineLevel="0" collapsed="false">
      <c r="B18" s="5" t="s">
        <v>39</v>
      </c>
      <c r="D18" s="8" t="n">
        <f aca="false">SUM(D6:D17)</f>
        <v>16616314</v>
      </c>
      <c r="E18" s="8" t="n">
        <f aca="false">SUM(E6:E17)</f>
        <v>16551547</v>
      </c>
      <c r="F18" s="6" t="s">
        <v>40</v>
      </c>
    </row>
    <row r="19" customFormat="false" ht="15" hidden="false" customHeight="false" outlineLevel="0" collapsed="false">
      <c r="B19" s="5" t="s">
        <v>41</v>
      </c>
      <c r="D19" s="9" t="n">
        <v>16616314</v>
      </c>
      <c r="E19" s="9" t="n">
        <v>16551546</v>
      </c>
      <c r="F19" s="6" t="s">
        <v>15</v>
      </c>
      <c r="G19" s="6" t="n">
        <v>34</v>
      </c>
      <c r="H19" s="6" t="n">
        <v>2</v>
      </c>
    </row>
    <row r="20" customFormat="false" ht="15" hidden="false" customHeight="false" outlineLevel="0" collapsed="false">
      <c r="B20" s="10" t="s">
        <v>42</v>
      </c>
      <c r="D20" s="11" t="n">
        <f aca="false">D18-D19</f>
        <v>0</v>
      </c>
      <c r="E20" s="11" t="n">
        <f aca="false">E18-E19</f>
        <v>1</v>
      </c>
      <c r="F20" s="6" t="s">
        <v>43</v>
      </c>
    </row>
    <row r="22" customFormat="false" ht="15" hidden="false" customHeight="false" outlineLevel="0" collapsed="false">
      <c r="B22" s="5" t="s">
        <v>44</v>
      </c>
    </row>
    <row r="23" customFormat="false" ht="15" hidden="false" customHeight="false" outlineLevel="0" collapsed="false">
      <c r="A23" s="6" t="s">
        <v>45</v>
      </c>
      <c r="B23" s="6" t="s">
        <v>20</v>
      </c>
      <c r="C23" s="6" t="n">
        <v>7</v>
      </c>
      <c r="D23" s="7" t="n">
        <v>133102</v>
      </c>
      <c r="E23" s="7" t="n">
        <v>186371</v>
      </c>
      <c r="F23" s="6" t="s">
        <v>15</v>
      </c>
      <c r="G23" s="6" t="n">
        <v>34</v>
      </c>
      <c r="H23" s="6" t="n">
        <v>2</v>
      </c>
      <c r="I23" s="6" t="s">
        <v>16</v>
      </c>
    </row>
    <row r="24" customFormat="false" ht="15" hidden="false" customHeight="false" outlineLevel="0" collapsed="false">
      <c r="A24" s="6" t="s">
        <v>46</v>
      </c>
      <c r="B24" s="6" t="s">
        <v>47</v>
      </c>
      <c r="C24" s="6" t="n">
        <v>22</v>
      </c>
      <c r="D24" s="7" t="n">
        <v>805776</v>
      </c>
      <c r="E24" s="7" t="n">
        <v>749936</v>
      </c>
      <c r="F24" s="6" t="s">
        <v>15</v>
      </c>
      <c r="G24" s="6" t="n">
        <v>34</v>
      </c>
      <c r="H24" s="6" t="n">
        <v>2</v>
      </c>
      <c r="I24" s="6" t="s">
        <v>16</v>
      </c>
    </row>
    <row r="25" customFormat="false" ht="15" hidden="false" customHeight="false" outlineLevel="0" collapsed="false">
      <c r="A25" s="6" t="s">
        <v>48</v>
      </c>
      <c r="B25" s="6" t="s">
        <v>26</v>
      </c>
      <c r="C25" s="6" t="n">
        <v>8</v>
      </c>
      <c r="D25" s="7" t="n">
        <v>447583</v>
      </c>
      <c r="E25" s="7" t="n">
        <v>503271</v>
      </c>
      <c r="F25" s="6" t="s">
        <v>15</v>
      </c>
      <c r="G25" s="6" t="n">
        <v>34</v>
      </c>
      <c r="H25" s="6" t="n">
        <v>2</v>
      </c>
      <c r="I25" s="6" t="s">
        <v>16</v>
      </c>
    </row>
    <row r="26" customFormat="false" ht="15" hidden="false" customHeight="false" outlineLevel="0" collapsed="false">
      <c r="A26" s="6" t="s">
        <v>49</v>
      </c>
      <c r="B26" s="6" t="s">
        <v>28</v>
      </c>
      <c r="C26" s="6" t="n">
        <v>8</v>
      </c>
      <c r="D26" s="7" t="n">
        <v>440936</v>
      </c>
      <c r="E26" s="7" t="n">
        <v>479460</v>
      </c>
      <c r="F26" s="6" t="s">
        <v>15</v>
      </c>
      <c r="G26" s="6" t="n">
        <v>34</v>
      </c>
      <c r="H26" s="6" t="n">
        <v>2</v>
      </c>
      <c r="I26" s="6" t="s">
        <v>16</v>
      </c>
    </row>
    <row r="27" customFormat="false" ht="15" hidden="false" customHeight="false" outlineLevel="0" collapsed="false">
      <c r="A27" s="6" t="s">
        <v>50</v>
      </c>
      <c r="B27" s="6" t="s">
        <v>30</v>
      </c>
      <c r="C27" s="6" t="n">
        <v>8</v>
      </c>
      <c r="D27" s="7" t="n">
        <v>2251657</v>
      </c>
      <c r="E27" s="7" t="n">
        <v>3652513</v>
      </c>
      <c r="F27" s="6" t="s">
        <v>15</v>
      </c>
      <c r="G27" s="6" t="n">
        <v>34</v>
      </c>
      <c r="H27" s="6" t="n">
        <v>2</v>
      </c>
      <c r="I27" s="6" t="s">
        <v>16</v>
      </c>
    </row>
    <row r="28" customFormat="false" ht="15" hidden="false" customHeight="false" outlineLevel="0" collapsed="false">
      <c r="A28" s="6" t="s">
        <v>51</v>
      </c>
      <c r="B28" s="6" t="s">
        <v>34</v>
      </c>
      <c r="C28" s="6" t="n">
        <v>9</v>
      </c>
      <c r="D28" s="7" t="n">
        <v>960063</v>
      </c>
      <c r="E28" s="7" t="n">
        <v>337522</v>
      </c>
      <c r="F28" s="6" t="s">
        <v>15</v>
      </c>
      <c r="G28" s="6" t="n">
        <v>34</v>
      </c>
      <c r="H28" s="6" t="n">
        <v>2</v>
      </c>
      <c r="I28" s="6" t="s">
        <v>16</v>
      </c>
    </row>
    <row r="29" customFormat="false" ht="15" hidden="false" customHeight="false" outlineLevel="0" collapsed="false">
      <c r="A29" s="6" t="s">
        <v>52</v>
      </c>
      <c r="B29" s="6" t="s">
        <v>32</v>
      </c>
      <c r="C29" s="6" t="n">
        <v>34</v>
      </c>
      <c r="D29" s="7" t="n">
        <v>591350</v>
      </c>
      <c r="E29" s="7" t="n">
        <v>193542</v>
      </c>
      <c r="F29" s="6" t="s">
        <v>15</v>
      </c>
      <c r="G29" s="6" t="n">
        <v>34</v>
      </c>
      <c r="H29" s="6" t="n">
        <v>2</v>
      </c>
      <c r="I29" s="6" t="s">
        <v>16</v>
      </c>
    </row>
    <row r="30" customFormat="false" ht="15" hidden="false" customHeight="false" outlineLevel="0" collapsed="false">
      <c r="A30" s="6" t="s">
        <v>53</v>
      </c>
      <c r="B30" s="6" t="s">
        <v>54</v>
      </c>
      <c r="C30" s="6" t="n">
        <v>10</v>
      </c>
      <c r="D30" s="7" t="n">
        <v>202046</v>
      </c>
      <c r="E30" s="7" t="n">
        <v>266798</v>
      </c>
      <c r="F30" s="6" t="s">
        <v>15</v>
      </c>
      <c r="G30" s="6" t="n">
        <v>34</v>
      </c>
      <c r="H30" s="6" t="n">
        <v>2</v>
      </c>
      <c r="I30" s="6" t="s">
        <v>16</v>
      </c>
    </row>
    <row r="31" customFormat="false" ht="15" hidden="false" customHeight="false" outlineLevel="0" collapsed="false">
      <c r="A31" s="6" t="s">
        <v>55</v>
      </c>
      <c r="B31" s="6" t="s">
        <v>56</v>
      </c>
      <c r="C31" s="6" t="n">
        <v>11</v>
      </c>
      <c r="D31" s="7" t="n">
        <v>29623619</v>
      </c>
      <c r="E31" s="7" t="n">
        <v>25209768</v>
      </c>
      <c r="F31" s="6" t="s">
        <v>15</v>
      </c>
      <c r="G31" s="6" t="n">
        <v>34</v>
      </c>
      <c r="H31" s="6" t="n">
        <v>2</v>
      </c>
      <c r="I31" s="6" t="s">
        <v>16</v>
      </c>
    </row>
    <row r="32" customFormat="false" ht="15" hidden="false" customHeight="false" outlineLevel="0" collapsed="false">
      <c r="A32" s="6" t="s">
        <v>57</v>
      </c>
      <c r="B32" s="6" t="s">
        <v>58</v>
      </c>
      <c r="C32" s="6"/>
      <c r="D32" s="7" t="n">
        <v>129659</v>
      </c>
      <c r="E32" s="7" t="n">
        <v>144961</v>
      </c>
      <c r="F32" s="6" t="s">
        <v>15</v>
      </c>
      <c r="G32" s="6" t="n">
        <v>34</v>
      </c>
      <c r="H32" s="6" t="n">
        <v>2</v>
      </c>
      <c r="I32" s="6" t="s">
        <v>16</v>
      </c>
    </row>
    <row r="33" customFormat="false" ht="15" hidden="false" customHeight="false" outlineLevel="0" collapsed="false">
      <c r="A33" s="6" t="s">
        <v>59</v>
      </c>
      <c r="B33" s="6" t="s">
        <v>38</v>
      </c>
      <c r="C33" s="6" t="n">
        <v>12</v>
      </c>
      <c r="D33" s="7" t="n">
        <v>261064</v>
      </c>
      <c r="E33" s="7" t="n">
        <v>331087</v>
      </c>
      <c r="F33" s="6" t="s">
        <v>15</v>
      </c>
      <c r="G33" s="6" t="n">
        <v>34</v>
      </c>
      <c r="H33" s="6" t="n">
        <v>2</v>
      </c>
      <c r="I33" s="6" t="s">
        <v>16</v>
      </c>
    </row>
    <row r="34" customFormat="false" ht="15" hidden="false" customHeight="false" outlineLevel="0" collapsed="false">
      <c r="A34" s="6" t="s">
        <v>60</v>
      </c>
      <c r="B34" s="6" t="s">
        <v>61</v>
      </c>
      <c r="C34" s="6" t="n">
        <v>13</v>
      </c>
      <c r="D34" s="7" t="n">
        <v>380803</v>
      </c>
      <c r="E34" s="7" t="n">
        <v>581364</v>
      </c>
      <c r="F34" s="6" t="s">
        <v>15</v>
      </c>
      <c r="G34" s="6" t="n">
        <v>34</v>
      </c>
      <c r="H34" s="6" t="n">
        <v>2</v>
      </c>
      <c r="I34" s="6" t="s">
        <v>16</v>
      </c>
    </row>
    <row r="35" customFormat="false" ht="15" hidden="false" customHeight="false" outlineLevel="0" collapsed="false">
      <c r="A35" s="6" t="s">
        <v>62</v>
      </c>
      <c r="B35" s="6" t="s">
        <v>63</v>
      </c>
      <c r="C35" s="6" t="n">
        <v>14</v>
      </c>
      <c r="D35" s="7" t="n">
        <v>9375879</v>
      </c>
      <c r="E35" s="7" t="n">
        <v>9752282</v>
      </c>
      <c r="F35" s="6" t="s">
        <v>15</v>
      </c>
      <c r="G35" s="6" t="n">
        <v>34</v>
      </c>
      <c r="H35" s="6" t="n">
        <v>2</v>
      </c>
      <c r="I35" s="6" t="s">
        <v>16</v>
      </c>
    </row>
    <row r="36" customFormat="false" ht="15" hidden="false" customHeight="false" outlineLevel="0" collapsed="false">
      <c r="A36" s="6" t="s">
        <v>64</v>
      </c>
      <c r="B36" s="6" t="s">
        <v>65</v>
      </c>
      <c r="C36" s="6" t="n">
        <v>16</v>
      </c>
      <c r="D36" s="7" t="n">
        <v>6892839</v>
      </c>
      <c r="E36" s="7" t="n">
        <v>7824433</v>
      </c>
      <c r="F36" s="6" t="s">
        <v>15</v>
      </c>
      <c r="G36" s="6" t="n">
        <v>34</v>
      </c>
      <c r="H36" s="6" t="n">
        <v>2</v>
      </c>
      <c r="I36" s="6" t="s">
        <v>16</v>
      </c>
    </row>
    <row r="37" customFormat="false" ht="15" hidden="false" customHeight="false" outlineLevel="0" collapsed="false">
      <c r="A37" s="6" t="s">
        <v>66</v>
      </c>
      <c r="B37" s="6" t="s">
        <v>36</v>
      </c>
      <c r="C37" s="6" t="n">
        <v>15</v>
      </c>
      <c r="D37" s="7" t="n">
        <v>11987240</v>
      </c>
      <c r="E37" s="7" t="n">
        <v>10364338</v>
      </c>
      <c r="F37" s="6" t="s">
        <v>15</v>
      </c>
      <c r="G37" s="6" t="n">
        <v>34</v>
      </c>
      <c r="H37" s="6" t="n">
        <v>2</v>
      </c>
      <c r="I37" s="6" t="s">
        <v>16</v>
      </c>
    </row>
    <row r="38" customFormat="false" ht="15" hidden="false" customHeight="false" outlineLevel="0" collapsed="false">
      <c r="B38" s="5" t="s">
        <v>67</v>
      </c>
      <c r="D38" s="8" t="n">
        <f aca="false">SUM(D23:D37)</f>
        <v>64483616</v>
      </c>
      <c r="E38" s="8" t="n">
        <f aca="false">SUM(E23:E37)</f>
        <v>60577646</v>
      </c>
      <c r="F38" s="6" t="s">
        <v>40</v>
      </c>
    </row>
    <row r="39" customFormat="false" ht="15" hidden="false" customHeight="false" outlineLevel="0" collapsed="false">
      <c r="B39" s="5" t="s">
        <v>68</v>
      </c>
      <c r="D39" s="9" t="n">
        <v>64483616</v>
      </c>
      <c r="E39" s="9" t="n">
        <v>60577648</v>
      </c>
      <c r="F39" s="6" t="s">
        <v>15</v>
      </c>
      <c r="G39" s="6" t="n">
        <v>34</v>
      </c>
      <c r="H39" s="6" t="n">
        <v>2</v>
      </c>
    </row>
    <row r="40" customFormat="false" ht="15" hidden="false" customHeight="false" outlineLevel="0" collapsed="false">
      <c r="B40" s="10" t="s">
        <v>42</v>
      </c>
      <c r="D40" s="11" t="n">
        <f aca="false">D38-D39</f>
        <v>0</v>
      </c>
      <c r="E40" s="11" t="n">
        <f aca="false">E38-E39</f>
        <v>-2</v>
      </c>
      <c r="F40" s="6" t="s">
        <v>43</v>
      </c>
    </row>
    <row r="42" customFormat="false" ht="15" hidden="false" customHeight="false" outlineLevel="0" collapsed="false">
      <c r="B42" s="5" t="s">
        <v>69</v>
      </c>
      <c r="D42" s="8" t="n">
        <f aca="false">D19+D39</f>
        <v>81099930</v>
      </c>
      <c r="E42" s="8" t="n">
        <f aca="false">E19+E39</f>
        <v>77129194</v>
      </c>
      <c r="F42" s="6" t="s">
        <v>40</v>
      </c>
    </row>
    <row r="43" customFormat="false" ht="15" hidden="false" customHeight="false" outlineLevel="0" collapsed="false">
      <c r="B43" s="5" t="s">
        <v>70</v>
      </c>
      <c r="D43" s="9" t="n">
        <v>81099930</v>
      </c>
      <c r="E43" s="9" t="n">
        <v>77129194</v>
      </c>
      <c r="F43" s="6" t="s">
        <v>15</v>
      </c>
      <c r="G43" s="6" t="n">
        <v>34</v>
      </c>
      <c r="H43" s="6" t="n">
        <v>2</v>
      </c>
    </row>
    <row r="44" customFormat="false" ht="15" hidden="false" customHeight="false" outlineLevel="0" collapsed="false">
      <c r="B44" s="10" t="s">
        <v>42</v>
      </c>
      <c r="D44" s="11" t="n">
        <f aca="false">D42-D43</f>
        <v>0</v>
      </c>
      <c r="E44" s="11" t="n">
        <f aca="false">E42-E43</f>
        <v>0</v>
      </c>
      <c r="F44" s="6" t="s">
        <v>43</v>
      </c>
    </row>
  </sheetData>
  <mergeCells count="1"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6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8" min="7" style="0" width="9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1</v>
      </c>
    </row>
    <row r="3" customFormat="false" ht="39.75" hidden="false" customHeight="true" outlineLevel="0" collapsed="false">
      <c r="A3" s="3" t="s">
        <v>72</v>
      </c>
      <c r="B3" s="3"/>
      <c r="C3" s="3"/>
      <c r="D3" s="3"/>
      <c r="E3" s="3"/>
      <c r="F3" s="3"/>
      <c r="G3" s="3"/>
      <c r="H3" s="3"/>
      <c r="I3" s="3"/>
    </row>
    <row r="4" customFormat="false" ht="22.3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customFormat="false" ht="15" hidden="false" customHeight="false" outlineLevel="0" collapsed="false">
      <c r="B5" s="5" t="s">
        <v>12</v>
      </c>
    </row>
    <row r="6" customFormat="false" ht="15" hidden="false" customHeight="false" outlineLevel="0" collapsed="false">
      <c r="A6" s="6" t="s">
        <v>73</v>
      </c>
      <c r="B6" s="6" t="s">
        <v>74</v>
      </c>
      <c r="C6" s="6" t="n">
        <v>17</v>
      </c>
      <c r="D6" s="7" t="n">
        <v>4098399</v>
      </c>
      <c r="E6" s="7" t="n">
        <v>3890827</v>
      </c>
      <c r="F6" s="6" t="s">
        <v>15</v>
      </c>
      <c r="G6" s="6" t="n">
        <v>35</v>
      </c>
      <c r="H6" s="6" t="n">
        <v>3</v>
      </c>
      <c r="I6" s="6" t="s">
        <v>16</v>
      </c>
    </row>
    <row r="7" customFormat="false" ht="15" hidden="false" customHeight="false" outlineLevel="0" collapsed="false">
      <c r="A7" s="6" t="s">
        <v>75</v>
      </c>
      <c r="B7" s="6" t="s">
        <v>76</v>
      </c>
      <c r="C7" s="6" t="n">
        <v>18</v>
      </c>
      <c r="D7" s="7" t="n">
        <v>3160115</v>
      </c>
      <c r="E7" s="7" t="n">
        <v>4587739</v>
      </c>
      <c r="F7" s="6" t="s">
        <v>15</v>
      </c>
      <c r="G7" s="6" t="n">
        <v>35</v>
      </c>
      <c r="H7" s="6" t="n">
        <v>3</v>
      </c>
      <c r="I7" s="6" t="s">
        <v>16</v>
      </c>
    </row>
    <row r="8" customFormat="false" ht="15" hidden="false" customHeight="false" outlineLevel="0" collapsed="false">
      <c r="A8" s="6" t="s">
        <v>77</v>
      </c>
      <c r="B8" s="6" t="s">
        <v>78</v>
      </c>
      <c r="C8" s="6" t="n">
        <v>19</v>
      </c>
      <c r="D8" s="7" t="n">
        <v>1735590</v>
      </c>
      <c r="E8" s="7" t="n">
        <v>815233</v>
      </c>
      <c r="F8" s="6" t="s">
        <v>15</v>
      </c>
      <c r="G8" s="6" t="n">
        <v>35</v>
      </c>
      <c r="H8" s="6" t="n">
        <v>3</v>
      </c>
      <c r="I8" s="6" t="s">
        <v>16</v>
      </c>
    </row>
    <row r="9" customFormat="false" ht="15" hidden="false" customHeight="false" outlineLevel="0" collapsed="false">
      <c r="A9" s="6" t="s">
        <v>79</v>
      </c>
      <c r="B9" s="6" t="s">
        <v>80</v>
      </c>
      <c r="C9" s="6" t="n">
        <v>20</v>
      </c>
      <c r="D9" s="7" t="n">
        <v>105186</v>
      </c>
      <c r="E9" s="7" t="n">
        <v>336398</v>
      </c>
      <c r="F9" s="6" t="s">
        <v>15</v>
      </c>
      <c r="G9" s="6" t="n">
        <v>35</v>
      </c>
      <c r="H9" s="6" t="n">
        <v>3</v>
      </c>
      <c r="I9" s="6" t="s">
        <v>16</v>
      </c>
    </row>
    <row r="10" customFormat="false" ht="15" hidden="false" customHeight="false" outlineLevel="0" collapsed="false">
      <c r="A10" s="6" t="s">
        <v>81</v>
      </c>
      <c r="B10" s="6" t="s">
        <v>82</v>
      </c>
      <c r="C10" s="6" t="n">
        <v>21</v>
      </c>
      <c r="D10" s="7" t="n">
        <v>748215</v>
      </c>
      <c r="E10" s="7" t="n">
        <v>440904</v>
      </c>
      <c r="F10" s="6" t="s">
        <v>15</v>
      </c>
      <c r="G10" s="6" t="n">
        <v>35</v>
      </c>
      <c r="H10" s="6" t="n">
        <v>3</v>
      </c>
      <c r="I10" s="6" t="s">
        <v>16</v>
      </c>
    </row>
    <row r="11" customFormat="false" ht="15" hidden="false" customHeight="false" outlineLevel="0" collapsed="false">
      <c r="A11" s="6" t="s">
        <v>83</v>
      </c>
      <c r="B11" s="6" t="s">
        <v>84</v>
      </c>
      <c r="C11" s="6" t="n">
        <v>21</v>
      </c>
      <c r="D11" s="7" t="n">
        <v>703760</v>
      </c>
      <c r="E11" s="7" t="n">
        <v>784498</v>
      </c>
      <c r="F11" s="6" t="s">
        <v>15</v>
      </c>
      <c r="G11" s="6" t="n">
        <v>35</v>
      </c>
      <c r="H11" s="6" t="n">
        <v>3</v>
      </c>
      <c r="I11" s="6" t="s">
        <v>16</v>
      </c>
    </row>
    <row r="12" customFormat="false" ht="15" hidden="false" customHeight="false" outlineLevel="0" collapsed="false">
      <c r="A12" s="6" t="s">
        <v>85</v>
      </c>
      <c r="B12" s="6" t="s">
        <v>86</v>
      </c>
      <c r="C12" s="6" t="n">
        <v>31</v>
      </c>
      <c r="D12" s="7" t="n">
        <v>19416</v>
      </c>
      <c r="E12" s="7" t="n">
        <v>0</v>
      </c>
      <c r="F12" s="6" t="s">
        <v>15</v>
      </c>
      <c r="G12" s="6" t="n">
        <v>35</v>
      </c>
      <c r="H12" s="6" t="n">
        <v>3</v>
      </c>
      <c r="I12" s="6" t="s">
        <v>16</v>
      </c>
    </row>
    <row r="13" customFormat="false" ht="15" hidden="false" customHeight="false" outlineLevel="0" collapsed="false">
      <c r="A13" s="6" t="s">
        <v>87</v>
      </c>
      <c r="B13" s="6" t="s">
        <v>88</v>
      </c>
      <c r="C13" s="6"/>
      <c r="D13" s="7" t="n">
        <v>1506041</v>
      </c>
      <c r="E13" s="7" t="n">
        <v>1510207</v>
      </c>
      <c r="F13" s="6" t="s">
        <v>15</v>
      </c>
      <c r="G13" s="6" t="n">
        <v>35</v>
      </c>
      <c r="H13" s="6" t="n">
        <v>3</v>
      </c>
      <c r="I13" s="6" t="s">
        <v>16</v>
      </c>
    </row>
    <row r="14" customFormat="false" ht="15" hidden="false" customHeight="false" outlineLevel="0" collapsed="false">
      <c r="A14" s="6" t="s">
        <v>89</v>
      </c>
      <c r="B14" s="6" t="s">
        <v>32</v>
      </c>
      <c r="C14" s="6" t="n">
        <v>34</v>
      </c>
      <c r="D14" s="7" t="n">
        <v>232540</v>
      </c>
      <c r="E14" s="7" t="n">
        <v>8178</v>
      </c>
      <c r="F14" s="6" t="s">
        <v>15</v>
      </c>
      <c r="G14" s="6" t="n">
        <v>35</v>
      </c>
      <c r="H14" s="6" t="n">
        <v>3</v>
      </c>
      <c r="I14" s="6" t="s">
        <v>16</v>
      </c>
    </row>
    <row r="15" customFormat="false" ht="15" hidden="false" customHeight="false" outlineLevel="0" collapsed="false">
      <c r="A15" s="6" t="s">
        <v>90</v>
      </c>
      <c r="B15" s="6" t="s">
        <v>91</v>
      </c>
      <c r="C15" s="6" t="n">
        <v>9</v>
      </c>
      <c r="D15" s="7" t="n">
        <v>1077501</v>
      </c>
      <c r="E15" s="7" t="n">
        <v>927285</v>
      </c>
      <c r="F15" s="6" t="s">
        <v>15</v>
      </c>
      <c r="G15" s="6" t="n">
        <v>35</v>
      </c>
      <c r="H15" s="6" t="n">
        <v>3</v>
      </c>
      <c r="I15" s="6" t="s">
        <v>16</v>
      </c>
    </row>
    <row r="16" customFormat="false" ht="15" hidden="false" customHeight="false" outlineLevel="0" collapsed="false">
      <c r="A16" s="6" t="s">
        <v>92</v>
      </c>
      <c r="B16" s="6" t="s">
        <v>93</v>
      </c>
      <c r="C16" s="6"/>
      <c r="D16" s="7" t="n">
        <v>5153</v>
      </c>
      <c r="E16" s="7" t="n">
        <v>12699</v>
      </c>
      <c r="F16" s="6" t="s">
        <v>15</v>
      </c>
      <c r="G16" s="6" t="n">
        <v>35</v>
      </c>
      <c r="H16" s="6" t="n">
        <v>3</v>
      </c>
      <c r="I16" s="6" t="s">
        <v>16</v>
      </c>
    </row>
    <row r="17" customFormat="false" ht="15" hidden="false" customHeight="false" outlineLevel="0" collapsed="false">
      <c r="A17" s="6" t="s">
        <v>94</v>
      </c>
      <c r="B17" s="6" t="s">
        <v>95</v>
      </c>
      <c r="C17" s="6" t="n">
        <v>8</v>
      </c>
      <c r="D17" s="7" t="n">
        <v>1018818</v>
      </c>
      <c r="E17" s="7" t="n">
        <v>1072326</v>
      </c>
      <c r="F17" s="6" t="s">
        <v>15</v>
      </c>
      <c r="G17" s="6" t="n">
        <v>35</v>
      </c>
      <c r="H17" s="6" t="n">
        <v>3</v>
      </c>
      <c r="I17" s="6" t="s">
        <v>16</v>
      </c>
    </row>
    <row r="18" customFormat="false" ht="15" hidden="false" customHeight="false" outlineLevel="0" collapsed="false">
      <c r="A18" s="6" t="s">
        <v>96</v>
      </c>
      <c r="B18" s="6" t="s">
        <v>97</v>
      </c>
      <c r="C18" s="6" t="n">
        <v>23</v>
      </c>
      <c r="D18" s="7" t="n">
        <v>3465230</v>
      </c>
      <c r="E18" s="7" t="n">
        <v>2984242</v>
      </c>
      <c r="F18" s="6" t="s">
        <v>15</v>
      </c>
      <c r="G18" s="6" t="n">
        <v>35</v>
      </c>
      <c r="H18" s="6" t="n">
        <v>3</v>
      </c>
      <c r="I18" s="6" t="s">
        <v>16</v>
      </c>
    </row>
    <row r="19" customFormat="false" ht="15" hidden="false" customHeight="false" outlineLevel="0" collapsed="false">
      <c r="B19" s="5" t="s">
        <v>98</v>
      </c>
      <c r="D19" s="8" t="n">
        <f aca="false">SUM(D6:D18)</f>
        <v>17875964</v>
      </c>
      <c r="E19" s="8" t="n">
        <f aca="false">SUM(E6:E18)</f>
        <v>17370536</v>
      </c>
      <c r="F19" s="6" t="s">
        <v>40</v>
      </c>
    </row>
    <row r="20" customFormat="false" ht="15" hidden="false" customHeight="false" outlineLevel="0" collapsed="false">
      <c r="B20" s="5" t="s">
        <v>99</v>
      </c>
      <c r="D20" s="9" t="n">
        <v>17875963</v>
      </c>
      <c r="E20" s="9" t="n">
        <v>17370535</v>
      </c>
      <c r="F20" s="6" t="s">
        <v>15</v>
      </c>
      <c r="G20" s="6" t="n">
        <v>35</v>
      </c>
      <c r="H20" s="6" t="n">
        <v>3</v>
      </c>
    </row>
    <row r="21" customFormat="false" ht="15" hidden="false" customHeight="false" outlineLevel="0" collapsed="false">
      <c r="B21" s="10" t="s">
        <v>42</v>
      </c>
      <c r="D21" s="11" t="n">
        <f aca="false">D19-D20</f>
        <v>1</v>
      </c>
      <c r="E21" s="11" t="n">
        <f aca="false">E19-E20</f>
        <v>1</v>
      </c>
      <c r="F21" s="6" t="s">
        <v>43</v>
      </c>
    </row>
    <row r="23" customFormat="false" ht="15" hidden="false" customHeight="false" outlineLevel="0" collapsed="false">
      <c r="B23" s="5" t="s">
        <v>44</v>
      </c>
    </row>
    <row r="24" customFormat="false" ht="15" hidden="false" customHeight="false" outlineLevel="0" collapsed="false">
      <c r="A24" s="6" t="s">
        <v>100</v>
      </c>
      <c r="B24" s="6" t="s">
        <v>74</v>
      </c>
      <c r="C24" s="6" t="n">
        <v>17</v>
      </c>
      <c r="D24" s="7" t="n">
        <v>239699</v>
      </c>
      <c r="E24" s="7" t="n">
        <v>254364</v>
      </c>
      <c r="F24" s="6" t="s">
        <v>15</v>
      </c>
      <c r="G24" s="6" t="n">
        <v>35</v>
      </c>
      <c r="H24" s="6" t="n">
        <v>3</v>
      </c>
      <c r="I24" s="6" t="s">
        <v>16</v>
      </c>
    </row>
    <row r="25" customFormat="false" ht="15" hidden="false" customHeight="false" outlineLevel="0" collapsed="false">
      <c r="A25" s="6" t="s">
        <v>101</v>
      </c>
      <c r="B25" s="6" t="s">
        <v>76</v>
      </c>
      <c r="C25" s="6" t="n">
        <v>18</v>
      </c>
      <c r="D25" s="7" t="n">
        <v>6417553</v>
      </c>
      <c r="E25" s="7" t="n">
        <v>7690254</v>
      </c>
      <c r="F25" s="6" t="s">
        <v>15</v>
      </c>
      <c r="G25" s="6" t="n">
        <v>35</v>
      </c>
      <c r="H25" s="6" t="n">
        <v>3</v>
      </c>
      <c r="I25" s="6" t="s">
        <v>16</v>
      </c>
    </row>
    <row r="26" customFormat="false" ht="15" hidden="false" customHeight="false" outlineLevel="0" collapsed="false">
      <c r="A26" s="6" t="s">
        <v>102</v>
      </c>
      <c r="B26" s="6" t="s">
        <v>78</v>
      </c>
      <c r="C26" s="6" t="n">
        <v>19</v>
      </c>
      <c r="D26" s="7" t="n">
        <v>17742469</v>
      </c>
      <c r="E26" s="7" t="n">
        <v>15695112</v>
      </c>
      <c r="F26" s="6" t="s">
        <v>15</v>
      </c>
      <c r="G26" s="6" t="n">
        <v>35</v>
      </c>
      <c r="H26" s="6" t="n">
        <v>3</v>
      </c>
      <c r="I26" s="6" t="s">
        <v>16</v>
      </c>
    </row>
    <row r="27" customFormat="false" ht="15" hidden="false" customHeight="false" outlineLevel="0" collapsed="false">
      <c r="A27" s="6" t="s">
        <v>103</v>
      </c>
      <c r="B27" s="6" t="s">
        <v>80</v>
      </c>
      <c r="C27" s="6" t="n">
        <v>20</v>
      </c>
      <c r="D27" s="7" t="n">
        <v>501738</v>
      </c>
      <c r="E27" s="7" t="n">
        <v>451514</v>
      </c>
      <c r="F27" s="6" t="s">
        <v>15</v>
      </c>
      <c r="G27" s="6" t="n">
        <v>35</v>
      </c>
      <c r="H27" s="6" t="n">
        <v>3</v>
      </c>
      <c r="I27" s="6" t="s">
        <v>16</v>
      </c>
    </row>
    <row r="28" customFormat="false" ht="15" hidden="false" customHeight="false" outlineLevel="0" collapsed="false">
      <c r="A28" s="6" t="s">
        <v>104</v>
      </c>
      <c r="B28" s="6" t="s">
        <v>82</v>
      </c>
      <c r="C28" s="6" t="n">
        <v>21</v>
      </c>
      <c r="D28" s="7" t="n">
        <v>254049</v>
      </c>
      <c r="E28" s="7" t="n">
        <v>245142</v>
      </c>
      <c r="F28" s="6" t="s">
        <v>15</v>
      </c>
      <c r="G28" s="6" t="n">
        <v>35</v>
      </c>
      <c r="H28" s="6" t="n">
        <v>3</v>
      </c>
      <c r="I28" s="6" t="s">
        <v>16</v>
      </c>
    </row>
    <row r="29" customFormat="false" ht="15" hidden="false" customHeight="false" outlineLevel="0" collapsed="false">
      <c r="A29" s="6" t="s">
        <v>105</v>
      </c>
      <c r="B29" s="6" t="s">
        <v>84</v>
      </c>
      <c r="C29" s="6" t="n">
        <v>21</v>
      </c>
      <c r="D29" s="7" t="n">
        <v>956254</v>
      </c>
      <c r="E29" s="7" t="n">
        <v>997778</v>
      </c>
      <c r="F29" s="6" t="s">
        <v>15</v>
      </c>
      <c r="G29" s="6" t="n">
        <v>35</v>
      </c>
      <c r="H29" s="6" t="n">
        <v>3</v>
      </c>
      <c r="I29" s="6" t="s">
        <v>16</v>
      </c>
    </row>
    <row r="30" customFormat="false" ht="15" hidden="false" customHeight="false" outlineLevel="0" collapsed="false">
      <c r="A30" s="6" t="s">
        <v>106</v>
      </c>
      <c r="B30" s="6" t="s">
        <v>107</v>
      </c>
      <c r="C30" s="6" t="n">
        <v>10</v>
      </c>
      <c r="D30" s="7" t="n">
        <v>3001777</v>
      </c>
      <c r="E30" s="7" t="n">
        <v>2665302</v>
      </c>
      <c r="F30" s="6" t="s">
        <v>15</v>
      </c>
      <c r="G30" s="6" t="n">
        <v>35</v>
      </c>
      <c r="H30" s="6" t="n">
        <v>3</v>
      </c>
      <c r="I30" s="6" t="s">
        <v>16</v>
      </c>
    </row>
    <row r="31" customFormat="false" ht="15" hidden="false" customHeight="false" outlineLevel="0" collapsed="false">
      <c r="A31" s="6" t="s">
        <v>108</v>
      </c>
      <c r="B31" s="6" t="s">
        <v>109</v>
      </c>
      <c r="C31" s="6" t="n">
        <v>22</v>
      </c>
      <c r="D31" s="7" t="n">
        <v>1740903</v>
      </c>
      <c r="E31" s="7" t="n">
        <v>1561980</v>
      </c>
      <c r="F31" s="6" t="s">
        <v>15</v>
      </c>
      <c r="G31" s="6" t="n">
        <v>35</v>
      </c>
      <c r="H31" s="6" t="n">
        <v>3</v>
      </c>
      <c r="I31" s="6" t="s">
        <v>16</v>
      </c>
    </row>
    <row r="32" customFormat="false" ht="15" hidden="false" customHeight="false" outlineLevel="0" collapsed="false">
      <c r="A32" s="6" t="s">
        <v>110</v>
      </c>
      <c r="B32" s="6" t="s">
        <v>86</v>
      </c>
      <c r="C32" s="6" t="n">
        <v>31</v>
      </c>
      <c r="D32" s="7" t="n">
        <v>4393234</v>
      </c>
      <c r="E32" s="7" t="n">
        <v>2485694</v>
      </c>
      <c r="F32" s="6" t="s">
        <v>15</v>
      </c>
      <c r="G32" s="6" t="n">
        <v>35</v>
      </c>
      <c r="H32" s="6" t="n">
        <v>3</v>
      </c>
      <c r="I32" s="6" t="s">
        <v>16</v>
      </c>
    </row>
    <row r="33" customFormat="false" ht="15" hidden="false" customHeight="false" outlineLevel="0" collapsed="false">
      <c r="A33" s="6" t="s">
        <v>111</v>
      </c>
      <c r="B33" s="6" t="s">
        <v>32</v>
      </c>
      <c r="C33" s="6" t="n">
        <v>34</v>
      </c>
      <c r="D33" s="7" t="n">
        <v>170854</v>
      </c>
      <c r="E33" s="7" t="n">
        <v>272377</v>
      </c>
      <c r="F33" s="6" t="s">
        <v>15</v>
      </c>
      <c r="G33" s="6" t="n">
        <v>35</v>
      </c>
      <c r="H33" s="6" t="n">
        <v>3</v>
      </c>
      <c r="I33" s="6" t="s">
        <v>16</v>
      </c>
    </row>
    <row r="34" customFormat="false" ht="15" hidden="false" customHeight="false" outlineLevel="0" collapsed="false">
      <c r="A34" s="6" t="s">
        <v>112</v>
      </c>
      <c r="B34" s="6" t="s">
        <v>91</v>
      </c>
      <c r="C34" s="6" t="n">
        <v>9</v>
      </c>
      <c r="D34" s="7" t="n">
        <v>913146</v>
      </c>
      <c r="E34" s="7" t="n">
        <v>798912</v>
      </c>
      <c r="F34" s="6" t="s">
        <v>15</v>
      </c>
      <c r="G34" s="6" t="n">
        <v>35</v>
      </c>
      <c r="H34" s="6" t="n">
        <v>3</v>
      </c>
      <c r="I34" s="6" t="s">
        <v>16</v>
      </c>
    </row>
    <row r="35" customFormat="false" ht="15" hidden="false" customHeight="false" outlineLevel="0" collapsed="false">
      <c r="A35" s="6" t="s">
        <v>113</v>
      </c>
      <c r="B35" s="6" t="s">
        <v>93</v>
      </c>
      <c r="C35" s="6"/>
      <c r="D35" s="7" t="n">
        <v>170123</v>
      </c>
      <c r="E35" s="7" t="n">
        <v>151778</v>
      </c>
      <c r="F35" s="6" t="s">
        <v>15</v>
      </c>
      <c r="G35" s="6" t="n">
        <v>35</v>
      </c>
      <c r="H35" s="6" t="n">
        <v>3</v>
      </c>
      <c r="I35" s="6" t="s">
        <v>16</v>
      </c>
    </row>
    <row r="36" customFormat="false" ht="15" hidden="false" customHeight="false" outlineLevel="0" collapsed="false">
      <c r="A36" s="6" t="s">
        <v>114</v>
      </c>
      <c r="B36" s="6" t="s">
        <v>95</v>
      </c>
      <c r="C36" s="6" t="n">
        <v>8</v>
      </c>
      <c r="D36" s="7" t="n">
        <v>2384026</v>
      </c>
      <c r="E36" s="7" t="n">
        <v>3864430</v>
      </c>
      <c r="F36" s="6" t="s">
        <v>15</v>
      </c>
      <c r="G36" s="6" t="n">
        <v>35</v>
      </c>
      <c r="H36" s="6" t="n">
        <v>3</v>
      </c>
      <c r="I36" s="6" t="s">
        <v>16</v>
      </c>
    </row>
    <row r="37" customFormat="false" ht="15" hidden="false" customHeight="false" outlineLevel="0" collapsed="false">
      <c r="A37" s="6" t="s">
        <v>115</v>
      </c>
      <c r="B37" s="6" t="s">
        <v>97</v>
      </c>
      <c r="C37" s="6" t="n">
        <v>23</v>
      </c>
      <c r="D37" s="7" t="n">
        <v>833632</v>
      </c>
      <c r="E37" s="7" t="n">
        <v>828992</v>
      </c>
      <c r="F37" s="6" t="s">
        <v>15</v>
      </c>
      <c r="G37" s="6" t="n">
        <v>35</v>
      </c>
      <c r="H37" s="6" t="n">
        <v>3</v>
      </c>
      <c r="I37" s="6" t="s">
        <v>16</v>
      </c>
    </row>
    <row r="38" customFormat="false" ht="15" hidden="false" customHeight="false" outlineLevel="0" collapsed="false">
      <c r="B38" s="5" t="s">
        <v>116</v>
      </c>
      <c r="D38" s="8" t="n">
        <f aca="false">SUM(D24:D37)</f>
        <v>39719457</v>
      </c>
      <c r="E38" s="8" t="n">
        <f aca="false">SUM(E24:E37)</f>
        <v>37963629</v>
      </c>
      <c r="F38" s="6" t="s">
        <v>40</v>
      </c>
    </row>
    <row r="39" customFormat="false" ht="15" hidden="false" customHeight="false" outlineLevel="0" collapsed="false">
      <c r="B39" s="5" t="s">
        <v>117</v>
      </c>
      <c r="D39" s="9" t="n">
        <v>39719457</v>
      </c>
      <c r="E39" s="9" t="n">
        <v>37963630</v>
      </c>
      <c r="F39" s="6" t="s">
        <v>15</v>
      </c>
      <c r="G39" s="6" t="n">
        <v>35</v>
      </c>
      <c r="H39" s="6" t="n">
        <v>3</v>
      </c>
    </row>
    <row r="40" customFormat="false" ht="15" hidden="false" customHeight="false" outlineLevel="0" collapsed="false">
      <c r="B40" s="10" t="s">
        <v>42</v>
      </c>
      <c r="D40" s="11" t="n">
        <f aca="false">D38-D39</f>
        <v>0</v>
      </c>
      <c r="E40" s="11" t="n">
        <f aca="false">E38-E39</f>
        <v>-1</v>
      </c>
      <c r="F40" s="6" t="s">
        <v>43</v>
      </c>
    </row>
    <row r="42" customFormat="false" ht="15" hidden="false" customHeight="false" outlineLevel="0" collapsed="false">
      <c r="B42" s="5" t="s">
        <v>118</v>
      </c>
    </row>
    <row r="43" customFormat="false" ht="15" hidden="false" customHeight="false" outlineLevel="0" collapsed="false">
      <c r="A43" s="6" t="s">
        <v>119</v>
      </c>
      <c r="B43" s="6" t="s">
        <v>120</v>
      </c>
      <c r="C43" s="6" t="n">
        <v>24</v>
      </c>
      <c r="D43" s="7" t="n">
        <v>9388071</v>
      </c>
      <c r="E43" s="7" t="n">
        <v>9388071</v>
      </c>
      <c r="F43" s="6" t="s">
        <v>15</v>
      </c>
      <c r="G43" s="6" t="n">
        <v>35</v>
      </c>
      <c r="H43" s="6" t="n">
        <v>3</v>
      </c>
      <c r="I43" s="6" t="s">
        <v>16</v>
      </c>
    </row>
    <row r="44" customFormat="false" ht="15" hidden="false" customHeight="false" outlineLevel="0" collapsed="false">
      <c r="A44" s="6" t="s">
        <v>121</v>
      </c>
      <c r="B44" s="6" t="s">
        <v>122</v>
      </c>
      <c r="C44" s="6" t="n">
        <v>24</v>
      </c>
      <c r="D44" s="7" t="n">
        <v>-1394956</v>
      </c>
      <c r="E44" s="7" t="n">
        <v>-1394956</v>
      </c>
      <c r="F44" s="6" t="s">
        <v>15</v>
      </c>
      <c r="G44" s="6" t="n">
        <v>35</v>
      </c>
      <c r="H44" s="6" t="n">
        <v>3</v>
      </c>
      <c r="I44" s="6" t="s">
        <v>16</v>
      </c>
    </row>
    <row r="45" customFormat="false" ht="15" hidden="false" customHeight="false" outlineLevel="0" collapsed="false">
      <c r="A45" s="6" t="s">
        <v>123</v>
      </c>
      <c r="B45" s="6" t="s">
        <v>124</v>
      </c>
      <c r="C45" s="6" t="n">
        <v>24</v>
      </c>
      <c r="D45" s="7" t="n">
        <v>1877614</v>
      </c>
      <c r="E45" s="7" t="n">
        <v>1877614</v>
      </c>
      <c r="F45" s="6" t="s">
        <v>15</v>
      </c>
      <c r="G45" s="6" t="n">
        <v>35</v>
      </c>
      <c r="H45" s="6" t="n">
        <v>3</v>
      </c>
      <c r="I45" s="6" t="s">
        <v>16</v>
      </c>
    </row>
    <row r="46" customFormat="false" ht="15" hidden="false" customHeight="false" outlineLevel="0" collapsed="false">
      <c r="A46" s="6" t="s">
        <v>125</v>
      </c>
      <c r="B46" s="6" t="s">
        <v>126</v>
      </c>
      <c r="C46" s="6" t="n">
        <v>24</v>
      </c>
      <c r="D46" s="7" t="n">
        <v>7510454</v>
      </c>
      <c r="E46" s="7" t="n">
        <v>7033014</v>
      </c>
      <c r="F46" s="6" t="s">
        <v>15</v>
      </c>
      <c r="G46" s="6" t="n">
        <v>35</v>
      </c>
      <c r="H46" s="6" t="n">
        <v>3</v>
      </c>
      <c r="I46" s="6" t="s">
        <v>16</v>
      </c>
    </row>
    <row r="47" customFormat="false" ht="15" hidden="false" customHeight="false" outlineLevel="0" collapsed="false">
      <c r="A47" s="6" t="s">
        <v>127</v>
      </c>
      <c r="B47" s="6" t="s">
        <v>128</v>
      </c>
      <c r="C47" s="6" t="n">
        <v>24</v>
      </c>
      <c r="D47" s="7" t="n">
        <v>3822612</v>
      </c>
      <c r="E47" s="7" t="n">
        <v>3075193</v>
      </c>
      <c r="F47" s="6" t="s">
        <v>15</v>
      </c>
      <c r="G47" s="6" t="n">
        <v>35</v>
      </c>
      <c r="H47" s="6" t="n">
        <v>3</v>
      </c>
      <c r="I47" s="6" t="s">
        <v>16</v>
      </c>
    </row>
    <row r="48" customFormat="false" ht="15" hidden="false" customHeight="false" outlineLevel="0" collapsed="false">
      <c r="A48" s="6" t="s">
        <v>129</v>
      </c>
      <c r="B48" s="6" t="s">
        <v>88</v>
      </c>
      <c r="C48" s="6" t="n">
        <v>24</v>
      </c>
      <c r="D48" s="7" t="n">
        <v>2928598</v>
      </c>
      <c r="E48" s="7" t="n">
        <v>1855190</v>
      </c>
      <c r="F48" s="6" t="s">
        <v>15</v>
      </c>
      <c r="G48" s="6" t="n">
        <v>35</v>
      </c>
      <c r="H48" s="6" t="n">
        <v>3</v>
      </c>
      <c r="I48" s="6" t="s">
        <v>16</v>
      </c>
    </row>
    <row r="49" customFormat="false" ht="15" hidden="false" customHeight="false" outlineLevel="0" collapsed="false">
      <c r="A49" s="6" t="s">
        <v>130</v>
      </c>
      <c r="B49" s="6" t="s">
        <v>131</v>
      </c>
      <c r="C49" s="6" t="n">
        <v>24</v>
      </c>
      <c r="D49" s="7" t="n">
        <v>-1642619</v>
      </c>
      <c r="E49" s="7" t="n">
        <v>-1102363</v>
      </c>
      <c r="F49" s="6" t="s">
        <v>15</v>
      </c>
      <c r="G49" s="6" t="n">
        <v>35</v>
      </c>
      <c r="H49" s="6" t="n">
        <v>3</v>
      </c>
      <c r="I49" s="6" t="s">
        <v>16</v>
      </c>
    </row>
    <row r="50" customFormat="false" ht="15" hidden="false" customHeight="false" outlineLevel="0" collapsed="false">
      <c r="B50" s="5" t="s">
        <v>132</v>
      </c>
      <c r="D50" s="8" t="n">
        <f aca="false">SUM(D43:D49)</f>
        <v>22489774</v>
      </c>
      <c r="E50" s="8" t="n">
        <f aca="false">SUM(E43:E49)</f>
        <v>20731763</v>
      </c>
      <c r="F50" s="6" t="s">
        <v>40</v>
      </c>
    </row>
    <row r="51" customFormat="false" ht="15" hidden="false" customHeight="false" outlineLevel="0" collapsed="false">
      <c r="B51" s="5" t="s">
        <v>133</v>
      </c>
      <c r="D51" s="9" t="n">
        <v>22489775</v>
      </c>
      <c r="E51" s="9" t="n">
        <v>20731762</v>
      </c>
      <c r="F51" s="6" t="s">
        <v>15</v>
      </c>
      <c r="G51" s="6" t="n">
        <v>35</v>
      </c>
      <c r="H51" s="6" t="n">
        <v>3</v>
      </c>
    </row>
    <row r="52" customFormat="false" ht="15" hidden="false" customHeight="false" outlineLevel="0" collapsed="false">
      <c r="B52" s="10" t="s">
        <v>42</v>
      </c>
      <c r="D52" s="11" t="n">
        <f aca="false">D50-D51</f>
        <v>-1</v>
      </c>
      <c r="E52" s="11" t="n">
        <f aca="false">E50-E51</f>
        <v>1</v>
      </c>
      <c r="F52" s="6" t="s">
        <v>43</v>
      </c>
    </row>
    <row r="54" customFormat="false" ht="15" hidden="false" customHeight="false" outlineLevel="0" collapsed="false">
      <c r="A54" s="6" t="s">
        <v>134</v>
      </c>
      <c r="B54" s="6" t="s">
        <v>135</v>
      </c>
      <c r="D54" s="7" t="n">
        <v>1014735</v>
      </c>
      <c r="E54" s="7" t="n">
        <v>1063267</v>
      </c>
      <c r="F54" s="6" t="s">
        <v>15</v>
      </c>
      <c r="G54" s="6" t="n">
        <v>35</v>
      </c>
      <c r="H54" s="6" t="n">
        <v>3</v>
      </c>
    </row>
    <row r="55" customFormat="false" ht="15" hidden="false" customHeight="false" outlineLevel="0" collapsed="false">
      <c r="B55" s="5" t="s">
        <v>136</v>
      </c>
      <c r="D55" s="8" t="n">
        <f aca="false">D51+D54</f>
        <v>23504510</v>
      </c>
      <c r="E55" s="8" t="n">
        <f aca="false">E51+E54</f>
        <v>21795029</v>
      </c>
      <c r="F55" s="6" t="s">
        <v>40</v>
      </c>
    </row>
    <row r="56" customFormat="false" ht="15" hidden="false" customHeight="false" outlineLevel="0" collapsed="false">
      <c r="B56" s="5" t="s">
        <v>137</v>
      </c>
      <c r="D56" s="9" t="n">
        <v>23504510</v>
      </c>
      <c r="E56" s="9" t="n">
        <v>21795029</v>
      </c>
      <c r="F56" s="6" t="s">
        <v>15</v>
      </c>
      <c r="G56" s="6" t="n">
        <v>35</v>
      </c>
      <c r="H56" s="6" t="n">
        <v>3</v>
      </c>
    </row>
    <row r="57" customFormat="false" ht="15" hidden="false" customHeight="false" outlineLevel="0" collapsed="false">
      <c r="B57" s="10" t="s">
        <v>42</v>
      </c>
      <c r="D57" s="11" t="n">
        <f aca="false">D55-D56</f>
        <v>0</v>
      </c>
      <c r="E57" s="11" t="n">
        <f aca="false">E55-E56</f>
        <v>0</v>
      </c>
      <c r="F57" s="6" t="s">
        <v>43</v>
      </c>
    </row>
    <row r="59" customFormat="false" ht="15" hidden="false" customHeight="false" outlineLevel="0" collapsed="false">
      <c r="B59" s="5" t="s">
        <v>138</v>
      </c>
      <c r="D59" s="8" t="n">
        <f aca="false">D20+D39+D56</f>
        <v>81099930</v>
      </c>
      <c r="E59" s="8" t="n">
        <f aca="false">E20+E39+E56</f>
        <v>77129194</v>
      </c>
      <c r="F59" s="6" t="s">
        <v>40</v>
      </c>
    </row>
    <row r="60" customFormat="false" ht="15" hidden="false" customHeight="false" outlineLevel="0" collapsed="false">
      <c r="B60" s="5" t="s">
        <v>139</v>
      </c>
      <c r="D60" s="9" t="n">
        <v>81099930</v>
      </c>
      <c r="E60" s="9" t="n">
        <v>77129194</v>
      </c>
      <c r="F60" s="6" t="s">
        <v>15</v>
      </c>
      <c r="G60" s="6" t="n">
        <v>35</v>
      </c>
      <c r="H60" s="6" t="n">
        <v>3</v>
      </c>
    </row>
    <row r="61" customFormat="false" ht="15" hidden="false" customHeight="false" outlineLevel="0" collapsed="false">
      <c r="B61" s="10" t="s">
        <v>42</v>
      </c>
      <c r="D61" s="11" t="n">
        <f aca="false">D59-D60</f>
        <v>0</v>
      </c>
      <c r="E61" s="11" t="n">
        <f aca="false">E59-E60</f>
        <v>0</v>
      </c>
      <c r="F61" s="6" t="s">
        <v>43</v>
      </c>
    </row>
  </sheetData>
  <mergeCells count="1"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6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8" min="7" style="0" width="9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</v>
      </c>
    </row>
    <row r="3" customFormat="false" ht="39.75" hidden="false" customHeight="true" outlineLevel="0" collapsed="false">
      <c r="A3" s="3" t="s">
        <v>141</v>
      </c>
      <c r="B3" s="3"/>
      <c r="C3" s="3"/>
      <c r="D3" s="3"/>
      <c r="E3" s="3"/>
      <c r="F3" s="3"/>
      <c r="G3" s="3"/>
      <c r="H3" s="3"/>
      <c r="I3" s="3"/>
    </row>
    <row r="4" customFormat="false" ht="22.3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customFormat="false" ht="15" hidden="false" customHeight="false" outlineLevel="0" collapsed="false">
      <c r="B5" s="5" t="s">
        <v>142</v>
      </c>
    </row>
    <row r="6" customFormat="false" ht="15" hidden="false" customHeight="false" outlineLevel="0" collapsed="false">
      <c r="A6" s="6" t="s">
        <v>143</v>
      </c>
      <c r="B6" s="6" t="s">
        <v>144</v>
      </c>
      <c r="C6" s="6" t="n">
        <v>26</v>
      </c>
      <c r="D6" s="7" t="n">
        <v>44367780</v>
      </c>
      <c r="E6" s="7" t="n">
        <v>42628210</v>
      </c>
      <c r="F6" s="6" t="s">
        <v>15</v>
      </c>
      <c r="G6" s="6" t="n">
        <v>36</v>
      </c>
      <c r="H6" s="6" t="n">
        <v>4</v>
      </c>
      <c r="I6" s="6" t="s">
        <v>16</v>
      </c>
    </row>
    <row r="7" customFormat="false" ht="15" hidden="false" customHeight="false" outlineLevel="0" collapsed="false">
      <c r="A7" s="6" t="s">
        <v>145</v>
      </c>
      <c r="B7" s="6" t="s">
        <v>146</v>
      </c>
      <c r="C7" s="6" t="n">
        <v>27</v>
      </c>
      <c r="D7" s="7" t="n">
        <v>-20376889</v>
      </c>
      <c r="E7" s="7" t="n">
        <v>-19519468</v>
      </c>
      <c r="F7" s="6" t="s">
        <v>15</v>
      </c>
      <c r="G7" s="6" t="n">
        <v>36</v>
      </c>
      <c r="H7" s="6" t="n">
        <v>4</v>
      </c>
      <c r="I7" s="6" t="s">
        <v>16</v>
      </c>
    </row>
    <row r="8" customFormat="false" ht="15" hidden="false" customHeight="false" outlineLevel="0" collapsed="false">
      <c r="A8" s="6" t="s">
        <v>147</v>
      </c>
      <c r="B8" s="6" t="s">
        <v>148</v>
      </c>
      <c r="C8" s="6"/>
      <c r="D8" s="7" t="n">
        <v>-4299812</v>
      </c>
      <c r="E8" s="7" t="n">
        <v>-4371836</v>
      </c>
      <c r="F8" s="6" t="s">
        <v>15</v>
      </c>
      <c r="G8" s="6" t="n">
        <v>36</v>
      </c>
      <c r="H8" s="6" t="n">
        <v>4</v>
      </c>
      <c r="I8" s="6" t="s">
        <v>16</v>
      </c>
    </row>
    <row r="9" customFormat="false" ht="15" hidden="false" customHeight="false" outlineLevel="0" collapsed="false">
      <c r="A9" s="6" t="s">
        <v>149</v>
      </c>
      <c r="B9" s="6" t="s">
        <v>150</v>
      </c>
      <c r="C9" s="6" t="n">
        <v>28</v>
      </c>
      <c r="D9" s="7" t="n">
        <v>-5566883</v>
      </c>
      <c r="E9" s="7" t="n">
        <v>-5168133</v>
      </c>
      <c r="F9" s="6" t="s">
        <v>15</v>
      </c>
      <c r="G9" s="6" t="n">
        <v>36</v>
      </c>
      <c r="H9" s="6" t="n">
        <v>4</v>
      </c>
      <c r="I9" s="6" t="s">
        <v>16</v>
      </c>
    </row>
    <row r="10" customFormat="false" ht="15" hidden="false" customHeight="false" outlineLevel="0" collapsed="false">
      <c r="B10" s="5" t="s">
        <v>151</v>
      </c>
      <c r="D10" s="8" t="n">
        <f aca="false">SUM(D6:D9)</f>
        <v>14124196</v>
      </c>
      <c r="E10" s="8" t="n">
        <f aca="false">SUM(E6:E9)</f>
        <v>13568773</v>
      </c>
      <c r="F10" s="6" t="s">
        <v>40</v>
      </c>
    </row>
    <row r="11" customFormat="false" ht="15" hidden="false" customHeight="false" outlineLevel="0" collapsed="false">
      <c r="B11" s="5" t="s">
        <v>152</v>
      </c>
      <c r="D11" s="9" t="n">
        <v>14124196</v>
      </c>
      <c r="E11" s="9" t="n">
        <v>13568773</v>
      </c>
      <c r="F11" s="6" t="s">
        <v>15</v>
      </c>
      <c r="G11" s="6" t="n">
        <v>36</v>
      </c>
      <c r="H11" s="6" t="n">
        <v>4</v>
      </c>
    </row>
    <row r="12" customFormat="false" ht="15" hidden="false" customHeight="false" outlineLevel="0" collapsed="false">
      <c r="B12" s="10" t="s">
        <v>42</v>
      </c>
      <c r="D12" s="11" t="n">
        <f aca="false">D10-D11</f>
        <v>0</v>
      </c>
      <c r="E12" s="11" t="n">
        <f aca="false">E10-E11</f>
        <v>0</v>
      </c>
      <c r="F12" s="6" t="s">
        <v>43</v>
      </c>
    </row>
    <row r="14" customFormat="false" ht="15" hidden="false" customHeight="false" outlineLevel="0" collapsed="false">
      <c r="B14" s="5" t="s">
        <v>153</v>
      </c>
    </row>
    <row r="15" customFormat="false" ht="15" hidden="false" customHeight="false" outlineLevel="0" collapsed="false">
      <c r="A15" s="6" t="s">
        <v>154</v>
      </c>
      <c r="B15" s="6" t="s">
        <v>155</v>
      </c>
      <c r="C15" s="6"/>
      <c r="D15" s="7" t="n">
        <v>-985664</v>
      </c>
      <c r="E15" s="7" t="n">
        <v>-981340</v>
      </c>
      <c r="F15" s="6" t="s">
        <v>15</v>
      </c>
      <c r="G15" s="6" t="n">
        <v>36</v>
      </c>
      <c r="H15" s="6" t="n">
        <v>4</v>
      </c>
      <c r="I15" s="6" t="s">
        <v>16</v>
      </c>
    </row>
    <row r="16" customFormat="false" ht="15" hidden="false" customHeight="false" outlineLevel="0" collapsed="false">
      <c r="A16" s="6" t="s">
        <v>156</v>
      </c>
      <c r="B16" s="6" t="s">
        <v>157</v>
      </c>
      <c r="C16" s="6"/>
      <c r="D16" s="7" t="n">
        <v>-1722799</v>
      </c>
      <c r="E16" s="7" t="n">
        <v>-1588046</v>
      </c>
      <c r="F16" s="6" t="s">
        <v>15</v>
      </c>
      <c r="G16" s="6" t="n">
        <v>36</v>
      </c>
      <c r="H16" s="6" t="n">
        <v>4</v>
      </c>
      <c r="I16" s="6" t="s">
        <v>16</v>
      </c>
    </row>
    <row r="17" customFormat="false" ht="15" hidden="false" customHeight="false" outlineLevel="0" collapsed="false">
      <c r="A17" s="6" t="s">
        <v>158</v>
      </c>
      <c r="B17" s="6" t="s">
        <v>159</v>
      </c>
      <c r="C17" s="6"/>
      <c r="D17" s="7" t="n">
        <v>-637243</v>
      </c>
      <c r="E17" s="7" t="n">
        <v>-505620</v>
      </c>
      <c r="F17" s="6" t="s">
        <v>15</v>
      </c>
      <c r="G17" s="6" t="n">
        <v>36</v>
      </c>
      <c r="H17" s="6" t="n">
        <v>4</v>
      </c>
      <c r="I17" s="6" t="s">
        <v>16</v>
      </c>
    </row>
    <row r="18" customFormat="false" ht="15" hidden="false" customHeight="false" outlineLevel="0" collapsed="false">
      <c r="B18" s="5" t="s">
        <v>160</v>
      </c>
      <c r="D18" s="8" t="n">
        <f aca="false">D11+SUM(D15:D17)</f>
        <v>10778490</v>
      </c>
      <c r="E18" s="8" t="n">
        <f aca="false">E11+SUM(E15:E17)</f>
        <v>10493767</v>
      </c>
      <c r="F18" s="6" t="s">
        <v>40</v>
      </c>
    </row>
    <row r="19" customFormat="false" ht="15" hidden="false" customHeight="false" outlineLevel="0" collapsed="false">
      <c r="B19" s="5" t="s">
        <v>161</v>
      </c>
      <c r="D19" s="9" t="n">
        <v>10778490</v>
      </c>
      <c r="E19" s="9" t="n">
        <v>10493767</v>
      </c>
      <c r="F19" s="6" t="s">
        <v>15</v>
      </c>
      <c r="G19" s="6" t="n">
        <v>36</v>
      </c>
      <c r="H19" s="6" t="n">
        <v>4</v>
      </c>
    </row>
    <row r="20" customFormat="false" ht="15" hidden="false" customHeight="false" outlineLevel="0" collapsed="false">
      <c r="B20" s="10" t="s">
        <v>42</v>
      </c>
      <c r="D20" s="11" t="n">
        <f aca="false">D18-D19</f>
        <v>0</v>
      </c>
      <c r="E20" s="11" t="n">
        <f aca="false">E18-E19</f>
        <v>0</v>
      </c>
      <c r="F20" s="6" t="s">
        <v>43</v>
      </c>
    </row>
    <row r="22" customFormat="false" ht="15" hidden="false" customHeight="false" outlineLevel="0" collapsed="false">
      <c r="B22" s="5" t="s">
        <v>162</v>
      </c>
    </row>
    <row r="23" customFormat="false" ht="15" hidden="false" customHeight="false" outlineLevel="0" collapsed="false">
      <c r="A23" s="6" t="s">
        <v>163</v>
      </c>
      <c r="B23" s="6" t="s">
        <v>164</v>
      </c>
      <c r="C23" s="6" t="n">
        <v>13</v>
      </c>
      <c r="D23" s="7" t="n">
        <v>275980</v>
      </c>
      <c r="E23" s="7" t="n">
        <v>336462</v>
      </c>
      <c r="F23" s="6" t="s">
        <v>15</v>
      </c>
      <c r="G23" s="6" t="n">
        <v>36</v>
      </c>
      <c r="H23" s="6" t="n">
        <v>4</v>
      </c>
      <c r="I23" s="6" t="s">
        <v>16</v>
      </c>
    </row>
    <row r="24" customFormat="false" ht="15" hidden="false" customHeight="false" outlineLevel="0" collapsed="false">
      <c r="B24" s="5" t="s">
        <v>165</v>
      </c>
      <c r="D24" s="8" t="n">
        <f aca="false">D19+D23</f>
        <v>11054470</v>
      </c>
      <c r="E24" s="8" t="n">
        <f aca="false">E19+E23</f>
        <v>10830229</v>
      </c>
      <c r="F24" s="6" t="s">
        <v>40</v>
      </c>
    </row>
    <row r="25" customFormat="false" ht="15" hidden="false" customHeight="false" outlineLevel="0" collapsed="false">
      <c r="B25" s="5" t="s">
        <v>166</v>
      </c>
      <c r="D25" s="9" t="n">
        <v>11054471</v>
      </c>
      <c r="E25" s="9" t="n">
        <v>10830229</v>
      </c>
      <c r="F25" s="6" t="s">
        <v>15</v>
      </c>
      <c r="G25" s="6" t="n">
        <v>36</v>
      </c>
      <c r="H25" s="6" t="n">
        <v>4</v>
      </c>
    </row>
    <row r="26" customFormat="false" ht="15" hidden="false" customHeight="false" outlineLevel="0" collapsed="false">
      <c r="B26" s="10" t="s">
        <v>42</v>
      </c>
      <c r="D26" s="11" t="n">
        <f aca="false">D24-D25</f>
        <v>-1</v>
      </c>
      <c r="E26" s="11" t="n">
        <f aca="false">E24-E25</f>
        <v>0</v>
      </c>
      <c r="F26" s="6" t="s">
        <v>43</v>
      </c>
    </row>
    <row r="28" customFormat="false" ht="15" hidden="false" customHeight="false" outlineLevel="0" collapsed="false">
      <c r="B28" s="5" t="s">
        <v>167</v>
      </c>
    </row>
    <row r="29" customFormat="false" ht="15" hidden="false" customHeight="false" outlineLevel="0" collapsed="false">
      <c r="A29" s="6" t="s">
        <v>168</v>
      </c>
      <c r="B29" s="6" t="s">
        <v>169</v>
      </c>
      <c r="C29" s="6" t="n">
        <v>29</v>
      </c>
      <c r="D29" s="7" t="n">
        <v>1979745</v>
      </c>
      <c r="E29" s="7" t="n">
        <v>1601868</v>
      </c>
      <c r="F29" s="6" t="s">
        <v>15</v>
      </c>
      <c r="G29" s="6" t="n">
        <v>36</v>
      </c>
      <c r="H29" s="6" t="n">
        <v>4</v>
      </c>
      <c r="I29" s="6" t="s">
        <v>16</v>
      </c>
    </row>
    <row r="30" customFormat="false" ht="15" hidden="false" customHeight="false" outlineLevel="0" collapsed="false">
      <c r="A30" s="6" t="s">
        <v>170</v>
      </c>
      <c r="B30" s="6" t="s">
        <v>171</v>
      </c>
      <c r="C30" s="6" t="n">
        <v>29</v>
      </c>
      <c r="D30" s="7" t="n">
        <v>-4942969</v>
      </c>
      <c r="E30" s="7" t="n">
        <v>-4343203</v>
      </c>
      <c r="F30" s="6" t="s">
        <v>15</v>
      </c>
      <c r="G30" s="6" t="n">
        <v>36</v>
      </c>
      <c r="H30" s="6" t="n">
        <v>4</v>
      </c>
      <c r="I30" s="6" t="s">
        <v>16</v>
      </c>
    </row>
    <row r="31" customFormat="false" ht="15" hidden="false" customHeight="false" outlineLevel="0" collapsed="false">
      <c r="B31" s="5" t="s">
        <v>172</v>
      </c>
      <c r="D31" s="8" t="n">
        <f aca="false">D25+SUM(D29:D30)</f>
        <v>8091247</v>
      </c>
      <c r="E31" s="8" t="n">
        <f aca="false">E25+SUM(E29:E30)</f>
        <v>8088894</v>
      </c>
      <c r="F31" s="6" t="s">
        <v>40</v>
      </c>
    </row>
    <row r="32" customFormat="false" ht="15" hidden="false" customHeight="false" outlineLevel="0" collapsed="false">
      <c r="B32" s="5" t="s">
        <v>173</v>
      </c>
      <c r="D32" s="9" t="n">
        <v>8091246</v>
      </c>
      <c r="E32" s="9" t="n">
        <v>8088893</v>
      </c>
      <c r="F32" s="6" t="s">
        <v>15</v>
      </c>
      <c r="G32" s="6" t="n">
        <v>36</v>
      </c>
      <c r="H32" s="6" t="n">
        <v>4</v>
      </c>
    </row>
    <row r="33" customFormat="false" ht="15" hidden="false" customHeight="false" outlineLevel="0" collapsed="false">
      <c r="B33" s="10" t="s">
        <v>42</v>
      </c>
      <c r="D33" s="11" t="n">
        <f aca="false">D31-D32</f>
        <v>1</v>
      </c>
      <c r="E33" s="11" t="n">
        <f aca="false">E31-E32</f>
        <v>1</v>
      </c>
      <c r="F33" s="6" t="s">
        <v>43</v>
      </c>
    </row>
    <row r="35" customFormat="false" ht="15" hidden="false" customHeight="false" outlineLevel="0" collapsed="false">
      <c r="B35" s="5" t="s">
        <v>174</v>
      </c>
    </row>
    <row r="36" customFormat="false" ht="15" hidden="false" customHeight="false" outlineLevel="0" collapsed="false">
      <c r="A36" s="6" t="s">
        <v>175</v>
      </c>
      <c r="B36" s="6" t="s">
        <v>176</v>
      </c>
      <c r="C36" s="6"/>
      <c r="D36" s="7" t="n">
        <v>-634771</v>
      </c>
      <c r="E36" s="7" t="n">
        <v>-620678</v>
      </c>
      <c r="F36" s="6" t="s">
        <v>15</v>
      </c>
      <c r="G36" s="6" t="n">
        <v>36</v>
      </c>
      <c r="H36" s="6" t="n">
        <v>4</v>
      </c>
      <c r="I36" s="6" t="s">
        <v>16</v>
      </c>
    </row>
    <row r="37" customFormat="false" ht="15" hidden="false" customHeight="false" outlineLevel="0" collapsed="false">
      <c r="A37" s="6" t="s">
        <v>177</v>
      </c>
      <c r="B37" s="6" t="s">
        <v>178</v>
      </c>
      <c r="C37" s="6"/>
      <c r="D37" s="7" t="n">
        <v>-1713923</v>
      </c>
      <c r="E37" s="7" t="n">
        <v>-1706661</v>
      </c>
      <c r="F37" s="6" t="s">
        <v>15</v>
      </c>
      <c r="G37" s="6" t="n">
        <v>36</v>
      </c>
      <c r="H37" s="6" t="n">
        <v>4</v>
      </c>
      <c r="I37" s="6" t="s">
        <v>16</v>
      </c>
    </row>
    <row r="38" customFormat="false" ht="15" hidden="false" customHeight="false" outlineLevel="0" collapsed="false">
      <c r="B38" s="5" t="s">
        <v>179</v>
      </c>
      <c r="D38" s="8" t="n">
        <f aca="false">D32+SUM(D36:D37)</f>
        <v>5742552</v>
      </c>
      <c r="E38" s="8" t="n">
        <f aca="false">E32+SUM(E36:E37)</f>
        <v>5761554</v>
      </c>
      <c r="F38" s="6" t="s">
        <v>40</v>
      </c>
    </row>
    <row r="39" customFormat="false" ht="15" hidden="false" customHeight="false" outlineLevel="0" collapsed="false">
      <c r="B39" s="5" t="s">
        <v>180</v>
      </c>
      <c r="D39" s="9" t="n">
        <v>5742552</v>
      </c>
      <c r="E39" s="9" t="n">
        <v>5761554</v>
      </c>
      <c r="F39" s="6" t="s">
        <v>15</v>
      </c>
      <c r="G39" s="6" t="n">
        <v>36</v>
      </c>
      <c r="H39" s="6" t="n">
        <v>4</v>
      </c>
    </row>
    <row r="40" customFormat="false" ht="15" hidden="false" customHeight="false" outlineLevel="0" collapsed="false">
      <c r="B40" s="10" t="s">
        <v>42</v>
      </c>
      <c r="D40" s="11" t="n">
        <f aca="false">D38-D39</f>
        <v>0</v>
      </c>
      <c r="E40" s="11" t="n">
        <f aca="false">E38-E39</f>
        <v>0</v>
      </c>
      <c r="F40" s="6" t="s">
        <v>43</v>
      </c>
    </row>
    <row r="42" customFormat="false" ht="15" hidden="false" customHeight="false" outlineLevel="0" collapsed="false">
      <c r="B42" s="5" t="s">
        <v>181</v>
      </c>
    </row>
    <row r="43" customFormat="false" ht="15" hidden="false" customHeight="false" outlineLevel="0" collapsed="false">
      <c r="A43" s="6" t="s">
        <v>182</v>
      </c>
      <c r="B43" s="6" t="s">
        <v>183</v>
      </c>
      <c r="C43" s="6"/>
      <c r="D43" s="7" t="n">
        <v>-1930668</v>
      </c>
      <c r="E43" s="7" t="n">
        <v>-1817542</v>
      </c>
      <c r="F43" s="6" t="s">
        <v>15</v>
      </c>
      <c r="G43" s="6" t="n">
        <v>36</v>
      </c>
      <c r="H43" s="6" t="n">
        <v>4</v>
      </c>
      <c r="I43" s="6" t="s">
        <v>16</v>
      </c>
    </row>
    <row r="44" customFormat="false" ht="15" hidden="false" customHeight="false" outlineLevel="0" collapsed="false">
      <c r="A44" s="6" t="s">
        <v>184</v>
      </c>
      <c r="B44" s="6" t="s">
        <v>185</v>
      </c>
      <c r="C44" s="6" t="n">
        <v>28</v>
      </c>
      <c r="D44" s="7" t="n">
        <v>-2369144</v>
      </c>
      <c r="E44" s="7" t="n">
        <v>-2554294</v>
      </c>
      <c r="F44" s="6" t="s">
        <v>15</v>
      </c>
      <c r="G44" s="6" t="n">
        <v>36</v>
      </c>
      <c r="H44" s="6" t="n">
        <v>4</v>
      </c>
      <c r="I44" s="6" t="s">
        <v>16</v>
      </c>
    </row>
    <row r="45" customFormat="false" ht="15" hidden="false" customHeight="false" outlineLevel="0" collapsed="false">
      <c r="A45" s="6" t="s">
        <v>186</v>
      </c>
      <c r="B45" s="6" t="s">
        <v>187</v>
      </c>
      <c r="C45" s="6"/>
      <c r="D45" s="7" t="n">
        <v>-361253</v>
      </c>
      <c r="E45" s="7" t="n">
        <v>-416808</v>
      </c>
      <c r="F45" s="6" t="s">
        <v>15</v>
      </c>
      <c r="G45" s="6" t="n">
        <v>36</v>
      </c>
      <c r="H45" s="6" t="n">
        <v>4</v>
      </c>
      <c r="I45" s="6" t="s">
        <v>16</v>
      </c>
    </row>
    <row r="46" customFormat="false" ht="15" hidden="false" customHeight="false" outlineLevel="0" collapsed="false">
      <c r="A46" s="6" t="s">
        <v>188</v>
      </c>
      <c r="B46" s="6" t="s">
        <v>189</v>
      </c>
      <c r="C46" s="6"/>
      <c r="D46" s="7" t="n">
        <v>-332792</v>
      </c>
      <c r="E46" s="7" t="n">
        <v>-332791</v>
      </c>
      <c r="F46" s="6" t="s">
        <v>15</v>
      </c>
      <c r="G46" s="6" t="n">
        <v>36</v>
      </c>
      <c r="H46" s="6" t="n">
        <v>4</v>
      </c>
      <c r="I46" s="6" t="s">
        <v>16</v>
      </c>
    </row>
    <row r="47" customFormat="false" ht="15" hidden="false" customHeight="false" outlineLevel="0" collapsed="false">
      <c r="A47" s="6" t="s">
        <v>190</v>
      </c>
      <c r="B47" s="6" t="s">
        <v>191</v>
      </c>
      <c r="C47" s="6"/>
      <c r="D47" s="7" t="n">
        <v>5484324</v>
      </c>
      <c r="E47" s="7" t="n">
        <v>5457652</v>
      </c>
      <c r="F47" s="6" t="s">
        <v>15</v>
      </c>
      <c r="G47" s="6" t="n">
        <v>36</v>
      </c>
      <c r="H47" s="6" t="n">
        <v>4</v>
      </c>
      <c r="I47" s="6" t="s">
        <v>16</v>
      </c>
    </row>
    <row r="48" customFormat="false" ht="15" hidden="false" customHeight="false" outlineLevel="0" collapsed="false">
      <c r="A48" s="6" t="s">
        <v>192</v>
      </c>
      <c r="B48" s="6" t="s">
        <v>193</v>
      </c>
      <c r="C48" s="6"/>
      <c r="D48" s="7" t="n">
        <v>258229</v>
      </c>
      <c r="E48" s="7" t="n">
        <v>303902</v>
      </c>
      <c r="F48" s="6" t="s">
        <v>15</v>
      </c>
      <c r="G48" s="6" t="n">
        <v>36</v>
      </c>
      <c r="H48" s="6" t="n">
        <v>4</v>
      </c>
      <c r="I48" s="6" t="s">
        <v>16</v>
      </c>
    </row>
    <row r="49" customFormat="false" ht="15" hidden="false" customHeight="false" outlineLevel="0" collapsed="false">
      <c r="B49" s="10" t="s">
        <v>194</v>
      </c>
      <c r="D49" s="11" t="n">
        <f aca="false">D47+D48-D39</f>
        <v>1</v>
      </c>
      <c r="E49" s="11" t="n">
        <f aca="false">E47+E48-E39</f>
        <v>0</v>
      </c>
      <c r="F49" s="6" t="s">
        <v>195</v>
      </c>
    </row>
    <row r="50" customFormat="false" ht="15" hidden="false" customHeight="false" outlineLevel="0" collapsed="false">
      <c r="B50" s="10" t="s">
        <v>196</v>
      </c>
      <c r="D50" s="11" t="n">
        <f aca="false">D8-D43-D44</f>
        <v>0</v>
      </c>
      <c r="E50" s="11" t="n">
        <f aca="false">E8-E43-E44</f>
        <v>0</v>
      </c>
    </row>
    <row r="51" customFormat="false" ht="15" hidden="false" customHeight="false" outlineLevel="0" collapsed="false">
      <c r="A51" s="6" t="s">
        <v>197</v>
      </c>
      <c r="B51" s="6" t="s">
        <v>198</v>
      </c>
      <c r="D51" s="12" t="n">
        <v>4.76</v>
      </c>
      <c r="E51" s="12" t="n">
        <v>4.74</v>
      </c>
      <c r="F51" s="6" t="s">
        <v>15</v>
      </c>
      <c r="G51" s="6" t="n">
        <v>36</v>
      </c>
      <c r="H51" s="6" t="n">
        <v>4</v>
      </c>
    </row>
  </sheetData>
  <mergeCells count="1"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6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8" min="7" style="0" width="9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1" t="s">
        <v>199</v>
      </c>
    </row>
    <row r="2" customFormat="false" ht="15" hidden="false" customHeight="false" outlineLevel="0" collapsed="false">
      <c r="A2" s="2" t="s">
        <v>1</v>
      </c>
    </row>
    <row r="3" customFormat="false" ht="39.75" hidden="false" customHeight="true" outlineLevel="0" collapsed="false">
      <c r="A3" s="3" t="s">
        <v>200</v>
      </c>
      <c r="B3" s="3"/>
      <c r="C3" s="3"/>
      <c r="D3" s="3"/>
      <c r="E3" s="3"/>
      <c r="F3" s="3"/>
      <c r="G3" s="3"/>
      <c r="H3" s="3"/>
      <c r="I3" s="3"/>
    </row>
    <row r="4" customFormat="false" ht="22.3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customFormat="false" ht="15" hidden="false" customHeight="false" outlineLevel="0" collapsed="false">
      <c r="B5" s="5" t="s">
        <v>201</v>
      </c>
    </row>
    <row r="6" customFormat="false" ht="15" hidden="false" customHeight="false" outlineLevel="0" collapsed="false">
      <c r="A6" s="6" t="s">
        <v>202</v>
      </c>
      <c r="B6" s="6" t="s">
        <v>203</v>
      </c>
      <c r="C6" s="6"/>
      <c r="D6" s="7" t="n">
        <v>8091246</v>
      </c>
      <c r="E6" s="7" t="n">
        <v>8088893</v>
      </c>
      <c r="F6" s="6" t="s">
        <v>15</v>
      </c>
      <c r="G6" s="6" t="n">
        <v>39</v>
      </c>
      <c r="H6" s="6" t="n">
        <v>7</v>
      </c>
      <c r="I6" s="6" t="s">
        <v>16</v>
      </c>
    </row>
    <row r="7" customFormat="false" ht="15" hidden="false" customHeight="false" outlineLevel="0" collapsed="false">
      <c r="A7" s="6" t="s">
        <v>204</v>
      </c>
      <c r="B7" s="6" t="s">
        <v>205</v>
      </c>
      <c r="C7" s="6"/>
      <c r="D7" s="7" t="n">
        <v>2397217</v>
      </c>
      <c r="E7" s="7" t="n">
        <v>2303124</v>
      </c>
      <c r="F7" s="6" t="s">
        <v>15</v>
      </c>
      <c r="G7" s="6" t="n">
        <v>39</v>
      </c>
      <c r="H7" s="6" t="n">
        <v>7</v>
      </c>
      <c r="I7" s="6" t="s">
        <v>16</v>
      </c>
    </row>
    <row r="8" customFormat="false" ht="15" hidden="false" customHeight="false" outlineLevel="0" collapsed="false">
      <c r="A8" s="6" t="s">
        <v>206</v>
      </c>
      <c r="B8" s="6" t="s">
        <v>207</v>
      </c>
      <c r="C8" s="6"/>
      <c r="D8" s="7" t="n">
        <v>361253</v>
      </c>
      <c r="E8" s="7" t="n">
        <v>416808</v>
      </c>
      <c r="F8" s="6" t="s">
        <v>15</v>
      </c>
      <c r="G8" s="6" t="n">
        <v>39</v>
      </c>
      <c r="H8" s="6" t="n">
        <v>7</v>
      </c>
      <c r="I8" s="6" t="s">
        <v>16</v>
      </c>
    </row>
    <row r="9" customFormat="false" ht="15" hidden="false" customHeight="false" outlineLevel="0" collapsed="false">
      <c r="A9" s="6" t="s">
        <v>208</v>
      </c>
      <c r="B9" s="6" t="s">
        <v>209</v>
      </c>
      <c r="C9" s="6"/>
      <c r="D9" s="7" t="n">
        <v>2642184</v>
      </c>
      <c r="E9" s="7" t="n">
        <v>2432471</v>
      </c>
      <c r="F9" s="6" t="s">
        <v>15</v>
      </c>
      <c r="G9" s="6" t="n">
        <v>39</v>
      </c>
      <c r="H9" s="6" t="n">
        <v>7</v>
      </c>
      <c r="I9" s="6" t="s">
        <v>16</v>
      </c>
    </row>
    <row r="10" customFormat="false" ht="15" hidden="false" customHeight="false" outlineLevel="0" collapsed="false">
      <c r="A10" s="6" t="s">
        <v>210</v>
      </c>
      <c r="B10" s="6" t="s">
        <v>211</v>
      </c>
      <c r="C10" s="6"/>
      <c r="D10" s="7" t="n">
        <v>-275980</v>
      </c>
      <c r="E10" s="7" t="n">
        <v>-336462</v>
      </c>
      <c r="F10" s="6" t="s">
        <v>15</v>
      </c>
      <c r="G10" s="6" t="n">
        <v>39</v>
      </c>
      <c r="H10" s="6" t="n">
        <v>7</v>
      </c>
      <c r="I10" s="6" t="s">
        <v>16</v>
      </c>
    </row>
    <row r="11" customFormat="false" ht="15" hidden="false" customHeight="false" outlineLevel="0" collapsed="false">
      <c r="A11" s="6" t="s">
        <v>212</v>
      </c>
      <c r="B11" s="6" t="s">
        <v>213</v>
      </c>
      <c r="C11" s="6"/>
      <c r="D11" s="7" t="n">
        <v>10806804</v>
      </c>
      <c r="E11" s="7" t="n">
        <v>11850611</v>
      </c>
      <c r="F11" s="6" t="s">
        <v>15</v>
      </c>
      <c r="G11" s="6" t="n">
        <v>39</v>
      </c>
      <c r="H11" s="6" t="n">
        <v>7</v>
      </c>
      <c r="I11" s="6" t="s">
        <v>16</v>
      </c>
    </row>
    <row r="12" customFormat="false" ht="15" hidden="false" customHeight="false" outlineLevel="0" collapsed="false">
      <c r="A12" s="6" t="s">
        <v>214</v>
      </c>
      <c r="B12" s="6" t="s">
        <v>215</v>
      </c>
      <c r="C12" s="6"/>
      <c r="D12" s="7" t="n">
        <v>-2084774</v>
      </c>
      <c r="E12" s="7" t="n">
        <v>-2142754</v>
      </c>
      <c r="F12" s="6" t="s">
        <v>15</v>
      </c>
      <c r="G12" s="6" t="n">
        <v>39</v>
      </c>
      <c r="H12" s="6" t="n">
        <v>7</v>
      </c>
      <c r="I12" s="6" t="s">
        <v>16</v>
      </c>
    </row>
    <row r="13" customFormat="false" ht="15" hidden="false" customHeight="false" outlineLevel="0" collapsed="false">
      <c r="A13" s="6" t="s">
        <v>216</v>
      </c>
      <c r="B13" s="6" t="s">
        <v>217</v>
      </c>
      <c r="C13" s="6"/>
      <c r="D13" s="7" t="n">
        <v>-1559233</v>
      </c>
      <c r="E13" s="7" t="n">
        <v>-2918915</v>
      </c>
      <c r="F13" s="6" t="s">
        <v>15</v>
      </c>
      <c r="G13" s="6" t="n">
        <v>39</v>
      </c>
      <c r="H13" s="6" t="n">
        <v>7</v>
      </c>
      <c r="I13" s="6" t="s">
        <v>16</v>
      </c>
    </row>
    <row r="14" customFormat="false" ht="15" hidden="false" customHeight="false" outlineLevel="0" collapsed="false">
      <c r="A14" s="6" t="s">
        <v>218</v>
      </c>
      <c r="B14" s="6" t="s">
        <v>219</v>
      </c>
      <c r="C14" s="6"/>
      <c r="D14" s="7" t="n">
        <v>7162797</v>
      </c>
      <c r="E14" s="7" t="n">
        <v>6788942</v>
      </c>
      <c r="F14" s="6" t="s">
        <v>15</v>
      </c>
      <c r="G14" s="6" t="n">
        <v>39</v>
      </c>
      <c r="H14" s="6" t="n">
        <v>7</v>
      </c>
      <c r="I14" s="6" t="s">
        <v>16</v>
      </c>
    </row>
    <row r="15" customFormat="false" ht="15" hidden="false" customHeight="false" outlineLevel="0" collapsed="false">
      <c r="A15" s="6" t="s">
        <v>220</v>
      </c>
      <c r="B15" s="6" t="s">
        <v>221</v>
      </c>
      <c r="C15" s="6"/>
      <c r="D15" s="7" t="n">
        <v>-4963868</v>
      </c>
      <c r="E15" s="7" t="n">
        <v>-4543589</v>
      </c>
      <c r="F15" s="6" t="s">
        <v>15</v>
      </c>
      <c r="G15" s="6" t="n">
        <v>39</v>
      </c>
      <c r="H15" s="6" t="n">
        <v>7</v>
      </c>
      <c r="I15" s="6" t="s">
        <v>16</v>
      </c>
    </row>
    <row r="16" customFormat="false" ht="15" hidden="false" customHeight="false" outlineLevel="0" collapsed="false">
      <c r="A16" s="6" t="s">
        <v>222</v>
      </c>
      <c r="B16" s="6" t="s">
        <v>223</v>
      </c>
      <c r="C16" s="6"/>
      <c r="D16" s="7" t="n">
        <v>-369941</v>
      </c>
      <c r="E16" s="7" t="n">
        <v>-509943</v>
      </c>
      <c r="F16" s="6" t="s">
        <v>15</v>
      </c>
      <c r="G16" s="6" t="n">
        <v>39</v>
      </c>
      <c r="H16" s="6" t="n">
        <v>7</v>
      </c>
      <c r="I16" s="6" t="s">
        <v>16</v>
      </c>
    </row>
    <row r="17" customFormat="false" ht="15" hidden="false" customHeight="false" outlineLevel="0" collapsed="false">
      <c r="A17" s="6" t="s">
        <v>224</v>
      </c>
      <c r="B17" s="6" t="s">
        <v>225</v>
      </c>
      <c r="C17" s="6"/>
      <c r="D17" s="7" t="n">
        <v>-4399571</v>
      </c>
      <c r="E17" s="7" t="n">
        <v>-5531381</v>
      </c>
      <c r="F17" s="6" t="s">
        <v>15</v>
      </c>
      <c r="G17" s="6" t="n">
        <v>39</v>
      </c>
      <c r="H17" s="6" t="n">
        <v>7</v>
      </c>
      <c r="I17" s="6" t="s">
        <v>16</v>
      </c>
    </row>
    <row r="18" customFormat="false" ht="15" hidden="false" customHeight="false" outlineLevel="0" collapsed="false">
      <c r="A18" s="6" t="s">
        <v>226</v>
      </c>
      <c r="B18" s="6" t="s">
        <v>227</v>
      </c>
      <c r="C18" s="6"/>
      <c r="D18" s="7" t="n">
        <v>10266269</v>
      </c>
      <c r="E18" s="7" t="n">
        <v>7761288</v>
      </c>
      <c r="F18" s="6" t="s">
        <v>15</v>
      </c>
      <c r="G18" s="6" t="n">
        <v>39</v>
      </c>
      <c r="H18" s="6" t="n">
        <v>7</v>
      </c>
      <c r="I18" s="6" t="s">
        <v>16</v>
      </c>
    </row>
    <row r="19" customFormat="false" ht="15" hidden="false" customHeight="false" outlineLevel="0" collapsed="false">
      <c r="A19" s="6" t="s">
        <v>228</v>
      </c>
      <c r="B19" s="6" t="s">
        <v>229</v>
      </c>
      <c r="C19" s="6"/>
      <c r="D19" s="7" t="n">
        <v>-10727722</v>
      </c>
      <c r="E19" s="7" t="n">
        <v>-6542435</v>
      </c>
      <c r="F19" s="6" t="s">
        <v>15</v>
      </c>
      <c r="G19" s="6" t="n">
        <v>39</v>
      </c>
      <c r="H19" s="6" t="n">
        <v>7</v>
      </c>
      <c r="I19" s="6" t="s">
        <v>16</v>
      </c>
    </row>
    <row r="20" customFormat="false" ht="15" hidden="false" customHeight="false" outlineLevel="0" collapsed="false">
      <c r="A20" s="6" t="s">
        <v>230</v>
      </c>
      <c r="B20" s="6" t="s">
        <v>231</v>
      </c>
      <c r="C20" s="6"/>
      <c r="D20" s="7" t="n">
        <v>-3519769</v>
      </c>
      <c r="E20" s="7" t="n">
        <v>-3479652</v>
      </c>
      <c r="F20" s="6" t="s">
        <v>15</v>
      </c>
      <c r="G20" s="6" t="n">
        <v>39</v>
      </c>
      <c r="H20" s="6" t="n">
        <v>7</v>
      </c>
      <c r="I20" s="6" t="s">
        <v>16</v>
      </c>
    </row>
    <row r="21" customFormat="false" ht="15" hidden="false" customHeight="false" outlineLevel="0" collapsed="false">
      <c r="A21" s="6" t="s">
        <v>232</v>
      </c>
      <c r="B21" s="6" t="s">
        <v>233</v>
      </c>
      <c r="C21" s="6"/>
      <c r="D21" s="7" t="n">
        <v>-2507307</v>
      </c>
      <c r="E21" s="7" t="n">
        <v>-3719346</v>
      </c>
      <c r="F21" s="6" t="s">
        <v>15</v>
      </c>
      <c r="G21" s="6" t="n">
        <v>39</v>
      </c>
      <c r="H21" s="6" t="n">
        <v>7</v>
      </c>
      <c r="I21" s="6" t="s">
        <v>16</v>
      </c>
    </row>
    <row r="22" customFormat="false" ht="15" hidden="false" customHeight="false" outlineLevel="0" collapsed="false">
      <c r="A22" s="6" t="s">
        <v>234</v>
      </c>
      <c r="B22" s="6" t="s">
        <v>235</v>
      </c>
      <c r="C22" s="6"/>
      <c r="D22" s="7" t="n">
        <v>255919</v>
      </c>
      <c r="E22" s="7" t="n">
        <v>-2461785</v>
      </c>
      <c r="F22" s="6" t="s">
        <v>15</v>
      </c>
      <c r="G22" s="6" t="n">
        <v>39</v>
      </c>
      <c r="H22" s="6" t="n">
        <v>7</v>
      </c>
      <c r="I22" s="6" t="s">
        <v>16</v>
      </c>
    </row>
    <row r="23" customFormat="false" ht="15" hidden="false" customHeight="false" outlineLevel="0" collapsed="false">
      <c r="A23" s="6" t="s">
        <v>236</v>
      </c>
      <c r="B23" s="6" t="s">
        <v>237</v>
      </c>
      <c r="C23" s="6"/>
      <c r="D23" s="7" t="n">
        <v>1973401</v>
      </c>
      <c r="E23" s="7" t="n">
        <v>4435186</v>
      </c>
      <c r="F23" s="6" t="s">
        <v>15</v>
      </c>
      <c r="G23" s="6" t="n">
        <v>39</v>
      </c>
      <c r="H23" s="6" t="n">
        <v>7</v>
      </c>
      <c r="I23" s="6" t="s">
        <v>16</v>
      </c>
    </row>
    <row r="24" customFormat="false" ht="15" hidden="false" customHeight="false" outlineLevel="0" collapsed="false">
      <c r="A24" s="6" t="s">
        <v>238</v>
      </c>
      <c r="B24" s="6" t="s">
        <v>239</v>
      </c>
      <c r="C24" s="6"/>
      <c r="D24" s="7" t="n">
        <v>2229320</v>
      </c>
      <c r="E24" s="7" t="n">
        <v>1973401</v>
      </c>
      <c r="F24" s="6" t="s">
        <v>15</v>
      </c>
      <c r="G24" s="6" t="n">
        <v>39</v>
      </c>
      <c r="H24" s="6" t="n">
        <v>7</v>
      </c>
      <c r="I24" s="6" t="s">
        <v>16</v>
      </c>
    </row>
    <row r="25" customFormat="false" ht="15" hidden="false" customHeight="false" outlineLevel="0" collapsed="false">
      <c r="B25" s="10" t="s">
        <v>240</v>
      </c>
      <c r="D25" s="11" t="n">
        <f aca="false">D11+D12+D13-D14</f>
        <v>0</v>
      </c>
      <c r="E25" s="11" t="n">
        <f aca="false">E11+E12+E13-E14</f>
        <v>0</v>
      </c>
    </row>
    <row r="26" customFormat="false" ht="15" hidden="false" customHeight="false" outlineLevel="0" collapsed="false">
      <c r="B26" s="10" t="s">
        <v>241</v>
      </c>
      <c r="D26" s="11" t="n">
        <f aca="false">D14+D17+D21-D22</f>
        <v>0</v>
      </c>
      <c r="E26" s="11" t="n">
        <f aca="false">E14+E17+E21-E22</f>
        <v>0</v>
      </c>
    </row>
    <row r="27" customFormat="false" ht="15" hidden="false" customHeight="false" outlineLevel="0" collapsed="false">
      <c r="B27" s="10" t="s">
        <v>242</v>
      </c>
      <c r="D27" s="11" t="n">
        <f aca="false">D23+D22-D24</f>
        <v>0</v>
      </c>
      <c r="E27" s="11" t="n">
        <f aca="false">E23+E22-E24</f>
        <v>0</v>
      </c>
    </row>
  </sheetData>
  <mergeCells count="1"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6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8" min="7" style="0" width="9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1" t="s">
        <v>243</v>
      </c>
    </row>
    <row r="2" customFormat="false" ht="15" hidden="false" customHeight="false" outlineLevel="0" collapsed="false">
      <c r="A2" s="2" t="s">
        <v>1</v>
      </c>
    </row>
    <row r="3" customFormat="false" ht="39.75" hidden="false" customHeight="true" outlineLevel="0" collapsed="false">
      <c r="A3" s="3" t="s">
        <v>244</v>
      </c>
      <c r="B3" s="3"/>
      <c r="C3" s="3"/>
      <c r="D3" s="3"/>
      <c r="E3" s="3"/>
      <c r="F3" s="3"/>
      <c r="G3" s="3"/>
      <c r="H3" s="3"/>
      <c r="I3" s="3"/>
    </row>
    <row r="4" customFormat="false" ht="22.3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customFormat="false" ht="15" hidden="false" customHeight="false" outlineLevel="0" collapsed="false">
      <c r="B5" s="5" t="s">
        <v>245</v>
      </c>
    </row>
    <row r="6" customFormat="false" ht="15" hidden="false" customHeight="false" outlineLevel="0" collapsed="false">
      <c r="A6" s="6" t="s">
        <v>246</v>
      </c>
      <c r="B6" s="6" t="s">
        <v>247</v>
      </c>
      <c r="C6" s="6" t="n">
        <v>11</v>
      </c>
      <c r="D6" s="7" t="n">
        <v>25209768</v>
      </c>
      <c r="E6" s="7" t="n">
        <v>21617521</v>
      </c>
      <c r="F6" s="6" t="s">
        <v>15</v>
      </c>
      <c r="G6" s="6" t="n">
        <v>68</v>
      </c>
      <c r="H6" s="6" t="n">
        <v>36</v>
      </c>
      <c r="I6" s="6" t="s">
        <v>16</v>
      </c>
    </row>
    <row r="7" customFormat="false" ht="15" hidden="false" customHeight="false" outlineLevel="0" collapsed="false">
      <c r="A7" s="6" t="s">
        <v>248</v>
      </c>
      <c r="B7" s="6" t="s">
        <v>249</v>
      </c>
      <c r="C7" s="6" t="n">
        <v>11</v>
      </c>
      <c r="D7" s="7" t="n">
        <v>1285173</v>
      </c>
      <c r="E7" s="7" t="n">
        <v>1104267</v>
      </c>
      <c r="F7" s="6" t="s">
        <v>15</v>
      </c>
      <c r="G7" s="6" t="n">
        <v>68</v>
      </c>
      <c r="H7" s="6" t="n">
        <v>36</v>
      </c>
      <c r="I7" s="6" t="s">
        <v>16</v>
      </c>
    </row>
    <row r="8" customFormat="false" ht="15" hidden="false" customHeight="false" outlineLevel="0" collapsed="false">
      <c r="A8" s="6" t="s">
        <v>250</v>
      </c>
      <c r="B8" s="6" t="s">
        <v>251</v>
      </c>
      <c r="C8" s="6" t="n">
        <v>11</v>
      </c>
      <c r="D8" s="7" t="n">
        <v>3368915</v>
      </c>
      <c r="E8" s="7" t="n">
        <v>2690645</v>
      </c>
      <c r="F8" s="6" t="s">
        <v>15</v>
      </c>
      <c r="G8" s="6" t="n">
        <v>68</v>
      </c>
      <c r="H8" s="6" t="n">
        <v>36</v>
      </c>
      <c r="I8" s="6" t="s">
        <v>16</v>
      </c>
    </row>
    <row r="9" customFormat="false" ht="15" hidden="false" customHeight="false" outlineLevel="0" collapsed="false">
      <c r="A9" s="6" t="s">
        <v>252</v>
      </c>
      <c r="B9" s="6" t="s">
        <v>253</v>
      </c>
      <c r="C9" s="6" t="n">
        <v>11</v>
      </c>
      <c r="D9" s="7" t="n">
        <v>-12576</v>
      </c>
      <c r="E9" s="7" t="n">
        <v>-8185</v>
      </c>
      <c r="F9" s="6" t="s">
        <v>15</v>
      </c>
      <c r="G9" s="6" t="n">
        <v>68</v>
      </c>
      <c r="H9" s="6" t="n">
        <v>36</v>
      </c>
      <c r="I9" s="6" t="s">
        <v>16</v>
      </c>
    </row>
    <row r="10" customFormat="false" ht="15" hidden="false" customHeight="false" outlineLevel="0" collapsed="false">
      <c r="A10" s="6" t="s">
        <v>254</v>
      </c>
      <c r="B10" s="6" t="s">
        <v>255</v>
      </c>
      <c r="C10" s="6" t="n">
        <v>11</v>
      </c>
      <c r="D10" s="7" t="n">
        <v>-227661</v>
      </c>
      <c r="E10" s="7" t="n">
        <v>-194481</v>
      </c>
      <c r="F10" s="6" t="s">
        <v>15</v>
      </c>
      <c r="G10" s="6" t="n">
        <v>68</v>
      </c>
      <c r="H10" s="6" t="n">
        <v>36</v>
      </c>
      <c r="I10" s="6" t="s">
        <v>16</v>
      </c>
    </row>
    <row r="11" customFormat="false" ht="15" hidden="false" customHeight="false" outlineLevel="0" collapsed="false">
      <c r="B11" s="5" t="s">
        <v>256</v>
      </c>
      <c r="D11" s="8" t="n">
        <f aca="false">SUM(D6:D10)</f>
        <v>29623619</v>
      </c>
      <c r="E11" s="8" t="n">
        <f aca="false">SUM(E6:E10)</f>
        <v>25209767</v>
      </c>
      <c r="F11" s="6" t="s">
        <v>40</v>
      </c>
    </row>
    <row r="12" customFormat="false" ht="15" hidden="false" customHeight="false" outlineLevel="0" collapsed="false">
      <c r="B12" s="5" t="s">
        <v>257</v>
      </c>
      <c r="D12" s="9" t="n">
        <v>29623619</v>
      </c>
      <c r="E12" s="9" t="n">
        <v>25209768</v>
      </c>
      <c r="F12" s="6" t="s">
        <v>15</v>
      </c>
      <c r="G12" s="6" t="n">
        <v>68</v>
      </c>
      <c r="H12" s="6" t="n">
        <v>36</v>
      </c>
    </row>
    <row r="13" customFormat="false" ht="15" hidden="false" customHeight="false" outlineLevel="0" collapsed="false">
      <c r="B13" s="10" t="s">
        <v>42</v>
      </c>
      <c r="D13" s="11" t="n">
        <f aca="false">D11-D12</f>
        <v>0</v>
      </c>
      <c r="E13" s="11" t="n">
        <f aca="false">E11-E12</f>
        <v>-1</v>
      </c>
      <c r="F13" s="6" t="s">
        <v>43</v>
      </c>
    </row>
    <row r="15" customFormat="false" ht="15" hidden="false" customHeight="false" outlineLevel="0" collapsed="false">
      <c r="B15" s="6" t="s">
        <v>258</v>
      </c>
      <c r="D15" s="13" t="n">
        <f aca="false">-(113091+114570)</f>
        <v>-227661</v>
      </c>
      <c r="E15" s="13" t="n">
        <f aca="false">-(96326+98156)</f>
        <v>-194482</v>
      </c>
      <c r="F15" s="6" t="s">
        <v>15</v>
      </c>
      <c r="G15" s="6" t="n">
        <v>68</v>
      </c>
    </row>
    <row r="16" customFormat="false" ht="15" hidden="false" customHeight="false" outlineLevel="0" collapsed="false">
      <c r="B16" s="10" t="s">
        <v>259</v>
      </c>
      <c r="D16" s="11" t="n">
        <f aca="false">D15-D10</f>
        <v>0</v>
      </c>
      <c r="E16" s="11" t="n">
        <f aca="false">E15-E10</f>
        <v>-1</v>
      </c>
    </row>
    <row r="17" customFormat="false" ht="15" hidden="false" customHeight="false" outlineLevel="0" collapsed="false">
      <c r="B17" s="10" t="s">
        <v>260</v>
      </c>
      <c r="D17" s="14" t="n">
        <f aca="false">D7/DRE!D32</f>
        <v>0.158834992781087</v>
      </c>
      <c r="F17" s="6" t="s">
        <v>261</v>
      </c>
    </row>
  </sheetData>
  <mergeCells count="1"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0"/>
    <col collapsed="false" customWidth="true" hidden="false" outlineLevel="0" max="4" min="3" style="0" width="16"/>
    <col collapsed="false" customWidth="true" hidden="false" outlineLevel="0" max="6" min="5" style="0" width="30"/>
    <col collapsed="false" customWidth="true" hidden="false" outlineLevel="0" max="9" min="7" style="0" width="2"/>
  </cols>
  <sheetData>
    <row r="1" customFormat="false" ht="15" hidden="false" customHeight="false" outlineLevel="0" collapsed="false">
      <c r="A1" s="1" t="s">
        <v>262</v>
      </c>
    </row>
    <row r="2" customFormat="false" ht="15" hidden="false" customHeight="false" outlineLevel="0" collapsed="false">
      <c r="A2" s="2" t="s">
        <v>1</v>
      </c>
    </row>
    <row r="3" customFormat="false" ht="39.75" hidden="false" customHeight="true" outlineLevel="0" collapsed="false">
      <c r="A3" s="3" t="s">
        <v>263</v>
      </c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4" t="s">
        <v>3</v>
      </c>
      <c r="B4" s="4" t="s">
        <v>264</v>
      </c>
      <c r="C4" s="4" t="s">
        <v>265</v>
      </c>
      <c r="D4" s="4" t="s">
        <v>266</v>
      </c>
      <c r="E4" s="4" t="s">
        <v>267</v>
      </c>
      <c r="F4" s="4" t="s">
        <v>268</v>
      </c>
      <c r="G4" s="4"/>
      <c r="H4" s="4"/>
      <c r="I4" s="4"/>
    </row>
    <row r="5" customFormat="false" ht="15" hidden="false" customHeight="false" outlineLevel="0" collapsed="false">
      <c r="A5" s="6" t="s">
        <v>269</v>
      </c>
      <c r="B5" s="6" t="s">
        <v>270</v>
      </c>
      <c r="C5" s="11" t="n">
        <f aca="false">BP_Ativo!D43-BP_Passivo_PL!D60</f>
        <v>0</v>
      </c>
      <c r="D5" s="11" t="n">
        <f aca="false">BP_Ativo!E43-BP_Passivo_PL!E60</f>
        <v>0</v>
      </c>
      <c r="E5" s="6" t="s">
        <v>271</v>
      </c>
      <c r="F5" s="6" t="s">
        <v>272</v>
      </c>
    </row>
    <row r="6" customFormat="false" ht="15" hidden="false" customHeight="false" outlineLevel="0" collapsed="false">
      <c r="A6" s="6" t="s">
        <v>273</v>
      </c>
      <c r="B6" s="6" t="s">
        <v>274</v>
      </c>
      <c r="C6" s="11" t="n">
        <f aca="false">DRE!D32-DFC!D6</f>
        <v>0</v>
      </c>
      <c r="D6" s="11" t="n">
        <f aca="false">DRE!E32-DFC!E6</f>
        <v>0</v>
      </c>
      <c r="E6" s="6" t="s">
        <v>271</v>
      </c>
      <c r="F6" s="6" t="s">
        <v>272</v>
      </c>
    </row>
    <row r="7" customFormat="false" ht="15" hidden="false" customHeight="false" outlineLevel="0" collapsed="false">
      <c r="A7" s="6" t="s">
        <v>275</v>
      </c>
      <c r="B7" s="6" t="s">
        <v>276</v>
      </c>
      <c r="C7" s="11" t="n">
        <f aca="false">DFC!D24-BP_Ativo!D6</f>
        <v>0</v>
      </c>
      <c r="D7" s="11" t="n">
        <f aca="false">DFC!E24-BP_Ativo!E6</f>
        <v>0</v>
      </c>
      <c r="E7" s="6" t="s">
        <v>271</v>
      </c>
      <c r="F7" s="6" t="s">
        <v>272</v>
      </c>
    </row>
    <row r="8" customFormat="false" ht="15" hidden="false" customHeight="false" outlineLevel="0" collapsed="false">
      <c r="A8" s="6" t="s">
        <v>277</v>
      </c>
      <c r="B8" s="6" t="s">
        <v>278</v>
      </c>
      <c r="C8" s="11" t="n">
        <f aca="false">DFC!D23-BP_Ativo!E6</f>
        <v>0</v>
      </c>
      <c r="E8" s="6" t="s">
        <v>271</v>
      </c>
      <c r="F8" s="6" t="s">
        <v>272</v>
      </c>
    </row>
    <row r="9" customFormat="false" ht="15" hidden="false" customHeight="false" outlineLevel="0" collapsed="false">
      <c r="A9" s="6" t="s">
        <v>279</v>
      </c>
      <c r="B9" s="6" t="s">
        <v>280</v>
      </c>
      <c r="C9" s="11" t="n">
        <f aca="false">Nota11_AFC!D12-BP_Ativo!D31</f>
        <v>0</v>
      </c>
      <c r="D9" s="11" t="n">
        <f aca="false">Nota11_AFC!E12-BP_Ativo!E31</f>
        <v>0</v>
      </c>
      <c r="E9" s="6" t="s">
        <v>271</v>
      </c>
      <c r="F9" s="6" t="s">
        <v>272</v>
      </c>
    </row>
    <row r="10" customFormat="false" ht="15" hidden="false" customHeight="false" outlineLevel="0" collapsed="false">
      <c r="A10" s="6" t="s">
        <v>281</v>
      </c>
      <c r="B10" s="6" t="s">
        <v>282</v>
      </c>
      <c r="C10" s="11" t="n">
        <f aca="false">Nota11_AFC!D6-Nota11_AFC!E12</f>
        <v>0</v>
      </c>
      <c r="E10" s="6" t="s">
        <v>271</v>
      </c>
      <c r="F10" s="6" t="s">
        <v>272</v>
      </c>
    </row>
    <row r="11" customFormat="false" ht="15" hidden="false" customHeight="false" outlineLevel="0" collapsed="false">
      <c r="A11" s="6" t="s">
        <v>283</v>
      </c>
      <c r="B11" s="6" t="s">
        <v>284</v>
      </c>
      <c r="C11" s="11" t="n">
        <f aca="false">-DRE!D45-DFC!D8</f>
        <v>0</v>
      </c>
      <c r="D11" s="11" t="n">
        <f aca="false">-DRE!E45-DFC!E8</f>
        <v>0</v>
      </c>
      <c r="E11" s="6" t="s">
        <v>271</v>
      </c>
      <c r="F11" s="6" t="s">
        <v>272</v>
      </c>
    </row>
    <row r="13" customFormat="false" ht="15" hidden="false" customHeight="false" outlineLevel="0" collapsed="false">
      <c r="B13" s="5" t="s">
        <v>285</v>
      </c>
    </row>
    <row r="14" customFormat="false" ht="15" hidden="false" customHeight="false" outlineLevel="0" collapsed="false">
      <c r="A14" s="6" t="s">
        <v>286</v>
      </c>
      <c r="B14" s="6" t="s">
        <v>287</v>
      </c>
      <c r="C14" s="14" t="n">
        <f aca="false">BP_Ativo!D31/BP_Ativo!D43</f>
        <v>0.365273052640119</v>
      </c>
      <c r="D14" s="14" t="n">
        <f aca="false">BP_Ativo!E31/BP_Ativo!E43</f>
        <v>0.326851179074943</v>
      </c>
      <c r="E14" s="6" t="s">
        <v>288</v>
      </c>
    </row>
    <row r="15" customFormat="false" ht="15" hidden="false" customHeight="false" outlineLevel="0" collapsed="false">
      <c r="A15" s="6" t="s">
        <v>289</v>
      </c>
      <c r="B15" s="6" t="s">
        <v>290</v>
      </c>
      <c r="C15" s="15" t="n">
        <f aca="false">BP_Ativo!D19/BP_Passivo_PL!D20</f>
        <v>0.929533922172473</v>
      </c>
      <c r="D15" s="15" t="n">
        <f aca="false">BP_Ativo!E19/BP_Passivo_PL!E20</f>
        <v>0.95285182638301</v>
      </c>
      <c r="E15" s="6" t="s">
        <v>288</v>
      </c>
    </row>
    <row r="16" customFormat="false" ht="15" hidden="false" customHeight="false" outlineLevel="0" collapsed="false">
      <c r="A16" s="6" t="s">
        <v>291</v>
      </c>
      <c r="B16" s="6" t="s">
        <v>292</v>
      </c>
      <c r="C16" s="13" t="n">
        <f aca="false">BP_Passivo_PL!D7+BP_Passivo_PL!D8+BP_Passivo_PL!D25+BP_Passivo_PL!D26</f>
        <v>29055727</v>
      </c>
      <c r="D16" s="13" t="n">
        <f aca="false">BP_Passivo_PL!E7+BP_Passivo_PL!E8+BP_Passivo_PL!E25+BP_Passivo_PL!E26</f>
        <v>28788338</v>
      </c>
      <c r="E16" s="6" t="s">
        <v>288</v>
      </c>
    </row>
    <row r="17" customFormat="false" ht="15" hidden="false" customHeight="false" outlineLevel="0" collapsed="false">
      <c r="A17" s="6" t="s">
        <v>293</v>
      </c>
      <c r="B17" s="6" t="s">
        <v>294</v>
      </c>
      <c r="C17" s="14" t="n">
        <f aca="false">DRE!D39/DRE!D6</f>
        <v>0.129430681453974</v>
      </c>
      <c r="D17" s="14" t="n">
        <f aca="false">DRE!E39/DRE!E6</f>
        <v>0.135158243801464</v>
      </c>
      <c r="E17" s="6" t="s">
        <v>288</v>
      </c>
    </row>
    <row r="18" customFormat="false" ht="15" hidden="false" customHeight="false" outlineLevel="0" collapsed="false">
      <c r="A18" s="6" t="s">
        <v>295</v>
      </c>
      <c r="B18" s="6" t="s">
        <v>296</v>
      </c>
      <c r="C18" s="14" t="n">
        <f aca="false">DRE!D6/DRE!E6-1</f>
        <v>0.0408079532309709</v>
      </c>
      <c r="E18" s="6" t="s">
        <v>288</v>
      </c>
    </row>
  </sheetData>
  <mergeCells count="1"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6" min="5" style="0" width="26"/>
    <col collapsed="false" customWidth="true" hidden="false" outlineLevel="0" max="7" min="7" style="0" width="14"/>
    <col collapsed="false" customWidth="true" hidden="false" outlineLevel="0" max="9" min="8" style="0" width="9"/>
  </cols>
  <sheetData>
    <row r="1" customFormat="false" ht="15" hidden="false" customHeight="false" outlineLevel="0" collapsed="false">
      <c r="A1" s="1" t="s">
        <v>297</v>
      </c>
    </row>
    <row r="2" customFormat="false" ht="15" hidden="false" customHeight="false" outlineLevel="0" collapsed="false">
      <c r="A2" s="2" t="s">
        <v>1</v>
      </c>
    </row>
    <row r="3" customFormat="false" ht="39.75" hidden="false" customHeight="true" outlineLevel="0" collapsed="false">
      <c r="A3" s="3" t="s">
        <v>298</v>
      </c>
      <c r="B3" s="3"/>
      <c r="C3" s="3"/>
      <c r="D3" s="3"/>
      <c r="E3" s="3"/>
      <c r="F3" s="3"/>
      <c r="G3" s="3"/>
      <c r="H3" s="3"/>
      <c r="I3" s="3"/>
    </row>
    <row r="4" customFormat="false" ht="22.35" hidden="false" customHeight="false" outlineLevel="0" collapsed="false">
      <c r="A4" s="4" t="s">
        <v>299</v>
      </c>
      <c r="B4" s="4" t="s">
        <v>300</v>
      </c>
      <c r="C4" s="4" t="s">
        <v>301</v>
      </c>
      <c r="D4" s="4" t="s">
        <v>302</v>
      </c>
      <c r="E4" s="4" t="s">
        <v>303</v>
      </c>
      <c r="F4" s="4" t="s">
        <v>304</v>
      </c>
      <c r="G4" s="4" t="s">
        <v>8</v>
      </c>
      <c r="H4" s="4" t="s">
        <v>9</v>
      </c>
      <c r="I4" s="4" t="s">
        <v>10</v>
      </c>
    </row>
    <row r="5" customFormat="false" ht="15" hidden="false" customHeight="false" outlineLevel="0" collapsed="false">
      <c r="A5" s="6" t="s">
        <v>305</v>
      </c>
      <c r="B5" s="6" t="s">
        <v>306</v>
      </c>
      <c r="C5" s="6" t="s">
        <v>307</v>
      </c>
      <c r="D5" s="6" t="s">
        <v>308</v>
      </c>
      <c r="E5" s="6" t="s">
        <v>309</v>
      </c>
      <c r="F5" s="6" t="s">
        <v>310</v>
      </c>
      <c r="G5" s="6" t="s">
        <v>15</v>
      </c>
      <c r="H5" s="6" t="n">
        <v>41</v>
      </c>
      <c r="I5" s="6" t="n">
        <v>9</v>
      </c>
    </row>
    <row r="6" customFormat="false" ht="15" hidden="false" customHeight="false" outlineLevel="0" collapsed="false">
      <c r="A6" s="6" t="s">
        <v>305</v>
      </c>
      <c r="B6" s="6" t="s">
        <v>311</v>
      </c>
      <c r="C6" s="6" t="s">
        <v>307</v>
      </c>
      <c r="D6" s="6" t="s">
        <v>308</v>
      </c>
      <c r="E6" s="6" t="s">
        <v>312</v>
      </c>
      <c r="F6" s="6" t="s">
        <v>313</v>
      </c>
      <c r="G6" s="6" t="s">
        <v>15</v>
      </c>
      <c r="H6" s="6" t="n">
        <v>41</v>
      </c>
      <c r="I6" s="6" t="n">
        <v>9</v>
      </c>
    </row>
    <row r="7" customFormat="false" ht="15" hidden="false" customHeight="false" outlineLevel="0" collapsed="false">
      <c r="A7" s="6" t="s">
        <v>305</v>
      </c>
      <c r="B7" s="6" t="s">
        <v>314</v>
      </c>
      <c r="C7" s="6" t="s">
        <v>307</v>
      </c>
      <c r="D7" s="6" t="s">
        <v>315</v>
      </c>
      <c r="E7" s="6" t="s">
        <v>316</v>
      </c>
      <c r="F7" s="6" t="s">
        <v>310</v>
      </c>
      <c r="G7" s="6" t="s">
        <v>15</v>
      </c>
      <c r="H7" s="6" t="n">
        <v>41</v>
      </c>
      <c r="I7" s="6" t="n">
        <v>9</v>
      </c>
    </row>
    <row r="8" customFormat="false" ht="15" hidden="false" customHeight="false" outlineLevel="0" collapsed="false">
      <c r="A8" s="6" t="s">
        <v>305</v>
      </c>
      <c r="B8" s="6" t="s">
        <v>317</v>
      </c>
      <c r="C8" s="6" t="s">
        <v>318</v>
      </c>
      <c r="D8" s="6" t="s">
        <v>308</v>
      </c>
      <c r="E8" s="6" t="s">
        <v>319</v>
      </c>
      <c r="F8" s="6" t="s">
        <v>320</v>
      </c>
      <c r="G8" s="6" t="s">
        <v>15</v>
      </c>
      <c r="H8" s="6" t="n">
        <v>41</v>
      </c>
      <c r="I8" s="6" t="n">
        <v>9</v>
      </c>
    </row>
    <row r="9" customFormat="false" ht="15" hidden="false" customHeight="false" outlineLevel="0" collapsed="false">
      <c r="A9" s="6" t="s">
        <v>321</v>
      </c>
      <c r="B9" s="6" t="s">
        <v>322</v>
      </c>
      <c r="C9" s="6" t="s">
        <v>307</v>
      </c>
      <c r="D9" s="6" t="s">
        <v>315</v>
      </c>
      <c r="E9" s="6" t="s">
        <v>323</v>
      </c>
      <c r="F9" s="6" t="s">
        <v>324</v>
      </c>
      <c r="G9" s="6" t="s">
        <v>15</v>
      </c>
      <c r="H9" s="6" t="n">
        <v>41</v>
      </c>
      <c r="I9" s="6" t="n">
        <v>9</v>
      </c>
    </row>
    <row r="10" customFormat="false" ht="15" hidden="false" customHeight="false" outlineLevel="0" collapsed="false">
      <c r="A10" s="6" t="s">
        <v>321</v>
      </c>
      <c r="B10" s="6" t="s">
        <v>325</v>
      </c>
      <c r="C10" s="6" t="s">
        <v>307</v>
      </c>
      <c r="D10" s="6" t="s">
        <v>308</v>
      </c>
      <c r="E10" s="6" t="s">
        <v>326</v>
      </c>
      <c r="F10" s="6" t="s">
        <v>327</v>
      </c>
      <c r="G10" s="6" t="s">
        <v>15</v>
      </c>
      <c r="H10" s="6" t="n">
        <v>41</v>
      </c>
      <c r="I10" s="6" t="n">
        <v>9</v>
      </c>
    </row>
    <row r="11" customFormat="false" ht="15" hidden="false" customHeight="false" outlineLevel="0" collapsed="false">
      <c r="A11" s="6" t="s">
        <v>321</v>
      </c>
      <c r="B11" s="6" t="s">
        <v>328</v>
      </c>
      <c r="C11" s="6" t="s">
        <v>318</v>
      </c>
      <c r="D11" s="6" t="s">
        <v>329</v>
      </c>
      <c r="E11" s="6" t="s">
        <v>330</v>
      </c>
      <c r="F11" s="6" t="s">
        <v>331</v>
      </c>
      <c r="G11" s="6" t="s">
        <v>15</v>
      </c>
      <c r="H11" s="6" t="n">
        <v>41</v>
      </c>
      <c r="I11" s="6" t="n">
        <v>9</v>
      </c>
    </row>
    <row r="12" customFormat="false" ht="15" hidden="false" customHeight="false" outlineLevel="0" collapsed="false">
      <c r="A12" s="6" t="s">
        <v>321</v>
      </c>
      <c r="B12" s="6" t="s">
        <v>332</v>
      </c>
      <c r="C12" s="6" t="s">
        <v>318</v>
      </c>
      <c r="D12" s="6" t="s">
        <v>333</v>
      </c>
      <c r="E12" s="6" t="s">
        <v>334</v>
      </c>
      <c r="F12" s="6" t="s">
        <v>335</v>
      </c>
      <c r="G12" s="6" t="s">
        <v>15</v>
      </c>
      <c r="H12" s="6" t="n">
        <v>41</v>
      </c>
      <c r="I12" s="6" t="n">
        <v>9</v>
      </c>
    </row>
    <row r="13" customFormat="false" ht="15" hidden="false" customHeight="false" outlineLevel="0" collapsed="false">
      <c r="A13" s="6" t="s">
        <v>321</v>
      </c>
      <c r="B13" s="6" t="s">
        <v>336</v>
      </c>
      <c r="C13" s="6" t="s">
        <v>318</v>
      </c>
      <c r="D13" s="6" t="s">
        <v>337</v>
      </c>
      <c r="E13" s="6" t="s">
        <v>338</v>
      </c>
      <c r="F13" s="6"/>
      <c r="G13" s="6" t="s">
        <v>15</v>
      </c>
      <c r="H13" s="6" t="n">
        <v>41</v>
      </c>
      <c r="I13" s="6" t="n">
        <v>9</v>
      </c>
    </row>
    <row r="14" customFormat="false" ht="15" hidden="false" customHeight="false" outlineLevel="0" collapsed="false">
      <c r="A14" s="6" t="s">
        <v>321</v>
      </c>
      <c r="B14" s="6" t="s">
        <v>339</v>
      </c>
      <c r="C14" s="6" t="s">
        <v>318</v>
      </c>
      <c r="D14" s="6" t="s">
        <v>340</v>
      </c>
      <c r="E14" s="6" t="s">
        <v>334</v>
      </c>
      <c r="F14" s="6"/>
      <c r="G14" s="6" t="s">
        <v>15</v>
      </c>
      <c r="H14" s="6" t="n">
        <v>41</v>
      </c>
      <c r="I14" s="6" t="n">
        <v>9</v>
      </c>
    </row>
    <row r="15" customFormat="false" ht="15" hidden="false" customHeight="false" outlineLevel="0" collapsed="false">
      <c r="A15" s="6" t="s">
        <v>321</v>
      </c>
      <c r="B15" s="6" t="s">
        <v>341</v>
      </c>
      <c r="C15" s="6" t="s">
        <v>318</v>
      </c>
      <c r="D15" s="6" t="s">
        <v>342</v>
      </c>
      <c r="E15" s="6" t="s">
        <v>343</v>
      </c>
      <c r="F15" s="6"/>
      <c r="G15" s="6" t="s">
        <v>15</v>
      </c>
      <c r="H15" s="6" t="n">
        <v>41</v>
      </c>
      <c r="I15" s="6" t="n">
        <v>9</v>
      </c>
    </row>
    <row r="16" customFormat="false" ht="15" hidden="false" customHeight="false" outlineLevel="0" collapsed="false">
      <c r="A16" s="6" t="s">
        <v>344</v>
      </c>
      <c r="B16" s="6" t="s">
        <v>345</v>
      </c>
      <c r="C16" s="6" t="s">
        <v>307</v>
      </c>
      <c r="D16" s="6" t="s">
        <v>315</v>
      </c>
      <c r="E16" s="6" t="s">
        <v>330</v>
      </c>
      <c r="F16" s="6" t="s">
        <v>346</v>
      </c>
      <c r="G16" s="6" t="s">
        <v>15</v>
      </c>
      <c r="H16" s="6" t="n">
        <v>41</v>
      </c>
      <c r="I16" s="6" t="n">
        <v>9</v>
      </c>
    </row>
    <row r="17" customFormat="false" ht="15" hidden="false" customHeight="false" outlineLevel="0" collapsed="false">
      <c r="A17" s="6" t="s">
        <v>344</v>
      </c>
      <c r="B17" s="6" t="s">
        <v>347</v>
      </c>
      <c r="C17" s="6" t="s">
        <v>348</v>
      </c>
      <c r="D17" s="6" t="s">
        <v>349</v>
      </c>
      <c r="E17" s="6" t="s">
        <v>350</v>
      </c>
      <c r="F17" s="6"/>
      <c r="G17" s="6" t="s">
        <v>15</v>
      </c>
      <c r="H17" s="6" t="n">
        <v>41</v>
      </c>
      <c r="I17" s="6" t="n">
        <v>9</v>
      </c>
    </row>
    <row r="18" customFormat="false" ht="15" hidden="false" customHeight="false" outlineLevel="0" collapsed="false">
      <c r="A18" s="6" t="s">
        <v>344</v>
      </c>
      <c r="B18" s="6" t="s">
        <v>351</v>
      </c>
      <c r="C18" s="6" t="s">
        <v>318</v>
      </c>
      <c r="D18" s="6" t="s">
        <v>352</v>
      </c>
      <c r="E18" s="6" t="s">
        <v>330</v>
      </c>
      <c r="F18" s="6"/>
      <c r="G18" s="6" t="s">
        <v>15</v>
      </c>
      <c r="H18" s="6" t="n">
        <v>41</v>
      </c>
      <c r="I18" s="6" t="n">
        <v>9</v>
      </c>
    </row>
    <row r="19" customFormat="false" ht="15" hidden="false" customHeight="false" outlineLevel="0" collapsed="false">
      <c r="A19" s="6" t="s">
        <v>344</v>
      </c>
      <c r="B19" s="6" t="s">
        <v>353</v>
      </c>
      <c r="C19" s="6" t="s">
        <v>318</v>
      </c>
      <c r="D19" s="6" t="s">
        <v>354</v>
      </c>
      <c r="E19" s="6" t="s">
        <v>330</v>
      </c>
      <c r="F19" s="6"/>
      <c r="G19" s="6" t="s">
        <v>15</v>
      </c>
      <c r="H19" s="6" t="n">
        <v>41</v>
      </c>
      <c r="I19" s="6" t="n">
        <v>9</v>
      </c>
    </row>
    <row r="20" customFormat="false" ht="15" hidden="false" customHeight="false" outlineLevel="0" collapsed="false">
      <c r="A20" s="6" t="s">
        <v>344</v>
      </c>
      <c r="B20" s="6" t="s">
        <v>355</v>
      </c>
      <c r="C20" s="6" t="s">
        <v>318</v>
      </c>
      <c r="D20" s="6" t="s">
        <v>356</v>
      </c>
      <c r="E20" s="6" t="s">
        <v>330</v>
      </c>
      <c r="F20" s="6"/>
      <c r="G20" s="6" t="s">
        <v>15</v>
      </c>
      <c r="H20" s="6" t="n">
        <v>41</v>
      </c>
      <c r="I20" s="6" t="n">
        <v>9</v>
      </c>
    </row>
    <row r="21" customFormat="false" ht="15" hidden="false" customHeight="false" outlineLevel="0" collapsed="false">
      <c r="A21" s="6" t="s">
        <v>357</v>
      </c>
      <c r="B21" s="6" t="s">
        <v>358</v>
      </c>
      <c r="C21" s="6" t="s">
        <v>318</v>
      </c>
      <c r="D21" s="6" t="s">
        <v>308</v>
      </c>
      <c r="E21" s="6" t="s">
        <v>359</v>
      </c>
      <c r="F21" s="6" t="s">
        <v>360</v>
      </c>
      <c r="G21" s="6" t="s">
        <v>15</v>
      </c>
      <c r="H21" s="6" t="n">
        <v>41</v>
      </c>
      <c r="I21" s="6" t="n">
        <v>9</v>
      </c>
    </row>
    <row r="22" customFormat="false" ht="15" hidden="false" customHeight="false" outlineLevel="0" collapsed="false">
      <c r="A22" s="6" t="s">
        <v>357</v>
      </c>
      <c r="B22" s="6" t="s">
        <v>361</v>
      </c>
      <c r="C22" s="6" t="s">
        <v>348</v>
      </c>
      <c r="D22" s="6" t="s">
        <v>362</v>
      </c>
      <c r="E22" s="6" t="s">
        <v>359</v>
      </c>
      <c r="F22" s="6"/>
      <c r="G22" s="6" t="s">
        <v>15</v>
      </c>
      <c r="H22" s="6" t="n">
        <v>41</v>
      </c>
      <c r="I22" s="6" t="n">
        <v>9</v>
      </c>
    </row>
  </sheetData>
  <mergeCells count="1"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  <col collapsed="false" customWidth="true" hidden="false" outlineLevel="0" max="3" min="3" style="0" width="16"/>
    <col collapsed="false" customWidth="true" hidden="false" outlineLevel="0" max="5" min="4" style="0" width="9"/>
    <col collapsed="false" customWidth="true" hidden="false" outlineLevel="0" max="9" min="6" style="0" width="2"/>
  </cols>
  <sheetData>
    <row r="1" customFormat="false" ht="15" hidden="false" customHeight="false" outlineLevel="0" collapsed="false">
      <c r="A1" s="1" t="s">
        <v>363</v>
      </c>
    </row>
    <row r="2" customFormat="false" ht="15" hidden="false" customHeight="false" outlineLevel="0" collapsed="false">
      <c r="A2" s="2" t="s">
        <v>1</v>
      </c>
    </row>
    <row r="3" customFormat="false" ht="39.75" hidden="false" customHeight="true" outlineLevel="0" collapsed="false">
      <c r="A3" s="3" t="s">
        <v>364</v>
      </c>
      <c r="B3" s="3"/>
      <c r="C3" s="3"/>
      <c r="D3" s="3"/>
      <c r="E3" s="3"/>
      <c r="F3" s="3"/>
      <c r="G3" s="3"/>
      <c r="H3" s="3"/>
      <c r="I3" s="3"/>
    </row>
    <row r="4" customFormat="false" ht="22.35" hidden="false" customHeight="false" outlineLevel="0" collapsed="false">
      <c r="A4" s="4" t="s">
        <v>365</v>
      </c>
      <c r="B4" s="4" t="s">
        <v>366</v>
      </c>
      <c r="C4" s="4" t="s">
        <v>8</v>
      </c>
      <c r="D4" s="4" t="s">
        <v>9</v>
      </c>
      <c r="E4" s="4" t="s">
        <v>10</v>
      </c>
      <c r="F4" s="4"/>
      <c r="G4" s="4"/>
      <c r="H4" s="4"/>
      <c r="I4" s="4"/>
    </row>
    <row r="5" customFormat="false" ht="15" hidden="false" customHeight="false" outlineLevel="0" collapsed="false">
      <c r="A5" s="5" t="s">
        <v>367</v>
      </c>
      <c r="B5" s="16" t="s">
        <v>368</v>
      </c>
      <c r="C5" s="6" t="s">
        <v>15</v>
      </c>
      <c r="D5" s="6" t="n">
        <v>26</v>
      </c>
      <c r="E5" s="6" t="s">
        <v>369</v>
      </c>
    </row>
    <row r="6" customFormat="false" ht="15" hidden="false" customHeight="false" outlineLevel="0" collapsed="false">
      <c r="A6" s="5" t="s">
        <v>370</v>
      </c>
      <c r="B6" s="16" t="s">
        <v>371</v>
      </c>
      <c r="C6" s="6" t="s">
        <v>15</v>
      </c>
      <c r="D6" s="6" t="n">
        <v>32</v>
      </c>
      <c r="E6" s="6" t="s">
        <v>369</v>
      </c>
    </row>
    <row r="7" customFormat="false" ht="22.35" hidden="false" customHeight="false" outlineLevel="0" collapsed="false">
      <c r="A7" s="5" t="s">
        <v>372</v>
      </c>
      <c r="B7" s="16" t="s">
        <v>373</v>
      </c>
      <c r="C7" s="6" t="s">
        <v>15</v>
      </c>
      <c r="D7" s="6" t="n">
        <v>26</v>
      </c>
      <c r="E7" s="6" t="s">
        <v>369</v>
      </c>
    </row>
    <row r="8" customFormat="false" ht="22.35" hidden="false" customHeight="false" outlineLevel="0" collapsed="false">
      <c r="A8" s="5" t="s">
        <v>374</v>
      </c>
      <c r="B8" s="16" t="s">
        <v>375</v>
      </c>
      <c r="C8" s="6" t="s">
        <v>15</v>
      </c>
      <c r="D8" s="6" t="n">
        <v>26</v>
      </c>
      <c r="E8" s="6" t="s">
        <v>369</v>
      </c>
    </row>
    <row r="9" customFormat="false" ht="15" hidden="false" customHeight="false" outlineLevel="0" collapsed="false">
      <c r="A9" s="5" t="s">
        <v>376</v>
      </c>
      <c r="B9" s="16" t="s">
        <v>377</v>
      </c>
      <c r="C9" s="6" t="s">
        <v>15</v>
      </c>
      <c r="D9" s="6" t="n">
        <v>27</v>
      </c>
      <c r="E9" s="6" t="s">
        <v>369</v>
      </c>
    </row>
    <row r="10" customFormat="false" ht="22.35" hidden="false" customHeight="false" outlineLevel="0" collapsed="false">
      <c r="A10" s="5" t="s">
        <v>378</v>
      </c>
      <c r="B10" s="16" t="s">
        <v>379</v>
      </c>
      <c r="C10" s="6" t="s">
        <v>15</v>
      </c>
      <c r="D10" s="6" t="n">
        <v>28</v>
      </c>
      <c r="E10" s="6" t="s">
        <v>369</v>
      </c>
    </row>
    <row r="11" customFormat="false" ht="22.35" hidden="false" customHeight="false" outlineLevel="0" collapsed="false">
      <c r="A11" s="5" t="s">
        <v>380</v>
      </c>
      <c r="B11" s="16" t="s">
        <v>381</v>
      </c>
      <c r="C11" s="6" t="s">
        <v>15</v>
      </c>
      <c r="D11" s="6" t="n">
        <v>29</v>
      </c>
      <c r="E11" s="6" t="s">
        <v>369</v>
      </c>
    </row>
    <row r="12" customFormat="false" ht="15" hidden="false" customHeight="false" outlineLevel="0" collapsed="false">
      <c r="A12" s="5" t="s">
        <v>382</v>
      </c>
      <c r="B12" s="16" t="s">
        <v>383</v>
      </c>
      <c r="C12" s="6" t="s">
        <v>15</v>
      </c>
      <c r="D12" s="6" t="n">
        <v>30</v>
      </c>
      <c r="E12" s="6" t="s">
        <v>369</v>
      </c>
    </row>
    <row r="13" customFormat="false" ht="15" hidden="false" customHeight="false" outlineLevel="0" collapsed="false">
      <c r="A13" s="5" t="s">
        <v>384</v>
      </c>
      <c r="B13" s="16" t="s">
        <v>385</v>
      </c>
      <c r="C13" s="6" t="s">
        <v>15</v>
      </c>
      <c r="D13" s="6" t="n">
        <v>26</v>
      </c>
      <c r="E13" s="6" t="s">
        <v>369</v>
      </c>
    </row>
    <row r="14" customFormat="false" ht="15" hidden="false" customHeight="false" outlineLevel="0" collapsed="false">
      <c r="A14" s="5" t="s">
        <v>386</v>
      </c>
      <c r="B14" s="16" t="s">
        <v>387</v>
      </c>
      <c r="C14" s="6" t="s">
        <v>15</v>
      </c>
      <c r="D14" s="6" t="n">
        <v>45</v>
      </c>
      <c r="E14" s="6" t="n">
        <v>13</v>
      </c>
    </row>
  </sheetData>
  <mergeCells count="1"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1" t="s">
        <v>388</v>
      </c>
    </row>
    <row r="2" customFormat="false" ht="15" hidden="false" customHeight="false" outlineLevel="0" collapsed="false">
      <c r="A2" s="2" t="s">
        <v>1</v>
      </c>
    </row>
    <row r="3" customFormat="false" ht="39.75" hidden="false" customHeight="true" outlineLevel="0" collapsed="false">
      <c r="A3" s="3" t="s">
        <v>389</v>
      </c>
      <c r="B3" s="3"/>
      <c r="C3" s="3"/>
      <c r="D3" s="3"/>
      <c r="E3" s="3"/>
      <c r="F3" s="3"/>
      <c r="G3" s="3"/>
      <c r="H3" s="3"/>
      <c r="I3" s="3"/>
    </row>
    <row r="4" customFormat="false" ht="22.35" hidden="false" customHeight="false" outlineLevel="0" collapsed="false">
      <c r="A4" s="4" t="s">
        <v>3</v>
      </c>
      <c r="B4" s="4" t="s">
        <v>8</v>
      </c>
      <c r="C4" s="4" t="s">
        <v>390</v>
      </c>
      <c r="D4" s="4" t="s">
        <v>391</v>
      </c>
      <c r="E4" s="4" t="s">
        <v>392</v>
      </c>
      <c r="F4" s="4" t="s">
        <v>393</v>
      </c>
      <c r="G4" s="4" t="s">
        <v>394</v>
      </c>
      <c r="H4" s="4" t="s">
        <v>395</v>
      </c>
      <c r="I4" s="4" t="s">
        <v>396</v>
      </c>
    </row>
    <row r="5" customFormat="false" ht="43.25" hidden="false" customHeight="false" outlineLevel="0" collapsed="false">
      <c r="A5" s="17" t="s">
        <v>397</v>
      </c>
      <c r="B5" s="17" t="s">
        <v>398</v>
      </c>
      <c r="C5" s="17" t="s">
        <v>399</v>
      </c>
      <c r="D5" s="17" t="s">
        <v>400</v>
      </c>
      <c r="E5" s="17" t="s">
        <v>401</v>
      </c>
      <c r="F5" s="17" t="s">
        <v>402</v>
      </c>
      <c r="G5" s="17" t="s">
        <v>403</v>
      </c>
      <c r="H5" s="17" t="s">
        <v>404</v>
      </c>
      <c r="I5" s="17" t="s">
        <v>405</v>
      </c>
    </row>
    <row r="6" customFormat="false" ht="32.8" hidden="false" customHeight="false" outlineLevel="0" collapsed="false">
      <c r="A6" s="17" t="s">
        <v>228</v>
      </c>
      <c r="B6" s="17" t="s">
        <v>406</v>
      </c>
      <c r="C6" s="17" t="s">
        <v>407</v>
      </c>
      <c r="D6" s="17" t="s">
        <v>408</v>
      </c>
      <c r="E6" s="17" t="s">
        <v>409</v>
      </c>
      <c r="F6" s="17" t="s">
        <v>402</v>
      </c>
      <c r="G6" s="17" t="s">
        <v>410</v>
      </c>
      <c r="H6" s="17" t="s">
        <v>411</v>
      </c>
      <c r="I6" s="17" t="s">
        <v>412</v>
      </c>
    </row>
    <row r="7" customFormat="false" ht="15" hidden="false" customHeight="false" outlineLevel="0" collapsed="false">
      <c r="A7" s="17" t="s">
        <v>220</v>
      </c>
      <c r="B7" s="17" t="s">
        <v>413</v>
      </c>
      <c r="C7" s="17" t="s">
        <v>414</v>
      </c>
      <c r="D7" s="17" t="s">
        <v>415</v>
      </c>
      <c r="E7" s="17" t="s">
        <v>359</v>
      </c>
      <c r="F7" s="17" t="s">
        <v>402</v>
      </c>
      <c r="G7" s="17" t="s">
        <v>359</v>
      </c>
      <c r="H7" s="17" t="s">
        <v>416</v>
      </c>
      <c r="I7" s="17" t="s">
        <v>359</v>
      </c>
    </row>
  </sheetData>
  <mergeCells count="1"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40"/>
    <col collapsed="false" customWidth="true" hidden="false" outlineLevel="0" max="4" min="4" style="0" width="36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9" min="7" style="0" width="2"/>
  </cols>
  <sheetData>
    <row r="1" customFormat="false" ht="15" hidden="false" customHeight="false" outlineLevel="0" collapsed="false">
      <c r="A1" s="1" t="s">
        <v>417</v>
      </c>
    </row>
    <row r="2" customFormat="false" ht="15" hidden="false" customHeight="false" outlineLevel="0" collapsed="false">
      <c r="A2" s="2" t="s">
        <v>1</v>
      </c>
    </row>
    <row r="3" customFormat="false" ht="39.75" hidden="false" customHeight="true" outlineLevel="0" collapsed="false">
      <c r="A3" s="3" t="s">
        <v>418</v>
      </c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4" t="s">
        <v>3</v>
      </c>
      <c r="B4" s="4" t="s">
        <v>419</v>
      </c>
      <c r="C4" s="4" t="s">
        <v>420</v>
      </c>
      <c r="D4" s="4" t="s">
        <v>421</v>
      </c>
      <c r="E4" s="4" t="s">
        <v>422</v>
      </c>
      <c r="F4" s="4" t="s">
        <v>423</v>
      </c>
      <c r="G4" s="4"/>
      <c r="H4" s="4"/>
      <c r="I4" s="4"/>
    </row>
    <row r="5" customFormat="false" ht="22.35" hidden="false" customHeight="false" outlineLevel="0" collapsed="false">
      <c r="A5" s="17" t="s">
        <v>424</v>
      </c>
      <c r="B5" s="17" t="s">
        <v>425</v>
      </c>
      <c r="C5" s="17" t="s">
        <v>426</v>
      </c>
      <c r="D5" s="17" t="s">
        <v>427</v>
      </c>
      <c r="E5" s="17" t="s">
        <v>428</v>
      </c>
      <c r="F5" s="17" t="s">
        <v>429</v>
      </c>
    </row>
    <row r="6" customFormat="false" ht="22.35" hidden="false" customHeight="false" outlineLevel="0" collapsed="false">
      <c r="A6" s="17" t="s">
        <v>430</v>
      </c>
      <c r="B6" s="17" t="s">
        <v>431</v>
      </c>
      <c r="C6" s="17" t="s">
        <v>432</v>
      </c>
      <c r="D6" s="17" t="s">
        <v>433</v>
      </c>
      <c r="E6" s="17" t="s">
        <v>434</v>
      </c>
      <c r="F6" s="17" t="s">
        <v>429</v>
      </c>
    </row>
    <row r="7" customFormat="false" ht="32.8" hidden="false" customHeight="false" outlineLevel="0" collapsed="false">
      <c r="A7" s="17" t="s">
        <v>435</v>
      </c>
      <c r="B7" s="17" t="s">
        <v>436</v>
      </c>
      <c r="C7" s="17" t="s">
        <v>437</v>
      </c>
      <c r="D7" s="17" t="s">
        <v>438</v>
      </c>
      <c r="E7" s="17" t="s">
        <v>439</v>
      </c>
      <c r="F7" s="17" t="s">
        <v>440</v>
      </c>
    </row>
    <row r="8" customFormat="false" ht="32.8" hidden="false" customHeight="false" outlineLevel="0" collapsed="false">
      <c r="A8" s="17" t="s">
        <v>441</v>
      </c>
      <c r="B8" s="17" t="s">
        <v>442</v>
      </c>
      <c r="C8" s="17" t="s">
        <v>443</v>
      </c>
      <c r="D8" s="17" t="s">
        <v>444</v>
      </c>
      <c r="E8" s="17" t="s">
        <v>445</v>
      </c>
      <c r="F8" s="17" t="s">
        <v>446</v>
      </c>
    </row>
  </sheetData>
  <mergeCells count="1"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2026-10-22T22:23:48Z</dcterms:created>
  <dc:creator>openpyxl</dc:creator>
  <dc:description/>
  <dc:language>en-US</dc:language>
  <cp:lastModifiedBy/>
  <dcterms:modified xsi:type="dcterms:W3CDTF">2026-10-22T22:23:48Z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