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Componentes_600" sheetId="2" state="visible" r:id="rId4"/>
    <sheet name="Segmentos_nota30" sheetId="3" state="visible" r:id="rId5"/>
    <sheet name="Prestadores_40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<sst xmlns="http://schemas.openxmlformats.org/spreadsheetml/2006/main" count="170" uniqueCount="135">
  <si>
    <t xml:space="preserve">Parâmetros do grupo (R$ mil)</t>
  </si>
  <si>
    <t xml:space="preserve">Preparador: matrícula 231020069 (assistido por IA) | Data: 22/10/2026 | Revisão: ____ (sem revisão de terceiros simulada)</t>
  </si>
  <si>
    <t xml:space="preserve">Materialidades do grupo vêm do PT 320 (validadas pelo aluno em 22/10/2026).</t>
  </si>
  <si>
    <t xml:space="preserve">Item</t>
  </si>
  <si>
    <t xml:space="preserve">Valor</t>
  </si>
  <si>
    <t xml:space="preserve">Fonte</t>
  </si>
  <si>
    <t xml:space="preserve">Ativo total consolidado</t>
  </si>
  <si>
    <t xml:space="preserve">DF25 p. 34/2</t>
  </si>
  <si>
    <t xml:space="preserve">Lucro antes dos tributos consolidado</t>
  </si>
  <si>
    <t xml:space="preserve">DF25 p. 36/4</t>
  </si>
  <si>
    <t xml:space="preserve">Materialidade global do grupo</t>
  </si>
  <si>
    <t xml:space="preserve">PT 320</t>
  </si>
  <si>
    <t xml:space="preserve">Materialidade para execução do grupo</t>
  </si>
  <si>
    <t xml:space="preserve">Claramente trivial do grupo</t>
  </si>
  <si>
    <t xml:space="preserve">% execução componente — componentes de maior porte</t>
  </si>
  <si>
    <t xml:space="preserve">Julgamento (600 item 35(a): deve ser inferior à execução do grupo)</t>
  </si>
  <si>
    <t xml:space="preserve">% execução componente — demais componentes</t>
  </si>
  <si>
    <t xml:space="preserve">Julgamento (maior risco de agregação em componentes menores e numerosos)</t>
  </si>
  <si>
    <t xml:space="preserve">PT 600 — Componentes, porte relativo e abordagem (controladas diretas — nota 13.1)</t>
  </si>
  <si>
    <t xml:space="preserve">Ativo e resultado: DF25 nota 13.1, p. 70/38 (informação individual de cada controlada; inclui investimentos em outras controladas — há sobreposição, por isso as proporções são indicativas e não somam 100%). Classificação = julgamento do auditor do grupo (NBC TA 600 R2 não usa mais a categoria 'componente significativo' da versão anterior; usa-se o risco e a agregação — itens 22, 33, 35).</t>
  </si>
  <si>
    <t xml:space="preserve">Componente</t>
  </si>
  <si>
    <t xml:space="preserve">Segmento</t>
  </si>
  <si>
    <t xml:space="preserve">Ativo total (individual)</t>
  </si>
  <si>
    <t xml:space="preserve">Resultado 2025</t>
  </si>
  <si>
    <t xml:space="preserve">Ativo / ativo consolidado</t>
  </si>
  <si>
    <t xml:space="preserve">|Resultado| / LAIR consolidado</t>
  </si>
  <si>
    <t xml:space="preserve">Classificação (julgamento)</t>
  </si>
  <si>
    <t xml:space="preserve">Abordagem planejada</t>
  </si>
  <si>
    <t xml:space="preserve">Mat. execução do componente</t>
  </si>
  <si>
    <t xml:space="preserve">Limite de comunicação</t>
  </si>
  <si>
    <t xml:space="preserve">Auditor do componente (fonte)</t>
  </si>
  <si>
    <t xml:space="preserve">CPFL Paulista</t>
  </si>
  <si>
    <t xml:space="preserve">Distribuição</t>
  </si>
  <si>
    <t xml:space="preserve">Maior porte</t>
  </si>
  <si>
    <t xml:space="preserve">Procedimentos de auditoria nas informações financeiras completas (ativo financeiro da concessão, receita não faturada)</t>
  </si>
  <si>
    <t xml:space="preserve">PwC — relatório 04/03/2026 (DF Paulista)</t>
  </si>
  <si>
    <t xml:space="preserve">CPFL RGE</t>
  </si>
  <si>
    <t xml:space="preserve">Idem</t>
  </si>
  <si>
    <t xml:space="preserve">PwC — opinião sem modificação; data não localizada no texto extraído (DF RGE)</t>
  </si>
  <si>
    <t xml:space="preserve">CPFL Piratininga</t>
  </si>
  <si>
    <t xml:space="preserve">Porte médio</t>
  </si>
  <si>
    <t xml:space="preserve">Procedimentos sobre saldos de risco (ativo financeiro da concessão, receita, dívida)</t>
  </si>
  <si>
    <t xml:space="preserve">PwC — 04/03/2026 (DF Piratininga)</t>
  </si>
  <si>
    <t xml:space="preserve">CPFL Santa Cruz</t>
  </si>
  <si>
    <t xml:space="preserve">Porte menor</t>
  </si>
  <si>
    <t xml:space="preserve">Procedimentos sobre ativo financeiro da concessão (base sintética inclui) + analíticos</t>
  </si>
  <si>
    <t xml:space="preserve">Não verificado (DF não disponível no Drive)</t>
  </si>
  <si>
    <t xml:space="preserve">CPFL Transmissão</t>
  </si>
  <si>
    <t xml:space="preserve">Transmissão</t>
  </si>
  <si>
    <t xml:space="preserve">Procedimentos sobre ativo contratual (PAA 1) e receita de remuneração</t>
  </si>
  <si>
    <t xml:space="preserve">PwC — 04/03/2026 (DF Transmissão)</t>
  </si>
  <si>
    <t xml:space="preserve">CPFL Renováveis</t>
  </si>
  <si>
    <t xml:space="preserve">Geração</t>
  </si>
  <si>
    <t xml:space="preserve">Procedimentos sobre imobilizado/intangível e receita de geração</t>
  </si>
  <si>
    <t xml:space="preserve">PwC — 04/03/2026 (DF Renováveis)</t>
  </si>
  <si>
    <t xml:space="preserve">CPFL Geração</t>
  </si>
  <si>
    <t xml:space="preserve">Porte menor (holding de geração)</t>
  </si>
  <si>
    <t xml:space="preserve">Analíticos + equivalência de controladas em conjunto; incorporada em 02/02/2026 (nota 37.1)</t>
  </si>
  <si>
    <t xml:space="preserve">Não verificado</t>
  </si>
  <si>
    <t xml:space="preserve">CPFL Brasil</t>
  </si>
  <si>
    <t xml:space="preserve">Comercialização</t>
  </si>
  <si>
    <t xml:space="preserve">Corte de receita de comercialização (CCEE) + analíticos</t>
  </si>
  <si>
    <t xml:space="preserve">CPFL Serviços e entidades de serviços compartilhados (Atende, Infra, Pessoas, Finanças, Supri, AUTHI, Telecom, Planalto, Jaguari Geração, Alesta, Clion)</t>
  </si>
  <si>
    <t xml:space="preserve">Serviços/outros</t>
  </si>
  <si>
    <t xml:space="preserve">Agregado pouco relevante individualmente</t>
  </si>
  <si>
    <t xml:space="preserve">Analíticos no nível do grupo; atenção a funções compartilhadas (finanças, pessoas, suprimentos) que afetam vários componentes</t>
  </si>
  <si>
    <t xml:space="preserve">Controladas em conjunto (equivalência patrimonial; nota 13.9.3, p. 74): BAESA (25,01%) e Chapecoense (51% — controle conjunto por acordo de acionistas)</t>
  </si>
  <si>
    <t xml:space="preserve">Geração/Transmissão</t>
  </si>
  <si>
    <t xml:space="preserve">Equivalência patrimonial</t>
  </si>
  <si>
    <t xml:space="preserve">Ler acordo de acionistas (julgamento de controle conjunto); obter DF auditadas; recalcular equivalência</t>
  </si>
  <si>
    <t xml:space="preserve">—</t>
  </si>
  <si>
    <t xml:space="preserve">Nota 30 — Informações por segmento 2025 (R$ mil)</t>
  </si>
  <si>
    <t xml:space="preserve">Fonte: DF25 nota 30, p. 103/71 (tabela em imagem; transcrição conferida pelos totais).</t>
  </si>
  <si>
    <t xml:space="preserve">Receita líquida</t>
  </si>
  <si>
    <t xml:space="preserve">Lucro antes dos impostos</t>
  </si>
  <si>
    <t xml:space="preserve">Aquisições de ativo contratual, imobilizado e intangível</t>
  </si>
  <si>
    <t xml:space="preserve">% do LAIR consolidado</t>
  </si>
  <si>
    <t xml:space="preserve">Serviços</t>
  </si>
  <si>
    <t xml:space="preserve">Outros</t>
  </si>
  <si>
    <t xml:space="preserve">Soma (calculada)</t>
  </si>
  <si>
    <t xml:space="preserve">Divulgado (total consolidado)</t>
  </si>
  <si>
    <t xml:space="preserve">Diferença</t>
  </si>
  <si>
    <t xml:space="preserve">esperado 0/±1 (eliminações entre segmentos já líquidas na receita)</t>
  </si>
  <si>
    <t xml:space="preserve">PT 402 — Organizações prestadoras de serviços relevantes</t>
  </si>
  <si>
    <t xml:space="preserve">Identificação a partir das notas. 'Documentado' = citado na DF25; 'Hipótese' = serviço típico do setor, não comprovado. Nenhum relatório de asseguração de prestador foi obtido.</t>
  </si>
  <si>
    <t xml:space="preserve">Prestador / serviço</t>
  </si>
  <si>
    <t xml:space="preserve">Situação documental</t>
  </si>
  <si>
    <t xml:space="preserve">Processo e afirmações afetadas</t>
  </si>
  <si>
    <t xml:space="preserve">Relevante para as DF?</t>
  </si>
  <si>
    <t xml:space="preserve">Relatório tipo 1/2 disponível?</t>
  </si>
  <si>
    <t xml:space="preserve">Controles complementares da entidade usuária (exemplos)</t>
  </si>
  <si>
    <t xml:space="preserve">Procedimento planejado / alternativo</t>
  </si>
  <si>
    <t xml:space="preserve">Modalidade</t>
  </si>
  <si>
    <t xml:space="preserve">Vivest e Fundação Família Previdência — administração dos planos de previdência e dos ativos garantidores</t>
  </si>
  <si>
    <t xml:space="preserve">Documentado</t>
  </si>
  <si>
    <t xml:space="preserve">DF25 nota 20, p. 86 e 92</t>
  </si>
  <si>
    <t xml:space="preserve">Obrigação atuarial (606.924 no BP) e ativos do plano; avaliação, existência</t>
  </si>
  <si>
    <t xml:space="preserve">Sim</t>
  </si>
  <si>
    <t xml:space="preserve">Não obtido</t>
  </si>
  <si>
    <t xml:space="preserve">Envio de cadastro de participantes; conciliação de contribuições; aprovação de premissas atuariais</t>
  </si>
  <si>
    <t xml:space="preserve">Obter relatório do auditor do plano e confirmação dos ativos; testar dados censitários; usar especialista atuário (NBC TA 620)</t>
  </si>
  <si>
    <t xml:space="preserve">Planejado por falta de acesso</t>
  </si>
  <si>
    <t xml:space="preserve">CCEE — contabilização e liquidação do mercado de curto prazo</t>
  </si>
  <si>
    <t xml:space="preserve">DF25 nota 3.11, p. 54; nota 12</t>
  </si>
  <si>
    <t xml:space="preserve">Receita e custo de energia (comercialização, liquidação); ocorrência, exatidão</t>
  </si>
  <si>
    <t xml:space="preserve">Não obtido (não verificado se existe)</t>
  </si>
  <si>
    <t xml:space="preserve">Conferência dos relatórios de pré-liquidação; registro de contratos bilaterais</t>
  </si>
  <si>
    <t xml:space="preserve">Conciliar relatórios de liquidação da CCEE com a contabilidade; inspecionar registros de contratos (planejado); usar dados abertos da CCEE apenas após validação da fonte (P07)</t>
  </si>
  <si>
    <t xml:space="preserve">Empreiteiras de construção da infraestrutura (alto grau de terceirização)</t>
  </si>
  <si>
    <t xml:space="preserve">DF25 nota 3, p. 47</t>
  </si>
  <si>
    <t xml:space="preserve">Ativo contratual e receita/custo de construção (5.879.424 / 5.566.883); existência, exatidão, corte</t>
  </si>
  <si>
    <t xml:space="preserve">Sim (afeta ativos da concessão)</t>
  </si>
  <si>
    <t xml:space="preserve">Não aplicável (prestador operacional, não processa informação contábil)</t>
  </si>
  <si>
    <t xml:space="preserve">Medição de obras e aceite; controle de ordens de serviço</t>
  </si>
  <si>
    <t xml:space="preserve">Tratar como fornecedor (NBC TA 500): inspeção de medições e contratos; a NBC TA 402 só se aplica se o prestador processar informação que integra o sistema de informação</t>
  </si>
  <si>
    <t xml:space="preserve">Agentes arrecadadores (bancos) — cobrança das faturas e convênios de arrecadação</t>
  </si>
  <si>
    <t xml:space="preserve">Documentado em parte (convênios de arrecadação na nota 23, p. 97); bancos = hipótese</t>
  </si>
  <si>
    <t xml:space="preserve">DF25 nota 23, p. 97</t>
  </si>
  <si>
    <t xml:space="preserve">Contas a receber e caixa; existência, corte</t>
  </si>
  <si>
    <t xml:space="preserve">Conciliação diária de arquivos de retorno bancário</t>
  </si>
  <si>
    <t xml:space="preserve">Conciliar arquivos de retorno × baixas de contas a receber; confirmação bancária (PT 505)</t>
  </si>
  <si>
    <t xml:space="preserve">Provedores de TI/nuvem (ERP, faturamento, medição)</t>
  </si>
  <si>
    <t xml:space="preserve">Hipótese (não identificado na DF25)</t>
  </si>
  <si>
    <t xml:space="preserve">Receita não faturada e faturamento (R03, R15)</t>
  </si>
  <si>
    <t xml:space="preserve">A confirmar</t>
  </si>
  <si>
    <t xml:space="preserve">Gestão de acessos e mudanças do lado da entidade</t>
  </si>
  <si>
    <t xml:space="preserve">Indagar à administração sobre terceirização de TI; se houver, obter relatório tipo 2 com período coberto e avaliar exceções e subcontratadas (402 itens 13–18)</t>
  </si>
  <si>
    <t xml:space="preserve">Centros de serviços compartilhados do próprio grupo (CPFL Serviços, Finanças, Pessoas, Supri, Atende)</t>
  </si>
  <si>
    <t xml:space="preserve">Documentado (entidades do grupo)</t>
  </si>
  <si>
    <t xml:space="preserve">DF25 nota 13.1, p. 70/38</t>
  </si>
  <si>
    <t xml:space="preserve">Folha, finanças, suprimentos, atendimento</t>
  </si>
  <si>
    <t xml:space="preserve">Sim — mas são componentes do grupo, não prestadores externos</t>
  </si>
  <si>
    <t xml:space="preserve">Não aplicável</t>
  </si>
  <si>
    <t xml:space="preserve">Tratar no PT 600 (funções compartilhadas), não na NBC TA 402</t>
  </si>
  <si>
    <t xml:space="preserve">Realizado com evidência pública (classificação)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</si>
</sst>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51.7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</row>
    <row r="5" customFormat="false" ht="15" hidden="false" customHeight="false" outlineLevel="0" collapsed="false">
      <c r="A5" s="5" t="s">
        <v>6</v>
      </c>
      <c r="B5" s="6" t="n">
        <v>81099930</v>
      </c>
      <c r="C5" s="5" t="s">
        <v>7</v>
      </c>
    </row>
    <row r="6" customFormat="false" ht="15" hidden="false" customHeight="false" outlineLevel="0" collapsed="false">
      <c r="A6" s="5" t="s">
        <v>8</v>
      </c>
      <c r="B6" s="6" t="n">
        <v>8091246</v>
      </c>
      <c r="C6" s="5" t="s">
        <v>9</v>
      </c>
    </row>
    <row r="7" customFormat="false" ht="15" hidden="false" customHeight="false" outlineLevel="0" collapsed="false">
      <c r="A7" s="5" t="s">
        <v>10</v>
      </c>
      <c r="B7" s="6" t="n">
        <v>404562.3</v>
      </c>
      <c r="C7" s="5" t="s">
        <v>11</v>
      </c>
    </row>
    <row r="8" customFormat="false" ht="15" hidden="false" customHeight="false" outlineLevel="0" collapsed="false">
      <c r="A8" s="5" t="s">
        <v>12</v>
      </c>
      <c r="B8" s="6" t="n">
        <v>303421.725</v>
      </c>
      <c r="C8" s="5" t="s">
        <v>11</v>
      </c>
    </row>
    <row r="9" customFormat="false" ht="15" hidden="false" customHeight="false" outlineLevel="0" collapsed="false">
      <c r="A9" s="5" t="s">
        <v>13</v>
      </c>
      <c r="B9" s="6" t="n">
        <v>20228.115</v>
      </c>
      <c r="C9" s="5" t="s">
        <v>11</v>
      </c>
    </row>
    <row r="10" customFormat="false" ht="15" hidden="false" customHeight="false" outlineLevel="0" collapsed="false">
      <c r="A10" s="5" t="s">
        <v>14</v>
      </c>
      <c r="B10" s="7" t="n">
        <v>0.7</v>
      </c>
      <c r="C10" s="5" t="s">
        <v>15</v>
      </c>
    </row>
    <row r="11" customFormat="false" ht="15" hidden="false" customHeight="false" outlineLevel="0" collapsed="false">
      <c r="A11" s="5" t="s">
        <v>16</v>
      </c>
      <c r="B11" s="7" t="n">
        <v>0.5</v>
      </c>
      <c r="C11" s="5" t="s">
        <v>17</v>
      </c>
    </row>
  </sheetData>
  <mergeCells count="1"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</v>
      </c>
    </row>
    <row r="3" customFormat="false" ht="51.75" hidden="false" customHeight="true" outlineLevel="0" collapsed="false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2.8" hidden="false" customHeight="fals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</row>
    <row r="5" customFormat="false" ht="32.8" hidden="false" customHeight="false" outlineLevel="0" collapsed="false">
      <c r="A5" s="5" t="s">
        <v>31</v>
      </c>
      <c r="B5" s="5" t="s">
        <v>32</v>
      </c>
      <c r="C5" s="8" t="n">
        <v>22954592</v>
      </c>
      <c r="D5" s="8" t="n">
        <v>1864350</v>
      </c>
      <c r="E5" s="9" t="n">
        <f aca="false">C5/Parametros!$B$5</f>
        <v>0.283040836163484</v>
      </c>
      <c r="F5" s="9" t="n">
        <f aca="false">ABS(D5)/Parametros!$B$6</f>
        <v>0.230415686286142</v>
      </c>
      <c r="G5" s="5" t="s">
        <v>33</v>
      </c>
      <c r="H5" s="5" t="s">
        <v>34</v>
      </c>
      <c r="I5" s="10" t="n">
        <f aca="false">Parametros!$B$8*Parametros!$B$10</f>
        <v>212395.2075</v>
      </c>
      <c r="J5" s="10" t="n">
        <f aca="false">Parametros!$B$9</f>
        <v>20228.115</v>
      </c>
      <c r="K5" s="5" t="s">
        <v>35</v>
      </c>
    </row>
    <row r="6" customFormat="false" ht="22.35" hidden="false" customHeight="false" outlineLevel="0" collapsed="false">
      <c r="A6" s="5" t="s">
        <v>36</v>
      </c>
      <c r="B6" s="5" t="s">
        <v>32</v>
      </c>
      <c r="C6" s="8" t="n">
        <v>21762223</v>
      </c>
      <c r="D6" s="8" t="n">
        <v>1327456</v>
      </c>
      <c r="E6" s="9" t="n">
        <f aca="false">C6/Parametros!$B$5</f>
        <v>0.268338369712526</v>
      </c>
      <c r="F6" s="9" t="n">
        <f aca="false">ABS(D6)/Parametros!$B$6</f>
        <v>0.164060763941672</v>
      </c>
      <c r="G6" s="5" t="s">
        <v>33</v>
      </c>
      <c r="H6" s="5" t="s">
        <v>37</v>
      </c>
      <c r="I6" s="10" t="n">
        <f aca="false">Parametros!$B$8*Parametros!$B$10</f>
        <v>212395.2075</v>
      </c>
      <c r="J6" s="10" t="n">
        <f aca="false">Parametros!$B$9</f>
        <v>20228.115</v>
      </c>
      <c r="K6" s="5" t="s">
        <v>38</v>
      </c>
    </row>
    <row r="7" customFormat="false" ht="22.35" hidden="false" customHeight="false" outlineLevel="0" collapsed="false">
      <c r="A7" s="5" t="s">
        <v>39</v>
      </c>
      <c r="B7" s="5" t="s">
        <v>32</v>
      </c>
      <c r="C7" s="8" t="n">
        <v>8226299</v>
      </c>
      <c r="D7" s="8" t="n">
        <v>548281</v>
      </c>
      <c r="E7" s="9" t="n">
        <f aca="false">C7/Parametros!$B$5</f>
        <v>0.101434107279747</v>
      </c>
      <c r="F7" s="9" t="n">
        <f aca="false">ABS(D7)/Parametros!$B$6</f>
        <v>0.0677622457653617</v>
      </c>
      <c r="G7" s="5" t="s">
        <v>40</v>
      </c>
      <c r="H7" s="5" t="s">
        <v>41</v>
      </c>
      <c r="I7" s="10" t="n">
        <f aca="false">Parametros!$B$8*Parametros!$B$11</f>
        <v>151710.8625</v>
      </c>
      <c r="J7" s="10" t="n">
        <f aca="false">Parametros!$B$9</f>
        <v>20228.115</v>
      </c>
      <c r="K7" s="5" t="s">
        <v>42</v>
      </c>
    </row>
    <row r="8" customFormat="false" ht="22.35" hidden="false" customHeight="false" outlineLevel="0" collapsed="false">
      <c r="A8" s="5" t="s">
        <v>43</v>
      </c>
      <c r="B8" s="5" t="s">
        <v>32</v>
      </c>
      <c r="C8" s="8" t="n">
        <v>2647005</v>
      </c>
      <c r="D8" s="8" t="n">
        <v>130563</v>
      </c>
      <c r="E8" s="9" t="n">
        <f aca="false">C8/Parametros!$B$5</f>
        <v>0.0326388074564306</v>
      </c>
      <c r="F8" s="9" t="n">
        <f aca="false">ABS(D8)/Parametros!$B$6</f>
        <v>0.0161363280760466</v>
      </c>
      <c r="G8" s="5" t="s">
        <v>44</v>
      </c>
      <c r="H8" s="5" t="s">
        <v>45</v>
      </c>
      <c r="I8" s="10" t="n">
        <f aca="false">Parametros!$B$8*Parametros!$B$11</f>
        <v>151710.8625</v>
      </c>
      <c r="J8" s="10" t="n">
        <f aca="false">Parametros!$B$9</f>
        <v>20228.115</v>
      </c>
      <c r="K8" s="5" t="s">
        <v>46</v>
      </c>
    </row>
    <row r="9" customFormat="false" ht="22.35" hidden="false" customHeight="false" outlineLevel="0" collapsed="false">
      <c r="A9" s="5" t="s">
        <v>47</v>
      </c>
      <c r="B9" s="5" t="s">
        <v>48</v>
      </c>
      <c r="C9" s="8" t="n">
        <v>9425400</v>
      </c>
      <c r="D9" s="8" t="n">
        <v>268600</v>
      </c>
      <c r="E9" s="9" t="n">
        <f aca="false">C9/Parametros!$B$5</f>
        <v>0.116219582433672</v>
      </c>
      <c r="F9" s="9" t="n">
        <f aca="false">ABS(D9)/Parametros!$B$6</f>
        <v>0.0331963704972016</v>
      </c>
      <c r="G9" s="5" t="s">
        <v>40</v>
      </c>
      <c r="H9" s="5" t="s">
        <v>49</v>
      </c>
      <c r="I9" s="10" t="n">
        <f aca="false">Parametros!$B$8*Parametros!$B$11</f>
        <v>151710.8625</v>
      </c>
      <c r="J9" s="10" t="n">
        <f aca="false">Parametros!$B$9</f>
        <v>20228.115</v>
      </c>
      <c r="K9" s="5" t="s">
        <v>50</v>
      </c>
    </row>
    <row r="10" customFormat="false" ht="22.35" hidden="false" customHeight="false" outlineLevel="0" collapsed="false">
      <c r="A10" s="5" t="s">
        <v>51</v>
      </c>
      <c r="B10" s="5" t="s">
        <v>52</v>
      </c>
      <c r="C10" s="8" t="n">
        <v>8335380</v>
      </c>
      <c r="D10" s="8" t="n">
        <v>1062034</v>
      </c>
      <c r="E10" s="9" t="n">
        <f aca="false">C10/Parametros!$B$5</f>
        <v>0.102779126936361</v>
      </c>
      <c r="F10" s="9" t="n">
        <f aca="false">ABS(D10)/Parametros!$B$6</f>
        <v>0.131257163606199</v>
      </c>
      <c r="G10" s="5" t="s">
        <v>40</v>
      </c>
      <c r="H10" s="5" t="s">
        <v>53</v>
      </c>
      <c r="I10" s="10" t="n">
        <f aca="false">Parametros!$B$8*Parametros!$B$11</f>
        <v>151710.8625</v>
      </c>
      <c r="J10" s="10" t="n">
        <f aca="false">Parametros!$B$9</f>
        <v>20228.115</v>
      </c>
      <c r="K10" s="5" t="s">
        <v>54</v>
      </c>
    </row>
    <row r="11" customFormat="false" ht="22.35" hidden="false" customHeight="false" outlineLevel="0" collapsed="false">
      <c r="A11" s="5" t="s">
        <v>55</v>
      </c>
      <c r="B11" s="5" t="s">
        <v>52</v>
      </c>
      <c r="C11" s="8" t="n">
        <v>3461790</v>
      </c>
      <c r="D11" s="8" t="n">
        <v>1129886</v>
      </c>
      <c r="E11" s="9" t="n">
        <f aca="false">C11/Parametros!$B$5</f>
        <v>0.0426854869048592</v>
      </c>
      <c r="F11" s="9" t="n">
        <f aca="false">ABS(D11)/Parametros!$B$6</f>
        <v>0.139643016662699</v>
      </c>
      <c r="G11" s="5" t="s">
        <v>56</v>
      </c>
      <c r="H11" s="5" t="s">
        <v>57</v>
      </c>
      <c r="I11" s="10" t="n">
        <f aca="false">Parametros!$B$8*Parametros!$B$11</f>
        <v>151710.8625</v>
      </c>
      <c r="J11" s="10" t="n">
        <f aca="false">Parametros!$B$9</f>
        <v>20228.115</v>
      </c>
      <c r="K11" s="5" t="s">
        <v>58</v>
      </c>
    </row>
    <row r="12" customFormat="false" ht="22.35" hidden="false" customHeight="false" outlineLevel="0" collapsed="false">
      <c r="A12" s="5" t="s">
        <v>59</v>
      </c>
      <c r="B12" s="5" t="s">
        <v>60</v>
      </c>
      <c r="C12" s="8" t="n">
        <v>4855998</v>
      </c>
      <c r="D12" s="8" t="n">
        <v>142279</v>
      </c>
      <c r="E12" s="9" t="n">
        <f aca="false">C12/Parametros!$B$5</f>
        <v>0.0598767224583301</v>
      </c>
      <c r="F12" s="9" t="n">
        <f aca="false">ABS(D12)/Parametros!$B$6</f>
        <v>0.0175843127251353</v>
      </c>
      <c r="G12" s="5" t="s">
        <v>44</v>
      </c>
      <c r="H12" s="5" t="s">
        <v>61</v>
      </c>
      <c r="I12" s="10" t="n">
        <f aca="false">Parametros!$B$8*Parametros!$B$11</f>
        <v>151710.8625</v>
      </c>
      <c r="J12" s="10" t="n">
        <f aca="false">Parametros!$B$9</f>
        <v>20228.115</v>
      </c>
      <c r="K12" s="5" t="s">
        <v>58</v>
      </c>
    </row>
    <row r="13" customFormat="false" ht="53.7" hidden="false" customHeight="false" outlineLevel="0" collapsed="false">
      <c r="A13" s="5" t="s">
        <v>62</v>
      </c>
      <c r="B13" s="5" t="s">
        <v>63</v>
      </c>
      <c r="C13" s="8" t="n">
        <v>1163319</v>
      </c>
      <c r="D13" s="8" t="n">
        <v>206407</v>
      </c>
      <c r="E13" s="9" t="n">
        <f aca="false">C13/Parametros!$B$5</f>
        <v>0.0143442663883927</v>
      </c>
      <c r="F13" s="9" t="n">
        <f aca="false">ABS(D13)/Parametros!$B$6</f>
        <v>0.0255099152837523</v>
      </c>
      <c r="G13" s="5" t="s">
        <v>64</v>
      </c>
      <c r="H13" s="5" t="s">
        <v>65</v>
      </c>
      <c r="I13" s="10" t="n">
        <f aca="false">Parametros!$B$8*Parametros!$B$11</f>
        <v>151710.8625</v>
      </c>
      <c r="J13" s="10" t="n">
        <f aca="false">Parametros!$B$9</f>
        <v>20228.115</v>
      </c>
      <c r="K13" s="5" t="s">
        <v>58</v>
      </c>
    </row>
    <row r="15" customFormat="false" ht="64.15" hidden="false" customHeight="false" outlineLevel="0" collapsed="false">
      <c r="A15" s="5" t="s">
        <v>66</v>
      </c>
      <c r="B15" s="5" t="s">
        <v>67</v>
      </c>
      <c r="C15" s="8" t="n">
        <v>380803</v>
      </c>
      <c r="D15" s="8" t="n">
        <v>275980</v>
      </c>
      <c r="E15" s="9" t="n">
        <f aca="false">C15/Parametros!$B$5</f>
        <v>0.00469547877538242</v>
      </c>
      <c r="F15" s="9" t="n">
        <f aca="false">ABS(D15)/Parametros!$B$6</f>
        <v>0.0341084673485394</v>
      </c>
      <c r="G15" s="5" t="s">
        <v>68</v>
      </c>
      <c r="H15" s="5" t="s">
        <v>69</v>
      </c>
      <c r="I15" s="5" t="s">
        <v>70</v>
      </c>
      <c r="J15" s="5" t="s">
        <v>70</v>
      </c>
      <c r="K15" s="5" t="s">
        <v>58</v>
      </c>
    </row>
  </sheetData>
  <mergeCells count="1"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1</v>
      </c>
    </row>
    <row r="3" customFormat="false" ht="51.75" hidden="false" customHeight="true" outlineLevel="0" collapsed="false">
      <c r="A3" s="3" t="s">
        <v>72</v>
      </c>
      <c r="B3" s="3"/>
      <c r="C3" s="3"/>
      <c r="D3" s="3"/>
      <c r="E3" s="3"/>
    </row>
    <row r="4" customFormat="false" ht="32.8" hidden="false" customHeight="false" outlineLevel="0" collapsed="false">
      <c r="A4" s="4" t="s">
        <v>21</v>
      </c>
      <c r="B4" s="4" t="s">
        <v>73</v>
      </c>
      <c r="C4" s="4" t="s">
        <v>74</v>
      </c>
      <c r="D4" s="4" t="s">
        <v>75</v>
      </c>
      <c r="E4" s="4" t="s">
        <v>76</v>
      </c>
    </row>
    <row r="5" customFormat="false" ht="15" hidden="false" customHeight="false" outlineLevel="0" collapsed="false">
      <c r="A5" s="5" t="s">
        <v>32</v>
      </c>
      <c r="B5" s="8" t="n">
        <v>36531151</v>
      </c>
      <c r="C5" s="8" t="n">
        <v>5331500</v>
      </c>
      <c r="D5" s="8" t="n">
        <v>4963868</v>
      </c>
      <c r="E5" s="9" t="n">
        <f aca="false">C5/Parametros!$B$6</f>
        <v>0.658922000394006</v>
      </c>
    </row>
    <row r="6" customFormat="false" ht="15" hidden="false" customHeight="false" outlineLevel="0" collapsed="false">
      <c r="A6" s="5" t="s">
        <v>52</v>
      </c>
      <c r="B6" s="8" t="n">
        <v>3272911</v>
      </c>
      <c r="C6" s="8" t="n">
        <v>2547712</v>
      </c>
      <c r="D6" s="8" t="n">
        <v>269975</v>
      </c>
      <c r="E6" s="9" t="n">
        <f aca="false">C6/Parametros!$B$6</f>
        <v>0.314872641370686</v>
      </c>
    </row>
    <row r="7" customFormat="false" ht="15" hidden="false" customHeight="false" outlineLevel="0" collapsed="false">
      <c r="A7" s="5" t="s">
        <v>48</v>
      </c>
      <c r="B7" s="8" t="n">
        <v>1635891</v>
      </c>
      <c r="C7" s="8" t="n">
        <v>350619</v>
      </c>
      <c r="D7" s="8" t="n">
        <v>804090</v>
      </c>
      <c r="E7" s="9" t="n">
        <f aca="false">C7/Parametros!$B$6</f>
        <v>0.043333128173337</v>
      </c>
    </row>
    <row r="8" customFormat="false" ht="15" hidden="false" customHeight="false" outlineLevel="0" collapsed="false">
      <c r="A8" s="5" t="s">
        <v>60</v>
      </c>
      <c r="B8" s="8" t="n">
        <v>2692087</v>
      </c>
      <c r="C8" s="8" t="n">
        <v>-281094</v>
      </c>
      <c r="D8" s="8" t="n">
        <v>1500</v>
      </c>
      <c r="E8" s="9" t="n">
        <f aca="false">C8/Parametros!$B$6</f>
        <v>-0.0347405084457944</v>
      </c>
    </row>
    <row r="9" customFormat="false" ht="15" hidden="false" customHeight="false" outlineLevel="0" collapsed="false">
      <c r="A9" s="5" t="s">
        <v>77</v>
      </c>
      <c r="B9" s="8" t="n">
        <v>234086</v>
      </c>
      <c r="C9" s="8" t="n">
        <v>259335</v>
      </c>
      <c r="D9" s="8" t="n">
        <v>71632</v>
      </c>
      <c r="E9" s="9" t="n">
        <f aca="false">C9/Parametros!$B$6</f>
        <v>0.0320513058186588</v>
      </c>
    </row>
    <row r="10" customFormat="false" ht="15" hidden="false" customHeight="false" outlineLevel="0" collapsed="false">
      <c r="A10" s="5" t="s">
        <v>78</v>
      </c>
      <c r="B10" s="8" t="n">
        <v>1655</v>
      </c>
      <c r="C10" s="8" t="n">
        <v>-116826</v>
      </c>
      <c r="D10" s="8" t="n">
        <v>1033</v>
      </c>
      <c r="E10" s="9" t="n">
        <f aca="false">C10/Parametros!$B$6</f>
        <v>-0.0144385673108938</v>
      </c>
    </row>
    <row r="11" customFormat="false" ht="15" hidden="false" customHeight="false" outlineLevel="0" collapsed="false">
      <c r="A11" s="11" t="s">
        <v>79</v>
      </c>
      <c r="B11" s="12" t="n">
        <f aca="false">SUM(B5:B10)</f>
        <v>44367781</v>
      </c>
      <c r="C11" s="12" t="n">
        <f aca="false">SUM(C5:C10)</f>
        <v>8091246</v>
      </c>
      <c r="D11" s="12" t="n">
        <f aca="false">SUM(D5:D10)</f>
        <v>6112098</v>
      </c>
      <c r="E11" s="11"/>
    </row>
    <row r="12" customFormat="false" ht="15" hidden="false" customHeight="false" outlineLevel="0" collapsed="false">
      <c r="A12" s="11" t="s">
        <v>80</v>
      </c>
      <c r="B12" s="13" t="n">
        <v>44367780</v>
      </c>
      <c r="C12" s="13" t="n">
        <v>8091246</v>
      </c>
      <c r="D12" s="13" t="n">
        <v>6112098</v>
      </c>
      <c r="E12" s="11"/>
    </row>
    <row r="13" customFormat="false" ht="53.7" hidden="false" customHeight="false" outlineLevel="0" collapsed="false">
      <c r="A13" s="5" t="s">
        <v>81</v>
      </c>
      <c r="B13" s="14" t="n">
        <f aca="false">B11-B12</f>
        <v>1</v>
      </c>
      <c r="C13" s="14" t="n">
        <f aca="false">C11-C12</f>
        <v>0</v>
      </c>
      <c r="D13" s="14" t="n">
        <f aca="false">D11-D12</f>
        <v>0</v>
      </c>
      <c r="E13" s="5" t="s">
        <v>82</v>
      </c>
    </row>
  </sheetData>
  <mergeCells count="1"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1</v>
      </c>
    </row>
    <row r="3" customFormat="false" ht="51.75" hidden="false" customHeight="true" outlineLevel="0" collapsed="false">
      <c r="A3" s="3" t="s">
        <v>84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85</v>
      </c>
      <c r="B4" s="4" t="s">
        <v>86</v>
      </c>
      <c r="C4" s="4" t="s">
        <v>5</v>
      </c>
      <c r="D4" s="4" t="s">
        <v>87</v>
      </c>
      <c r="E4" s="4" t="s">
        <v>88</v>
      </c>
      <c r="F4" s="4" t="s">
        <v>89</v>
      </c>
      <c r="G4" s="4" t="s">
        <v>90</v>
      </c>
      <c r="H4" s="4" t="s">
        <v>91</v>
      </c>
      <c r="I4" s="4" t="s">
        <v>92</v>
      </c>
    </row>
    <row r="5" customFormat="false" ht="43.25" hidden="false" customHeight="false" outlineLevel="0" collapsed="false">
      <c r="A5" s="5" t="s">
        <v>93</v>
      </c>
      <c r="B5" s="5" t="s">
        <v>94</v>
      </c>
      <c r="C5" s="5" t="s">
        <v>95</v>
      </c>
      <c r="D5" s="5" t="s">
        <v>96</v>
      </c>
      <c r="E5" s="5" t="s">
        <v>97</v>
      </c>
      <c r="F5" s="5" t="s">
        <v>98</v>
      </c>
      <c r="G5" s="5" t="s">
        <v>99</v>
      </c>
      <c r="H5" s="5" t="s">
        <v>100</v>
      </c>
      <c r="I5" s="5" t="s">
        <v>101</v>
      </c>
    </row>
    <row r="6" customFormat="false" ht="43.25" hidden="false" customHeight="false" outlineLevel="0" collapsed="false">
      <c r="A6" s="5" t="s">
        <v>102</v>
      </c>
      <c r="B6" s="5" t="s">
        <v>94</v>
      </c>
      <c r="C6" s="5" t="s">
        <v>103</v>
      </c>
      <c r="D6" s="5" t="s">
        <v>104</v>
      </c>
      <c r="E6" s="5" t="s">
        <v>97</v>
      </c>
      <c r="F6" s="5" t="s">
        <v>105</v>
      </c>
      <c r="G6" s="5" t="s">
        <v>106</v>
      </c>
      <c r="H6" s="5" t="s">
        <v>107</v>
      </c>
      <c r="I6" s="5" t="s">
        <v>101</v>
      </c>
    </row>
    <row r="7" customFormat="false" ht="43.25" hidden="false" customHeight="false" outlineLevel="0" collapsed="false">
      <c r="A7" s="5" t="s">
        <v>108</v>
      </c>
      <c r="B7" s="5" t="s">
        <v>94</v>
      </c>
      <c r="C7" s="5" t="s">
        <v>109</v>
      </c>
      <c r="D7" s="5" t="s">
        <v>110</v>
      </c>
      <c r="E7" s="5" t="s">
        <v>111</v>
      </c>
      <c r="F7" s="5" t="s">
        <v>112</v>
      </c>
      <c r="G7" s="5" t="s">
        <v>113</v>
      </c>
      <c r="H7" s="5" t="s">
        <v>114</v>
      </c>
      <c r="I7" s="5" t="s">
        <v>101</v>
      </c>
    </row>
    <row r="8" customFormat="false" ht="53.7" hidden="false" customHeight="false" outlineLevel="0" collapsed="false">
      <c r="A8" s="5" t="s">
        <v>115</v>
      </c>
      <c r="B8" s="5" t="s">
        <v>116</v>
      </c>
      <c r="C8" s="5" t="s">
        <v>117</v>
      </c>
      <c r="D8" s="5" t="s">
        <v>118</v>
      </c>
      <c r="E8" s="5" t="s">
        <v>97</v>
      </c>
      <c r="F8" s="5" t="s">
        <v>98</v>
      </c>
      <c r="G8" s="5" t="s">
        <v>119</v>
      </c>
      <c r="H8" s="5" t="s">
        <v>120</v>
      </c>
      <c r="I8" s="5" t="s">
        <v>101</v>
      </c>
    </row>
    <row r="9" customFormat="false" ht="32.8" hidden="false" customHeight="false" outlineLevel="0" collapsed="false">
      <c r="A9" s="5" t="s">
        <v>121</v>
      </c>
      <c r="B9" s="5" t="s">
        <v>122</v>
      </c>
      <c r="C9" s="5" t="s">
        <v>70</v>
      </c>
      <c r="D9" s="5" t="s">
        <v>123</v>
      </c>
      <c r="E9" s="5" t="s">
        <v>124</v>
      </c>
      <c r="F9" s="5" t="s">
        <v>98</v>
      </c>
      <c r="G9" s="5" t="s">
        <v>125</v>
      </c>
      <c r="H9" s="5" t="s">
        <v>126</v>
      </c>
      <c r="I9" s="5" t="s">
        <v>101</v>
      </c>
    </row>
    <row r="10" customFormat="false" ht="53.7" hidden="false" customHeight="false" outlineLevel="0" collapsed="false">
      <c r="A10" s="5" t="s">
        <v>127</v>
      </c>
      <c r="B10" s="5" t="s">
        <v>128</v>
      </c>
      <c r="C10" s="5" t="s">
        <v>129</v>
      </c>
      <c r="D10" s="5" t="s">
        <v>130</v>
      </c>
      <c r="E10" s="5" t="s">
        <v>131</v>
      </c>
      <c r="F10" s="5" t="s">
        <v>132</v>
      </c>
      <c r="G10" s="5" t="s">
        <v>70</v>
      </c>
      <c r="H10" s="5" t="s">
        <v>133</v>
      </c>
      <c r="I10" s="5" t="s">
        <v>134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2026-10-23T01:25:54Z</dcterms:created>
  <dc:creator>openpyxl</dc:creator>
  <dc:description/>
  <dc:language>en-US</dc:language>
  <cp:lastModifiedBy/>
  <dcterms:modified xsi:type="dcterms:W3CDTF">2026-10-23T01:25:54Z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