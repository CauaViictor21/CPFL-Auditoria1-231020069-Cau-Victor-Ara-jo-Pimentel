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510_Abertura" sheetId="1" state="visible" r:id="rId3"/>
    <sheet name="PT520_Planejamento" sheetId="2" state="visible" r:id="rId4"/>
    <sheet name="PT520_Substantivo_VNR" sheetId="3" state="visible" r:id="rId5"/>
    <sheet name="PT540_Sensibilidade" sheetId="4" state="visible" r:id="rId6"/>
    <sheet name="PT550_PartesR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<sst xmlns="http://schemas.openxmlformats.org/spreadsheetml/2006/main" count="316" uniqueCount="248">
  <si>
    <t xml:space="preserve">PT 510 — Saldos de abertura: DF24 publicada × comparativo 2024 apresentado na DF25 (consolidado)</t>
  </si>
  <si>
    <t xml:space="preserve">Valores em R$ mil, salvo indicação. Azul/amarelo = dado de entrada com fonte; preto = fórmula; verde = vínculo.</t>
  </si>
  <si>
    <t xml:space="preserve">Linha (consolidado, 31/12/2024)</t>
  </si>
  <si>
    <t xml:space="preserve">DF24 publicada</t>
  </si>
  <si>
    <t xml:space="preserve">Comparativo na DF25</t>
  </si>
  <si>
    <t xml:space="preserve">Diferença</t>
  </si>
  <si>
    <t xml:space="preserve">Observação</t>
  </si>
  <si>
    <t xml:space="preserve">Ativo circulante</t>
  </si>
  <si>
    <t xml:space="preserve">Caixa e equivalentes de caixa</t>
  </si>
  <si>
    <t xml:space="preserve">Títulos e valores mobiliários</t>
  </si>
  <si>
    <t xml:space="preserve">Consumidores, concessionárias e permissionárias</t>
  </si>
  <si>
    <t xml:space="preserve">Estoques</t>
  </si>
  <si>
    <t xml:space="preserve">Dividendo e juros sobre o capital próprio</t>
  </si>
  <si>
    <t xml:space="preserve">Imposto de renda e contribuição social a compensar</t>
  </si>
  <si>
    <t xml:space="preserve">Outros tributos a compensar</t>
  </si>
  <si>
    <t xml:space="preserve">PIS/COFINS a compensar sobre ICMS</t>
  </si>
  <si>
    <t xml:space="preserve">Derivativos</t>
  </si>
  <si>
    <t xml:space="preserve">Ativo financeiro setorial</t>
  </si>
  <si>
    <t xml:space="preserve">Ativo contratual</t>
  </si>
  <si>
    <t xml:space="preserve">Outros ativos</t>
  </si>
  <si>
    <t xml:space="preserve">Soma das linhas — Ativo circulante</t>
  </si>
  <si>
    <t xml:space="preserve">Total publicado na DF24 — Ativo circulante</t>
  </si>
  <si>
    <t xml:space="preserve">Diferença de soma = arredondamento (DF25 nota 2.4, p. 46)</t>
  </si>
  <si>
    <t xml:space="preserve">Ativo não circulante</t>
  </si>
  <si>
    <t xml:space="preserve">Depósitos judiciais</t>
  </si>
  <si>
    <t xml:space="preserve">Créditos fiscais diferidos</t>
  </si>
  <si>
    <t xml:space="preserve">Ativo financeiro da concessão</t>
  </si>
  <si>
    <t xml:space="preserve">Investimentos em instrumentos patrimoniais</t>
  </si>
  <si>
    <t xml:space="preserve">Investimentos</t>
  </si>
  <si>
    <t xml:space="preserve">Imobilizado</t>
  </si>
  <si>
    <t xml:space="preserve">Intangível</t>
  </si>
  <si>
    <t xml:space="preserve">Soma das linhas — Ativo não circulante</t>
  </si>
  <si>
    <t xml:space="preserve">Total publicado na DF24 — Ativo não circulante</t>
  </si>
  <si>
    <t xml:space="preserve">Passivo circulante</t>
  </si>
  <si>
    <t xml:space="preserve">Fornecedores</t>
  </si>
  <si>
    <t xml:space="preserve">Empréstimos e financiamentos</t>
  </si>
  <si>
    <t xml:space="preserve">Debêntures</t>
  </si>
  <si>
    <t xml:space="preserve">Entidade de previdência privada</t>
  </si>
  <si>
    <t xml:space="preserve">Imposto de renda e contribuição social a recolher</t>
  </si>
  <si>
    <t xml:space="preserve">Outros impostos, taxas e contribuições a recolher</t>
  </si>
  <si>
    <t xml:space="preserve">Mútuo com partes relacionadas</t>
  </si>
  <si>
    <t xml:space="preserve">Rubrica renomeada: na DF24 "Mútuo entre coligadas, controladas e controladora"</t>
  </si>
  <si>
    <t xml:space="preserve">Dividendo</t>
  </si>
  <si>
    <t xml:space="preserve">Passivo financeiro setorial</t>
  </si>
  <si>
    <t xml:space="preserve">Provisões para desmobilização e gastos ambientais</t>
  </si>
  <si>
    <t xml:space="preserve">PIS/COFINS devolução consumidores</t>
  </si>
  <si>
    <t xml:space="preserve">Outras contas a pagar</t>
  </si>
  <si>
    <t xml:space="preserve">Soma das linhas — Passivo circulante</t>
  </si>
  <si>
    <t xml:space="preserve">Total publicado na DF24 — Passivo circulante</t>
  </si>
  <si>
    <t xml:space="preserve">Passivo não circulante</t>
  </si>
  <si>
    <t xml:space="preserve">Débitos fiscais diferidos</t>
  </si>
  <si>
    <t xml:space="preserve">Provisões para riscos fiscais, cíveis e trabalhistas</t>
  </si>
  <si>
    <t xml:space="preserve">Soma das linhas — Passivo não circulante</t>
  </si>
  <si>
    <t xml:space="preserve">Total publicado na DF24 — Passivo não circulante</t>
  </si>
  <si>
    <t xml:space="preserve">PL dos controladores</t>
  </si>
  <si>
    <t xml:space="preserve">Capital social</t>
  </si>
  <si>
    <t xml:space="preserve">Reserva de capital</t>
  </si>
  <si>
    <t xml:space="preserve">Reserva legal</t>
  </si>
  <si>
    <t xml:space="preserve">Reserva estatutária - reforço de capital de giro</t>
  </si>
  <si>
    <t xml:space="preserve">Reserva de lucro a realizar</t>
  </si>
  <si>
    <t xml:space="preserve">Resultado abrangente acumulado</t>
  </si>
  <si>
    <t xml:space="preserve">Soma das linhas — PL dos controladores</t>
  </si>
  <si>
    <t xml:space="preserve">Total publicado na DF24 — PL dos controladores</t>
  </si>
  <si>
    <t xml:space="preserve">PL de não controladores</t>
  </si>
  <si>
    <t xml:space="preserve">DF24 p. 35; DF25 p. 35</t>
  </si>
  <si>
    <t xml:space="preserve">Total do ativo (DF24 p. 34)</t>
  </si>
  <si>
    <t xml:space="preserve">Total do passivo e PL (DF24 p. 35)</t>
  </si>
  <si>
    <t xml:space="preserve">DRE consolidada 2024</t>
  </si>
  <si>
    <t xml:space="preserve">DF24 (p. 36/4)</t>
  </si>
  <si>
    <t xml:space="preserve">Comparativo DF25 (p. 36/4)</t>
  </si>
  <si>
    <t xml:space="preserve">Receita operacional líquida</t>
  </si>
  <si>
    <t xml:space="preserve">Lucro operacional bruto</t>
  </si>
  <si>
    <t xml:space="preserve">Resultado do serviço</t>
  </si>
  <si>
    <t xml:space="preserve">Lucro antes dos tributos</t>
  </si>
  <si>
    <t xml:space="preserve">Lucro líquido do exercício</t>
  </si>
  <si>
    <t xml:space="preserve">Lucro atribuído aos controladores</t>
  </si>
  <si>
    <t xml:space="preserve">Linhas individuais comparadas</t>
  </si>
  <si>
    <t xml:space="preserve">Linhas individuais com diferença ≠ 0</t>
  </si>
  <si>
    <t xml:space="preserve">Esperado 0. Totais: diferenças ±1/2 só de soma (arredondamento)</t>
  </si>
  <si>
    <t xml:space="preserve">PT 520 / 315 — Analíticos de avaliação de risco (variações e indicadores, consolidado)</t>
  </si>
  <si>
    <t xml:space="preserve">Uso: avaliação de risco (NBC TA 315). Não são procedimentos substantivos. Valores em R$ mil.</t>
  </si>
  <si>
    <t xml:space="preserve">Item</t>
  </si>
  <si>
    <t xml:space="preserve">2025</t>
  </si>
  <si>
    <t xml:space="preserve">2024</t>
  </si>
  <si>
    <t xml:space="preserve">Variação</t>
  </si>
  <si>
    <t xml:space="preserve">Var. %</t>
  </si>
  <si>
    <t xml:space="preserve">Fonte / leitura</t>
  </si>
  <si>
    <t xml:space="preserve">DF25 DRE p. 36/4</t>
  </si>
  <si>
    <t xml:space="preserve">Custo com energia elétrica</t>
  </si>
  <si>
    <t xml:space="preserve">p. 36/4</t>
  </si>
  <si>
    <t xml:space="preserve">Despesas financeiras</t>
  </si>
  <si>
    <t xml:space="preserve">p. 36/4; nota 29</t>
  </si>
  <si>
    <t xml:space="preserve">Lucro líquido</t>
  </si>
  <si>
    <t xml:space="preserve">BP p. 34/2</t>
  </si>
  <si>
    <t xml:space="preserve">BP p. 35/3</t>
  </si>
  <si>
    <t xml:space="preserve">Ativo total</t>
  </si>
  <si>
    <t xml:space="preserve">BP p. 34/2; nota 11</t>
  </si>
  <si>
    <t xml:space="preserve">Dívida bruta (empréstimos + debêntures, circ. + não circ.)</t>
  </si>
  <si>
    <t xml:space="preserve">Mútuo com partes relacionadas (total)</t>
  </si>
  <si>
    <t xml:space="preserve">BP p. 35/3; nota 31</t>
  </si>
  <si>
    <t xml:space="preserve">Patrimônio líquido total</t>
  </si>
  <si>
    <t xml:space="preserve">Caixa líquido das atividades operacionais</t>
  </si>
  <si>
    <t xml:space="preserve">DFC p. 39/7</t>
  </si>
  <si>
    <t xml:space="preserve">Indicador</t>
  </si>
  <si>
    <t xml:space="preserve">Variação (p.p./x)</t>
  </si>
  <si>
    <t xml:space="preserve">Leitura para o risco</t>
  </si>
  <si>
    <t xml:space="preserve">Margem bruta</t>
  </si>
  <si>
    <t xml:space="preserve">Estável</t>
  </si>
  <si>
    <t xml:space="preserve">Margem do LAIR</t>
  </si>
  <si>
    <t xml:space="preserve">Leve queda</t>
  </si>
  <si>
    <t xml:space="preserve">Liquidez corrente (AC/PC)</t>
  </si>
  <si>
    <t xml:space="preserve">Abaixo de 1: CCL negativo de 1.259.649 (nota 1.4, p. 44/12) → R17 (PT 570)</t>
  </si>
  <si>
    <t xml:space="preserve">Dívida bruta / PL</t>
  </si>
  <si>
    <t xml:space="preserve">Alavancagem</t>
  </si>
  <si>
    <t xml:space="preserve">AFC / ativo total</t>
  </si>
  <si>
    <t xml:space="preserve">Concentração crescente → R01</t>
  </si>
  <si>
    <t xml:space="preserve">Despesa financeira / (dívida + mútuo) média</t>
  </si>
  <si>
    <t xml:space="preserve">Custo médio aproximado (aproximação: dívida + mútuo)</t>
  </si>
  <si>
    <t xml:space="preserve">FCO / lucro líquido</t>
  </si>
  <si>
    <t xml:space="preserve">Qualidade do lucro</t>
  </si>
  <si>
    <t xml:space="preserve">PT 520 — Procedimento analítico substantivo: ajuste a valor justo (VNR) do ativo financeiro da concessão</t>
  </si>
  <si>
    <t xml:space="preserve">Expectativa = saldo inicial × IPCA do ano + transferências do ano × IPCA/2 (meio período). Aproximação didática; NÃO é o modelo da administração (BRR homologada item a item).</t>
  </si>
  <si>
    <t xml:space="preserve">Parâmetro</t>
  </si>
  <si>
    <t xml:space="preserve">Valor</t>
  </si>
  <si>
    <t xml:space="preserve">Fonte / natureza</t>
  </si>
  <si>
    <t xml:space="preserve">IPCA 2025</t>
  </si>
  <si>
    <t xml:space="preserve">IBGE (acumulado jan–dez/2025); DF25 nota 34 e.2, p. 111/79 ("taxa no período")</t>
  </si>
  <si>
    <t xml:space="preserve">IPCA 2024</t>
  </si>
  <si>
    <t xml:space="preserve">IBGE (acumulado jan–dez/2024)</t>
  </si>
  <si>
    <t xml:space="preserve">Materialidade de execução</t>
  </si>
  <si>
    <t xml:space="preserve">D-B04-01</t>
  </si>
  <si>
    <t xml:space="preserve">Limite de investigação (30% da execução)</t>
  </si>
  <si>
    <t xml:space="preserve">Julgamento: precisão exigida por risco significativo R01 (NBC TA 520 item 5(c)–(d))</t>
  </si>
  <si>
    <t xml:space="preserve">Entidade / ano</t>
  </si>
  <si>
    <t xml:space="preserve">Saldo inicial</t>
  </si>
  <si>
    <t xml:space="preserve">Transferências do ativo contratual</t>
  </si>
  <si>
    <t xml:space="preserve">VNR registrado</t>
  </si>
  <si>
    <t xml:space="preserve">Expectativa</t>
  </si>
  <si>
    <t xml:space="preserve">Diferença (reg. − esp.)</t>
  </si>
  <si>
    <t xml:space="preserve">Fonte</t>
  </si>
  <si>
    <t xml:space="preserve">Consolidado 2025</t>
  </si>
  <si>
    <t xml:space="preserve">DF25 nota 11 p. 68</t>
  </si>
  <si>
    <t xml:space="preserve">CPFL Paulista 2025</t>
  </si>
  <si>
    <t xml:space="preserve">DF Paulista nota 11 p. 29</t>
  </si>
  <si>
    <t xml:space="preserve">RGE 2025</t>
  </si>
  <si>
    <t xml:space="preserve">DF RGE nota 11 p. 31</t>
  </si>
  <si>
    <t xml:space="preserve">CPFL Piratininga 2025</t>
  </si>
  <si>
    <t xml:space="preserve">DF Piratininga nota 11 p. 29</t>
  </si>
  <si>
    <t xml:space="preserve">CPFL Santa Cruz 2025 (por diferença)</t>
  </si>
  <si>
    <t xml:space="preserve">Consolidado − três DFs (PT 500)</t>
  </si>
  <si>
    <t xml:space="preserve">Consolidado 2024</t>
  </si>
  <si>
    <t xml:space="preserve">DF25 nota 11 p. 68 (comparativo)</t>
  </si>
  <si>
    <t xml:space="preserve">CPFL Paulista 2024</t>
  </si>
  <si>
    <t xml:space="preserve">RGE 2024</t>
  </si>
  <si>
    <t xml:space="preserve">CPFL Piratininga 2024</t>
  </si>
  <si>
    <t xml:space="preserve">Avaliação</t>
  </si>
  <si>
    <t xml:space="preserve">Diferença consolidada 2025 (R$ mil)</t>
  </si>
  <si>
    <t xml:space="preserve">Diferença em % da expectativa</t>
  </si>
  <si>
    <t xml:space="preserve">Excede o limite de investigação?</t>
  </si>
  <si>
    <t xml:space="preserve">Parcela da diferença concentrada na CPFL Paulista</t>
  </si>
  <si>
    <t xml:space="preserve">Distribuidora sem RTP em 2025 (RTA em abril; DF25 nota 26.2 p. 101/69)</t>
  </si>
  <si>
    <t xml:space="preserve">Diferença consolidada 2024 (retrospectiva)</t>
  </si>
  <si>
    <t xml:space="preserve">Modelo de expectativa aderente em 2024</t>
  </si>
  <si>
    <t xml:space="preserve">Diferença 2024 em % da expectativa</t>
  </si>
  <si>
    <t xml:space="preserve">Conciliação com a nota 34 (ganho reconhecido no resultado)</t>
  </si>
  <si>
    <t xml:space="preserve">Ajuste a valor justo (VNR) 2025</t>
  </si>
  <si>
    <t xml:space="preserve">Nota 11 p. 68</t>
  </si>
  <si>
    <t xml:space="preserve">(−) Baixa da atualização relacionada ao ativo 2025</t>
  </si>
  <si>
    <t xml:space="preserve">Nota 11 p. 68 (texto)</t>
  </si>
  <si>
    <t xml:space="preserve">Ganho líquido calculado</t>
  </si>
  <si>
    <t xml:space="preserve">Ganho divulgado na nota 34 c)</t>
  </si>
  <si>
    <t xml:space="preserve">DF25 p. 110/78</t>
  </si>
  <si>
    <t xml:space="preserve">Esperado 0</t>
  </si>
  <si>
    <t xml:space="preserve">Mesma conciliação 2024: 1.104.267 − 96.326 − 1.007.941</t>
  </si>
  <si>
    <t xml:space="preserve">Notas 11 e 34 (comparativos)</t>
  </si>
  <si>
    <t xml:space="preserve">PT 540 — Ativo financeiro da concessão: sensibilidade reproduzível (aproximação didática, não recálculo do modelo da administração)</t>
  </si>
  <si>
    <t xml:space="preserve">Entrada</t>
  </si>
  <si>
    <t xml:space="preserve">Saldo do ativo financeiro da concessão 31/12/2025</t>
  </si>
  <si>
    <t xml:space="preserve">BP p. 34; nota 11 p. 68</t>
  </si>
  <si>
    <t xml:space="preserve">Saldo inicial 2025</t>
  </si>
  <si>
    <t xml:space="preserve">Transferências do ativo contratual 2025</t>
  </si>
  <si>
    <t xml:space="preserve">Materialidade global</t>
  </si>
  <si>
    <t xml:space="preserve">Lucro antes dos tributos 2025</t>
  </si>
  <si>
    <t xml:space="preserve">DRE p. 36/4</t>
  </si>
  <si>
    <t xml:space="preserve">Base sujeita à atualização (inicial + transferências/2)</t>
  </si>
  <si>
    <t xml:space="preserve">Aproximação: transferências no meio do ano</t>
  </si>
  <si>
    <t xml:space="preserve">Cenário</t>
  </si>
  <si>
    <t xml:space="preserve">Variação do parâmetro</t>
  </si>
  <si>
    <t xml:space="preserve">Efeito no saldo e no resultado</t>
  </si>
  <si>
    <t xml:space="preserve">% da materialidade global</t>
  </si>
  <si>
    <t xml:space="preserve">% do LAIR</t>
  </si>
  <si>
    <t xml:space="preserve">Fundamento</t>
  </si>
  <si>
    <t xml:space="preserve">S1 IPCA +0,5 p.p.</t>
  </si>
  <si>
    <t xml:space="preserve">Erro de índice/defasagem na atualização</t>
  </si>
  <si>
    <t xml:space="preserve">S1 IPCA −0,5 p.p.</t>
  </si>
  <si>
    <t xml:space="preserve">S1 IPCA +1,0 p.p.</t>
  </si>
  <si>
    <t xml:space="preserve">S1 IPCA −1,0 p.p.</t>
  </si>
  <si>
    <t xml:space="preserve">S2 Base homologada (BRR/VNR) −2%</t>
  </si>
  <si>
    <t xml:space="preserve">Ajuste na próxima revisão tarifária (nota 4, p. 59)</t>
  </si>
  <si>
    <t xml:space="preserve">S2 Base homologada (BRR/VNR) +2%</t>
  </si>
  <si>
    <t xml:space="preserve">S2 Base homologada −5%</t>
  </si>
  <si>
    <t xml:space="preserve">S2 Base homologada +5%</t>
  </si>
  <si>
    <t xml:space="preserve">Reprodução da sensibilidade divulgada (nota 34 e.2, p. 111/79) — instrumentos financeiros ativos indexados ao IPCA</t>
  </si>
  <si>
    <t xml:space="preserve">Taxa</t>
  </si>
  <si>
    <t xml:space="preserve">Efeito calculado</t>
  </si>
  <si>
    <t xml:space="preserve">Efeito divulgado</t>
  </si>
  <si>
    <t xml:space="preserve">Exposição ativa ao IPCA (inclui o ativo financeiro da concessão)</t>
  </si>
  <si>
    <t xml:space="preserve">p. 111/79</t>
  </si>
  <si>
    <t xml:space="preserve">Cenário provável</t>
  </si>
  <si>
    <t xml:space="preserve">Efeito em 12 meses (projeção da companhia)</t>
  </si>
  <si>
    <t xml:space="preserve">Redução de 25% do índice</t>
  </si>
  <si>
    <t xml:space="preserve">Redução de 50% do índice</t>
  </si>
  <si>
    <t xml:space="preserve">Perda máxima divulgada (cenário provável − 50%)</t>
  </si>
  <si>
    <t xml:space="preserve">Comparar com a materialidade</t>
  </si>
  <si>
    <t xml:space="preserve">Renovação das concessões — evento posterior (2026)</t>
  </si>
  <si>
    <t xml:space="preserve">% do AFC 31/12/2025</t>
  </si>
  <si>
    <t xml:space="preserve">CPFL Paulista — transferido ao intangível</t>
  </si>
  <si>
    <t xml:space="preserve">ITR 2T26 nota 11, p. 49 do PDF / 15 impressa</t>
  </si>
  <si>
    <t xml:space="preserve">CPFL Piratininga</t>
  </si>
  <si>
    <t xml:space="preserve">idem</t>
  </si>
  <si>
    <t xml:space="preserve">CPFL RGE</t>
  </si>
  <si>
    <t xml:space="preserve">Total reclassificado (aplicação prospectiva, após 06/05/2026)</t>
  </si>
  <si>
    <t xml:space="preserve">Total divulgado: 29.599.494</t>
  </si>
  <si>
    <t xml:space="preserve">Conferência com o total divulgado</t>
  </si>
  <si>
    <t xml:space="preserve">PT 550 — Partes relacionadas: saldos e transações divulgados (DF25 nota 31, p. 103–104/71–72)</t>
  </si>
  <si>
    <t xml:space="preserve">Natureza / contraparte</t>
  </si>
  <si>
    <t xml:space="preserve">Ativo 2025</t>
  </si>
  <si>
    <t xml:space="preserve">Ativo 2024</t>
  </si>
  <si>
    <t xml:space="preserve">Passivo 2025</t>
  </si>
  <si>
    <t xml:space="preserve">Passivo 2024</t>
  </si>
  <si>
    <t xml:space="preserve">Receita 2025</t>
  </si>
  <si>
    <t xml:space="preserve">Receita 2024</t>
  </si>
  <si>
    <t xml:space="preserve">Despesa 2025</t>
  </si>
  <si>
    <t xml:space="preserve">Despesa 2024</t>
  </si>
  <si>
    <t xml:space="preserve">Outras operações financeiras — SGBP (debêntures CPFL Paulista)</t>
  </si>
  <si>
    <t xml:space="preserve">Energia e encargos — entidades sob controle comum</t>
  </si>
  <si>
    <t xml:space="preserve">Energia e encargos — empreendimentos controlados em conjunto e outros</t>
  </si>
  <si>
    <t xml:space="preserve">Intangível, imobilizado, serviços — entidades sob controle comum</t>
  </si>
  <si>
    <t xml:space="preserve">Intangível, imobilizado, serviços — controlados em conjunto e outros</t>
  </si>
  <si>
    <t xml:space="preserve">Mútuo — entidades sob controle comum (SGEL)</t>
  </si>
  <si>
    <t xml:space="preserve">Mútuo — SGBP (liquidado antecipadamente em dez/2025)</t>
  </si>
  <si>
    <t xml:space="preserve">Dividendos e JCP — controlados em conjunto</t>
  </si>
  <si>
    <t xml:space="preserve">Outros — Instituto CPFL</t>
  </si>
  <si>
    <t xml:space="preserve">Total</t>
  </si>
  <si>
    <t xml:space="preserve">Conciliação: mútuo passivo (nota 31) × BP (PC 19.416 + PNC 4.393.234)</t>
  </si>
  <si>
    <t xml:space="preserve">Variação do mútuo passivo 2025 × 2024 (%)</t>
  </si>
  <si>
    <t xml:space="preserve">Remuneração do pessoal-chave da administração</t>
  </si>
  <si>
    <t xml:space="preserve">Despesas com partes relacionadas / despesas operacionais e financeiras (aprox.)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</si>
</sst>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%"/>
    <numFmt numFmtId="168" formatCode="0.00"/>
    <numFmt numFmtId="169" formatCode="0.00%;\(0.0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6" t="n">
        <v>1973401</v>
      </c>
      <c r="C6" s="6" t="n">
        <v>1973401</v>
      </c>
      <c r="D6" s="7" t="n">
        <f aca="false">C6-B6</f>
        <v>0</v>
      </c>
      <c r="E6" s="5"/>
    </row>
    <row r="7" customFormat="false" ht="15" hidden="false" customHeight="false" outlineLevel="0" collapsed="false">
      <c r="A7" s="5" t="s">
        <v>9</v>
      </c>
      <c r="B7" s="6" t="n">
        <v>1573654</v>
      </c>
      <c r="C7" s="6" t="n">
        <v>1573654</v>
      </c>
      <c r="D7" s="7" t="n">
        <f aca="false">C7-B7</f>
        <v>0</v>
      </c>
      <c r="E7" s="5"/>
    </row>
    <row r="8" customFormat="false" ht="15" hidden="false" customHeight="false" outlineLevel="0" collapsed="false">
      <c r="A8" s="5" t="s">
        <v>10</v>
      </c>
      <c r="B8" s="6" t="n">
        <v>5883894</v>
      </c>
      <c r="C8" s="6" t="n">
        <v>5883894</v>
      </c>
      <c r="D8" s="7" t="n">
        <f aca="false">C8-B8</f>
        <v>0</v>
      </c>
      <c r="E8" s="5"/>
    </row>
    <row r="9" customFormat="false" ht="15" hidden="false" customHeight="false" outlineLevel="0" collapsed="false">
      <c r="A9" s="5" t="s">
        <v>11</v>
      </c>
      <c r="B9" s="6" t="n">
        <v>221573</v>
      </c>
      <c r="C9" s="6" t="n">
        <v>221573</v>
      </c>
      <c r="D9" s="7" t="n">
        <f aca="false">C9-B9</f>
        <v>0</v>
      </c>
      <c r="E9" s="5"/>
    </row>
    <row r="10" customFormat="false" ht="15" hidden="false" customHeight="false" outlineLevel="0" collapsed="false">
      <c r="A10" s="5" t="s">
        <v>12</v>
      </c>
      <c r="B10" s="6" t="n">
        <v>19115</v>
      </c>
      <c r="C10" s="6" t="n">
        <v>19115</v>
      </c>
      <c r="D10" s="7" t="n">
        <f aca="false">C10-B10</f>
        <v>0</v>
      </c>
      <c r="E10" s="5"/>
    </row>
    <row r="11" customFormat="false" ht="15" hidden="false" customHeight="false" outlineLevel="0" collapsed="false">
      <c r="A11" s="5" t="s">
        <v>13</v>
      </c>
      <c r="B11" s="6" t="n">
        <v>715764</v>
      </c>
      <c r="C11" s="6" t="n">
        <v>715764</v>
      </c>
      <c r="D11" s="7" t="n">
        <f aca="false">C11-B11</f>
        <v>0</v>
      </c>
      <c r="E11" s="5"/>
    </row>
    <row r="12" customFormat="false" ht="15" hidden="false" customHeight="false" outlineLevel="0" collapsed="false">
      <c r="A12" s="5" t="s">
        <v>14</v>
      </c>
      <c r="B12" s="6" t="n">
        <v>653181</v>
      </c>
      <c r="C12" s="6" t="n">
        <v>653181</v>
      </c>
      <c r="D12" s="7" t="n">
        <f aca="false">C12-B12</f>
        <v>0</v>
      </c>
      <c r="E12" s="5"/>
    </row>
    <row r="13" customFormat="false" ht="15" hidden="false" customHeight="false" outlineLevel="0" collapsed="false">
      <c r="A13" s="5" t="s">
        <v>15</v>
      </c>
      <c r="B13" s="6" t="n">
        <v>1919127</v>
      </c>
      <c r="C13" s="6" t="n">
        <v>1919127</v>
      </c>
      <c r="D13" s="7" t="n">
        <f aca="false">C13-B13</f>
        <v>0</v>
      </c>
      <c r="E13" s="5"/>
    </row>
    <row r="14" customFormat="false" ht="15" hidden="false" customHeight="false" outlineLevel="0" collapsed="false">
      <c r="A14" s="5" t="s">
        <v>16</v>
      </c>
      <c r="B14" s="6" t="n">
        <v>915621</v>
      </c>
      <c r="C14" s="6" t="n">
        <v>915621</v>
      </c>
      <c r="D14" s="7" t="n">
        <f aca="false">C14-B14</f>
        <v>0</v>
      </c>
      <c r="E14" s="5"/>
    </row>
    <row r="15" customFormat="false" ht="15" hidden="false" customHeight="false" outlineLevel="0" collapsed="false">
      <c r="A15" s="5" t="s">
        <v>17</v>
      </c>
      <c r="B15" s="6" t="n">
        <v>393443</v>
      </c>
      <c r="C15" s="6" t="n">
        <v>393443</v>
      </c>
      <c r="D15" s="7" t="n">
        <f aca="false">C15-B15</f>
        <v>0</v>
      </c>
      <c r="E15" s="5"/>
    </row>
    <row r="16" customFormat="false" ht="15" hidden="false" customHeight="false" outlineLevel="0" collapsed="false">
      <c r="A16" s="5" t="s">
        <v>18</v>
      </c>
      <c r="B16" s="6" t="n">
        <v>774368</v>
      </c>
      <c r="C16" s="6" t="n">
        <v>774368</v>
      </c>
      <c r="D16" s="7" t="n">
        <f aca="false">C16-B16</f>
        <v>0</v>
      </c>
      <c r="E16" s="5"/>
    </row>
    <row r="17" customFormat="false" ht="15" hidden="false" customHeight="false" outlineLevel="0" collapsed="false">
      <c r="A17" s="5" t="s">
        <v>19</v>
      </c>
      <c r="B17" s="6" t="n">
        <v>1508406</v>
      </c>
      <c r="C17" s="6" t="n">
        <v>1508406</v>
      </c>
      <c r="D17" s="7" t="n">
        <f aca="false">C17-B17</f>
        <v>0</v>
      </c>
      <c r="E17" s="5"/>
    </row>
    <row r="18" customFormat="false" ht="15" hidden="false" customHeight="false" outlineLevel="0" collapsed="false">
      <c r="A18" s="4" t="s">
        <v>20</v>
      </c>
      <c r="B18" s="8" t="n">
        <f aca="false">SUM(B6:B17)</f>
        <v>16551547</v>
      </c>
      <c r="C18" s="8" t="n">
        <f aca="false">SUM(C6:C17)</f>
        <v>16551547</v>
      </c>
      <c r="D18" s="8" t="n">
        <f aca="false">C18-B18</f>
        <v>0</v>
      </c>
      <c r="E18" s="4"/>
    </row>
    <row r="19" customFormat="false" ht="26.85" hidden="false" customHeight="false" outlineLevel="0" collapsed="false">
      <c r="A19" s="5" t="s">
        <v>21</v>
      </c>
      <c r="B19" s="6" t="n">
        <v>16551546</v>
      </c>
      <c r="C19" s="5"/>
      <c r="D19" s="7" t="n">
        <f aca="false">B18-B19</f>
        <v>1</v>
      </c>
      <c r="E19" s="5" t="s">
        <v>22</v>
      </c>
    </row>
    <row r="21" customFormat="false" ht="15" hidden="false" customHeight="false" outlineLevel="0" collapsed="false">
      <c r="A21" s="4" t="s">
        <v>23</v>
      </c>
      <c r="B21" s="4"/>
      <c r="C21" s="4"/>
      <c r="D21" s="4"/>
      <c r="E21" s="4"/>
    </row>
    <row r="22" customFormat="false" ht="15" hidden="false" customHeight="false" outlineLevel="0" collapsed="false">
      <c r="A22" s="5" t="s">
        <v>10</v>
      </c>
      <c r="B22" s="6" t="n">
        <v>186371</v>
      </c>
      <c r="C22" s="6" t="n">
        <v>186371</v>
      </c>
      <c r="D22" s="7" t="n">
        <f aca="false">C22-B22</f>
        <v>0</v>
      </c>
      <c r="E22" s="5"/>
    </row>
    <row r="23" customFormat="false" ht="15" hidden="false" customHeight="false" outlineLevel="0" collapsed="false">
      <c r="A23" s="5" t="s">
        <v>24</v>
      </c>
      <c r="B23" s="6" t="n">
        <v>749936</v>
      </c>
      <c r="C23" s="6" t="n">
        <v>749936</v>
      </c>
      <c r="D23" s="7" t="n">
        <f aca="false">C23-B23</f>
        <v>0</v>
      </c>
      <c r="E23" s="5"/>
    </row>
    <row r="24" customFormat="false" ht="15" hidden="false" customHeight="false" outlineLevel="0" collapsed="false">
      <c r="A24" s="5" t="s">
        <v>13</v>
      </c>
      <c r="B24" s="6" t="n">
        <v>503271</v>
      </c>
      <c r="C24" s="6" t="n">
        <v>503271</v>
      </c>
      <c r="D24" s="7" t="n">
        <f aca="false">C24-B24</f>
        <v>0</v>
      </c>
      <c r="E24" s="5"/>
    </row>
    <row r="25" customFormat="false" ht="15" hidden="false" customHeight="false" outlineLevel="0" collapsed="false">
      <c r="A25" s="5" t="s">
        <v>14</v>
      </c>
      <c r="B25" s="6" t="n">
        <v>479460</v>
      </c>
      <c r="C25" s="6" t="n">
        <v>479460</v>
      </c>
      <c r="D25" s="7" t="n">
        <f aca="false">C25-B25</f>
        <v>0</v>
      </c>
      <c r="E25" s="5"/>
    </row>
    <row r="26" customFormat="false" ht="15" hidden="false" customHeight="false" outlineLevel="0" collapsed="false">
      <c r="A26" s="5" t="s">
        <v>15</v>
      </c>
      <c r="B26" s="6" t="n">
        <v>3652513</v>
      </c>
      <c r="C26" s="6" t="n">
        <v>3652513</v>
      </c>
      <c r="D26" s="7" t="n">
        <f aca="false">C26-B26</f>
        <v>0</v>
      </c>
      <c r="E26" s="5"/>
    </row>
    <row r="27" customFormat="false" ht="15" hidden="false" customHeight="false" outlineLevel="0" collapsed="false">
      <c r="A27" s="5" t="s">
        <v>17</v>
      </c>
      <c r="B27" s="6" t="n">
        <v>337522</v>
      </c>
      <c r="C27" s="6" t="n">
        <v>337522</v>
      </c>
      <c r="D27" s="7" t="n">
        <f aca="false">C27-B27</f>
        <v>0</v>
      </c>
      <c r="E27" s="5"/>
    </row>
    <row r="28" customFormat="false" ht="15" hidden="false" customHeight="false" outlineLevel="0" collapsed="false">
      <c r="A28" s="5" t="s">
        <v>16</v>
      </c>
      <c r="B28" s="6" t="n">
        <v>193542</v>
      </c>
      <c r="C28" s="6" t="n">
        <v>193542</v>
      </c>
      <c r="D28" s="7" t="n">
        <f aca="false">C28-B28</f>
        <v>0</v>
      </c>
      <c r="E28" s="5"/>
    </row>
    <row r="29" customFormat="false" ht="15" hidden="false" customHeight="false" outlineLevel="0" collapsed="false">
      <c r="A29" s="5" t="s">
        <v>25</v>
      </c>
      <c r="B29" s="6" t="n">
        <v>266798</v>
      </c>
      <c r="C29" s="6" t="n">
        <v>266798</v>
      </c>
      <c r="D29" s="7" t="n">
        <f aca="false">C29-B29</f>
        <v>0</v>
      </c>
      <c r="E29" s="5"/>
    </row>
    <row r="30" customFormat="false" ht="15" hidden="false" customHeight="false" outlineLevel="0" collapsed="false">
      <c r="A30" s="5" t="s">
        <v>26</v>
      </c>
      <c r="B30" s="6" t="n">
        <v>25209768</v>
      </c>
      <c r="C30" s="6" t="n">
        <v>25209768</v>
      </c>
      <c r="D30" s="7" t="n">
        <f aca="false">C30-B30</f>
        <v>0</v>
      </c>
      <c r="E30" s="5"/>
    </row>
    <row r="31" customFormat="false" ht="15" hidden="false" customHeight="false" outlineLevel="0" collapsed="false">
      <c r="A31" s="5" t="s">
        <v>27</v>
      </c>
      <c r="B31" s="6" t="n">
        <v>144961</v>
      </c>
      <c r="C31" s="6" t="n">
        <v>144961</v>
      </c>
      <c r="D31" s="7" t="n">
        <f aca="false">C31-B31</f>
        <v>0</v>
      </c>
      <c r="E31" s="5"/>
    </row>
    <row r="32" customFormat="false" ht="15" hidden="false" customHeight="false" outlineLevel="0" collapsed="false">
      <c r="A32" s="5" t="s">
        <v>19</v>
      </c>
      <c r="B32" s="6" t="n">
        <v>331087</v>
      </c>
      <c r="C32" s="6" t="n">
        <v>331087</v>
      </c>
      <c r="D32" s="7" t="n">
        <f aca="false">C32-B32</f>
        <v>0</v>
      </c>
      <c r="E32" s="5"/>
    </row>
    <row r="33" customFormat="false" ht="15" hidden="false" customHeight="false" outlineLevel="0" collapsed="false">
      <c r="A33" s="5" t="s">
        <v>28</v>
      </c>
      <c r="B33" s="6" t="n">
        <v>581364</v>
      </c>
      <c r="C33" s="6" t="n">
        <v>581364</v>
      </c>
      <c r="D33" s="7" t="n">
        <f aca="false">C33-B33</f>
        <v>0</v>
      </c>
      <c r="E33" s="5"/>
    </row>
    <row r="34" customFormat="false" ht="15" hidden="false" customHeight="false" outlineLevel="0" collapsed="false">
      <c r="A34" s="5" t="s">
        <v>29</v>
      </c>
      <c r="B34" s="6" t="n">
        <v>9752282</v>
      </c>
      <c r="C34" s="6" t="n">
        <v>9752282</v>
      </c>
      <c r="D34" s="7" t="n">
        <f aca="false">C34-B34</f>
        <v>0</v>
      </c>
      <c r="E34" s="5"/>
    </row>
    <row r="35" customFormat="false" ht="15" hidden="false" customHeight="false" outlineLevel="0" collapsed="false">
      <c r="A35" s="5" t="s">
        <v>30</v>
      </c>
      <c r="B35" s="6" t="n">
        <v>7824433</v>
      </c>
      <c r="C35" s="6" t="n">
        <v>7824433</v>
      </c>
      <c r="D35" s="7" t="n">
        <f aca="false">C35-B35</f>
        <v>0</v>
      </c>
      <c r="E35" s="5"/>
    </row>
    <row r="36" customFormat="false" ht="15" hidden="false" customHeight="false" outlineLevel="0" collapsed="false">
      <c r="A36" s="5" t="s">
        <v>18</v>
      </c>
      <c r="B36" s="6" t="n">
        <v>10364338</v>
      </c>
      <c r="C36" s="6" t="n">
        <v>10364338</v>
      </c>
      <c r="D36" s="7" t="n">
        <f aca="false">C36-B36</f>
        <v>0</v>
      </c>
      <c r="E36" s="5"/>
    </row>
    <row r="37" customFormat="false" ht="15" hidden="false" customHeight="false" outlineLevel="0" collapsed="false">
      <c r="A37" s="4" t="s">
        <v>31</v>
      </c>
      <c r="B37" s="8" t="n">
        <f aca="false">SUM(B22:B36)</f>
        <v>60577646</v>
      </c>
      <c r="C37" s="8" t="n">
        <f aca="false">SUM(C22:C36)</f>
        <v>60577646</v>
      </c>
      <c r="D37" s="8" t="n">
        <f aca="false">C37-B37</f>
        <v>0</v>
      </c>
      <c r="E37" s="4"/>
    </row>
    <row r="38" customFormat="false" ht="26.85" hidden="false" customHeight="false" outlineLevel="0" collapsed="false">
      <c r="A38" s="5" t="s">
        <v>32</v>
      </c>
      <c r="B38" s="6" t="n">
        <v>60577648</v>
      </c>
      <c r="C38" s="5"/>
      <c r="D38" s="7" t="n">
        <f aca="false">B37-B38</f>
        <v>-2</v>
      </c>
      <c r="E38" s="5" t="s">
        <v>22</v>
      </c>
    </row>
    <row r="40" customFormat="false" ht="15" hidden="false" customHeight="false" outlineLevel="0" collapsed="false">
      <c r="A40" s="4" t="s">
        <v>33</v>
      </c>
      <c r="B40" s="4"/>
      <c r="C40" s="4"/>
      <c r="D40" s="4"/>
      <c r="E40" s="4"/>
    </row>
    <row r="41" customFormat="false" ht="15" hidden="false" customHeight="false" outlineLevel="0" collapsed="false">
      <c r="A41" s="5" t="s">
        <v>34</v>
      </c>
      <c r="B41" s="6" t="n">
        <v>3890827</v>
      </c>
      <c r="C41" s="6" t="n">
        <v>3890827</v>
      </c>
      <c r="D41" s="7" t="n">
        <f aca="false">C41-B41</f>
        <v>0</v>
      </c>
      <c r="E41" s="5"/>
    </row>
    <row r="42" customFormat="false" ht="15" hidden="false" customHeight="false" outlineLevel="0" collapsed="false">
      <c r="A42" s="5" t="s">
        <v>35</v>
      </c>
      <c r="B42" s="6" t="n">
        <v>4587739</v>
      </c>
      <c r="C42" s="6" t="n">
        <v>4587739</v>
      </c>
      <c r="D42" s="7" t="n">
        <f aca="false">C42-B42</f>
        <v>0</v>
      </c>
      <c r="E42" s="5"/>
    </row>
    <row r="43" customFormat="false" ht="15" hidden="false" customHeight="false" outlineLevel="0" collapsed="false">
      <c r="A43" s="5" t="s">
        <v>36</v>
      </c>
      <c r="B43" s="6" t="n">
        <v>815233</v>
      </c>
      <c r="C43" s="6" t="n">
        <v>815233</v>
      </c>
      <c r="D43" s="7" t="n">
        <f aca="false">C43-B43</f>
        <v>0</v>
      </c>
      <c r="E43" s="5"/>
    </row>
    <row r="44" customFormat="false" ht="15" hidden="false" customHeight="false" outlineLevel="0" collapsed="false">
      <c r="A44" s="5" t="s">
        <v>37</v>
      </c>
      <c r="B44" s="6" t="n">
        <v>336398</v>
      </c>
      <c r="C44" s="6" t="n">
        <v>336398</v>
      </c>
      <c r="D44" s="7" t="n">
        <f aca="false">C44-B44</f>
        <v>0</v>
      </c>
      <c r="E44" s="5"/>
    </row>
    <row r="45" customFormat="false" ht="15" hidden="false" customHeight="false" outlineLevel="0" collapsed="false">
      <c r="A45" s="5" t="s">
        <v>38</v>
      </c>
      <c r="B45" s="6" t="n">
        <v>440904</v>
      </c>
      <c r="C45" s="6" t="n">
        <v>440904</v>
      </c>
      <c r="D45" s="7" t="n">
        <f aca="false">C45-B45</f>
        <v>0</v>
      </c>
      <c r="E45" s="5"/>
    </row>
    <row r="46" customFormat="false" ht="15" hidden="false" customHeight="false" outlineLevel="0" collapsed="false">
      <c r="A46" s="5" t="s">
        <v>39</v>
      </c>
      <c r="B46" s="6" t="n">
        <v>784498</v>
      </c>
      <c r="C46" s="6" t="n">
        <v>784498</v>
      </c>
      <c r="D46" s="7" t="n">
        <f aca="false">C46-B46</f>
        <v>0</v>
      </c>
      <c r="E46" s="5"/>
    </row>
    <row r="47" customFormat="false" ht="39.55" hidden="false" customHeight="false" outlineLevel="0" collapsed="false">
      <c r="A47" s="5" t="s">
        <v>40</v>
      </c>
      <c r="B47" s="6" t="n">
        <v>0</v>
      </c>
      <c r="C47" s="6" t="n">
        <v>0</v>
      </c>
      <c r="D47" s="7" t="n">
        <f aca="false">C47-B47</f>
        <v>0</v>
      </c>
      <c r="E47" s="5" t="s">
        <v>41</v>
      </c>
    </row>
    <row r="48" customFormat="false" ht="15" hidden="false" customHeight="false" outlineLevel="0" collapsed="false">
      <c r="A48" s="5" t="s">
        <v>42</v>
      </c>
      <c r="B48" s="6" t="n">
        <v>1510207</v>
      </c>
      <c r="C48" s="6" t="n">
        <v>1510207</v>
      </c>
      <c r="D48" s="7" t="n">
        <f aca="false">C48-B48</f>
        <v>0</v>
      </c>
      <c r="E48" s="5"/>
    </row>
    <row r="49" customFormat="false" ht="15" hidden="false" customHeight="false" outlineLevel="0" collapsed="false">
      <c r="A49" s="5" t="s">
        <v>16</v>
      </c>
      <c r="B49" s="6" t="n">
        <v>8178</v>
      </c>
      <c r="C49" s="6" t="n">
        <v>8178</v>
      </c>
      <c r="D49" s="7" t="n">
        <f aca="false">C49-B49</f>
        <v>0</v>
      </c>
      <c r="E49" s="5"/>
    </row>
    <row r="50" customFormat="false" ht="15" hidden="false" customHeight="false" outlineLevel="0" collapsed="false">
      <c r="A50" s="5" t="s">
        <v>43</v>
      </c>
      <c r="B50" s="6" t="n">
        <v>927285</v>
      </c>
      <c r="C50" s="6" t="n">
        <v>927285</v>
      </c>
      <c r="D50" s="7" t="n">
        <f aca="false">C50-B50</f>
        <v>0</v>
      </c>
      <c r="E50" s="5"/>
    </row>
    <row r="51" customFormat="false" ht="15" hidden="false" customHeight="false" outlineLevel="0" collapsed="false">
      <c r="A51" s="5" t="s">
        <v>44</v>
      </c>
      <c r="B51" s="6" t="n">
        <v>12699</v>
      </c>
      <c r="C51" s="6" t="n">
        <v>12699</v>
      </c>
      <c r="D51" s="7" t="n">
        <f aca="false">C51-B51</f>
        <v>0</v>
      </c>
      <c r="E51" s="5"/>
    </row>
    <row r="52" customFormat="false" ht="15" hidden="false" customHeight="false" outlineLevel="0" collapsed="false">
      <c r="A52" s="5" t="s">
        <v>45</v>
      </c>
      <c r="B52" s="6" t="n">
        <v>1072326</v>
      </c>
      <c r="C52" s="6" t="n">
        <v>1072326</v>
      </c>
      <c r="D52" s="7" t="n">
        <f aca="false">C52-B52</f>
        <v>0</v>
      </c>
      <c r="E52" s="5"/>
    </row>
    <row r="53" customFormat="false" ht="15" hidden="false" customHeight="false" outlineLevel="0" collapsed="false">
      <c r="A53" s="5" t="s">
        <v>46</v>
      </c>
      <c r="B53" s="6" t="n">
        <v>2984242</v>
      </c>
      <c r="C53" s="6" t="n">
        <v>2984242</v>
      </c>
      <c r="D53" s="7" t="n">
        <f aca="false">C53-B53</f>
        <v>0</v>
      </c>
      <c r="E53" s="5"/>
    </row>
    <row r="54" customFormat="false" ht="15" hidden="false" customHeight="false" outlineLevel="0" collapsed="false">
      <c r="A54" s="4" t="s">
        <v>47</v>
      </c>
      <c r="B54" s="8" t="n">
        <f aca="false">SUM(B41:B53)</f>
        <v>17370536</v>
      </c>
      <c r="C54" s="8" t="n">
        <f aca="false">SUM(C41:C53)</f>
        <v>17370536</v>
      </c>
      <c r="D54" s="8" t="n">
        <f aca="false">C54-B54</f>
        <v>0</v>
      </c>
      <c r="E54" s="4"/>
    </row>
    <row r="55" customFormat="false" ht="26.85" hidden="false" customHeight="false" outlineLevel="0" collapsed="false">
      <c r="A55" s="5" t="s">
        <v>48</v>
      </c>
      <c r="B55" s="6" t="n">
        <v>17370535</v>
      </c>
      <c r="C55" s="5"/>
      <c r="D55" s="7" t="n">
        <f aca="false">B54-B55</f>
        <v>1</v>
      </c>
      <c r="E55" s="5" t="s">
        <v>22</v>
      </c>
    </row>
    <row r="57" customFormat="false" ht="15" hidden="false" customHeight="false" outlineLevel="0" collapsed="false">
      <c r="A57" s="4" t="s">
        <v>49</v>
      </c>
      <c r="B57" s="4"/>
      <c r="C57" s="4"/>
      <c r="D57" s="4"/>
      <c r="E57" s="4"/>
    </row>
    <row r="58" customFormat="false" ht="15" hidden="false" customHeight="false" outlineLevel="0" collapsed="false">
      <c r="A58" s="5" t="s">
        <v>34</v>
      </c>
      <c r="B58" s="6" t="n">
        <v>254364</v>
      </c>
      <c r="C58" s="6" t="n">
        <v>254364</v>
      </c>
      <c r="D58" s="7" t="n">
        <f aca="false">C58-B58</f>
        <v>0</v>
      </c>
      <c r="E58" s="5"/>
    </row>
    <row r="59" customFormat="false" ht="15" hidden="false" customHeight="false" outlineLevel="0" collapsed="false">
      <c r="A59" s="5" t="s">
        <v>35</v>
      </c>
      <c r="B59" s="6" t="n">
        <v>7690254</v>
      </c>
      <c r="C59" s="6" t="n">
        <v>7690254</v>
      </c>
      <c r="D59" s="7" t="n">
        <f aca="false">C59-B59</f>
        <v>0</v>
      </c>
      <c r="E59" s="5"/>
    </row>
    <row r="60" customFormat="false" ht="15" hidden="false" customHeight="false" outlineLevel="0" collapsed="false">
      <c r="A60" s="5" t="s">
        <v>36</v>
      </c>
      <c r="B60" s="6" t="n">
        <v>15695112</v>
      </c>
      <c r="C60" s="6" t="n">
        <v>15695112</v>
      </c>
      <c r="D60" s="7" t="n">
        <f aca="false">C60-B60</f>
        <v>0</v>
      </c>
      <c r="E60" s="5"/>
    </row>
    <row r="61" customFormat="false" ht="15" hidden="false" customHeight="false" outlineLevel="0" collapsed="false">
      <c r="A61" s="5" t="s">
        <v>37</v>
      </c>
      <c r="B61" s="6" t="n">
        <v>451514</v>
      </c>
      <c r="C61" s="6" t="n">
        <v>451514</v>
      </c>
      <c r="D61" s="7" t="n">
        <f aca="false">C61-B61</f>
        <v>0</v>
      </c>
      <c r="E61" s="5"/>
    </row>
    <row r="62" customFormat="false" ht="15" hidden="false" customHeight="false" outlineLevel="0" collapsed="false">
      <c r="A62" s="5" t="s">
        <v>38</v>
      </c>
      <c r="B62" s="6" t="n">
        <v>245142</v>
      </c>
      <c r="C62" s="6" t="n">
        <v>245142</v>
      </c>
      <c r="D62" s="7" t="n">
        <f aca="false">C62-B62</f>
        <v>0</v>
      </c>
      <c r="E62" s="5"/>
    </row>
    <row r="63" customFormat="false" ht="15" hidden="false" customHeight="false" outlineLevel="0" collapsed="false">
      <c r="A63" s="5" t="s">
        <v>39</v>
      </c>
      <c r="B63" s="6" t="n">
        <v>997778</v>
      </c>
      <c r="C63" s="6" t="n">
        <v>997778</v>
      </c>
      <c r="D63" s="7" t="n">
        <f aca="false">C63-B63</f>
        <v>0</v>
      </c>
      <c r="E63" s="5"/>
    </row>
    <row r="64" customFormat="false" ht="15" hidden="false" customHeight="false" outlineLevel="0" collapsed="false">
      <c r="A64" s="5" t="s">
        <v>50</v>
      </c>
      <c r="B64" s="6" t="n">
        <v>2665302</v>
      </c>
      <c r="C64" s="6" t="n">
        <v>2665302</v>
      </c>
      <c r="D64" s="7" t="n">
        <f aca="false">C64-B64</f>
        <v>0</v>
      </c>
      <c r="E64" s="5"/>
    </row>
    <row r="65" customFormat="false" ht="15" hidden="false" customHeight="false" outlineLevel="0" collapsed="false">
      <c r="A65" s="5" t="s">
        <v>51</v>
      </c>
      <c r="B65" s="6" t="n">
        <v>1561980</v>
      </c>
      <c r="C65" s="6" t="n">
        <v>1561980</v>
      </c>
      <c r="D65" s="7" t="n">
        <f aca="false">C65-B65</f>
        <v>0</v>
      </c>
      <c r="E65" s="5"/>
    </row>
    <row r="66" customFormat="false" ht="39.55" hidden="false" customHeight="false" outlineLevel="0" collapsed="false">
      <c r="A66" s="5" t="s">
        <v>40</v>
      </c>
      <c r="B66" s="6" t="n">
        <v>2485694</v>
      </c>
      <c r="C66" s="6" t="n">
        <v>2485694</v>
      </c>
      <c r="D66" s="7" t="n">
        <f aca="false">C66-B66</f>
        <v>0</v>
      </c>
      <c r="E66" s="5" t="s">
        <v>41</v>
      </c>
    </row>
    <row r="67" customFormat="false" ht="15" hidden="false" customHeight="false" outlineLevel="0" collapsed="false">
      <c r="A67" s="5" t="s">
        <v>16</v>
      </c>
      <c r="B67" s="6" t="n">
        <v>272377</v>
      </c>
      <c r="C67" s="6" t="n">
        <v>272377</v>
      </c>
      <c r="D67" s="7" t="n">
        <f aca="false">C67-B67</f>
        <v>0</v>
      </c>
      <c r="E67" s="5"/>
    </row>
    <row r="68" customFormat="false" ht="15" hidden="false" customHeight="false" outlineLevel="0" collapsed="false">
      <c r="A68" s="5" t="s">
        <v>43</v>
      </c>
      <c r="B68" s="6" t="n">
        <v>798912</v>
      </c>
      <c r="C68" s="6" t="n">
        <v>798912</v>
      </c>
      <c r="D68" s="7" t="n">
        <f aca="false">C68-B68</f>
        <v>0</v>
      </c>
      <c r="E68" s="5"/>
    </row>
    <row r="69" customFormat="false" ht="15" hidden="false" customHeight="false" outlineLevel="0" collapsed="false">
      <c r="A69" s="5" t="s">
        <v>44</v>
      </c>
      <c r="B69" s="6" t="n">
        <v>151778</v>
      </c>
      <c r="C69" s="6" t="n">
        <v>151778</v>
      </c>
      <c r="D69" s="7" t="n">
        <f aca="false">C69-B69</f>
        <v>0</v>
      </c>
      <c r="E69" s="5"/>
    </row>
    <row r="70" customFormat="false" ht="15" hidden="false" customHeight="false" outlineLevel="0" collapsed="false">
      <c r="A70" s="5" t="s">
        <v>45</v>
      </c>
      <c r="B70" s="6" t="n">
        <v>3864430</v>
      </c>
      <c r="C70" s="6" t="n">
        <v>3864430</v>
      </c>
      <c r="D70" s="7" t="n">
        <f aca="false">C70-B70</f>
        <v>0</v>
      </c>
      <c r="E70" s="5"/>
    </row>
    <row r="71" customFormat="false" ht="15" hidden="false" customHeight="false" outlineLevel="0" collapsed="false">
      <c r="A71" s="5" t="s">
        <v>46</v>
      </c>
      <c r="B71" s="6" t="n">
        <v>828992</v>
      </c>
      <c r="C71" s="6" t="n">
        <v>828992</v>
      </c>
      <c r="D71" s="7" t="n">
        <f aca="false">C71-B71</f>
        <v>0</v>
      </c>
      <c r="E71" s="5"/>
    </row>
    <row r="72" customFormat="false" ht="15" hidden="false" customHeight="false" outlineLevel="0" collapsed="false">
      <c r="A72" s="4" t="s">
        <v>52</v>
      </c>
      <c r="B72" s="8" t="n">
        <f aca="false">SUM(B58:B71)</f>
        <v>37963629</v>
      </c>
      <c r="C72" s="8" t="n">
        <f aca="false">SUM(C58:C71)</f>
        <v>37963629</v>
      </c>
      <c r="D72" s="8" t="n">
        <f aca="false">C72-B72</f>
        <v>0</v>
      </c>
      <c r="E72" s="4"/>
    </row>
    <row r="73" customFormat="false" ht="26.85" hidden="false" customHeight="false" outlineLevel="0" collapsed="false">
      <c r="A73" s="5" t="s">
        <v>53</v>
      </c>
      <c r="B73" s="6" t="n">
        <v>37963630</v>
      </c>
      <c r="C73" s="5"/>
      <c r="D73" s="7" t="n">
        <f aca="false">B72-B73</f>
        <v>-1</v>
      </c>
      <c r="E73" s="5" t="s">
        <v>22</v>
      </c>
    </row>
    <row r="75" customFormat="false" ht="15" hidden="false" customHeight="false" outlineLevel="0" collapsed="false">
      <c r="A75" s="4" t="s">
        <v>54</v>
      </c>
      <c r="B75" s="4"/>
      <c r="C75" s="4"/>
      <c r="D75" s="4"/>
      <c r="E75" s="4"/>
    </row>
    <row r="76" customFormat="false" ht="15" hidden="false" customHeight="false" outlineLevel="0" collapsed="false">
      <c r="A76" s="5" t="s">
        <v>55</v>
      </c>
      <c r="B76" s="6" t="n">
        <v>9388071</v>
      </c>
      <c r="C76" s="6" t="n">
        <v>9388071</v>
      </c>
      <c r="D76" s="7" t="n">
        <f aca="false">C76-B76</f>
        <v>0</v>
      </c>
      <c r="E76" s="5"/>
    </row>
    <row r="77" customFormat="false" ht="15" hidden="false" customHeight="false" outlineLevel="0" collapsed="false">
      <c r="A77" s="5" t="s">
        <v>56</v>
      </c>
      <c r="B77" s="6" t="n">
        <v>-1394956</v>
      </c>
      <c r="C77" s="6" t="n">
        <v>-1394956</v>
      </c>
      <c r="D77" s="7" t="n">
        <f aca="false">C77-B77</f>
        <v>0</v>
      </c>
      <c r="E77" s="5"/>
    </row>
    <row r="78" customFormat="false" ht="15" hidden="false" customHeight="false" outlineLevel="0" collapsed="false">
      <c r="A78" s="5" t="s">
        <v>57</v>
      </c>
      <c r="B78" s="6" t="n">
        <v>1877614</v>
      </c>
      <c r="C78" s="6" t="n">
        <v>1877614</v>
      </c>
      <c r="D78" s="7" t="n">
        <f aca="false">C78-B78</f>
        <v>0</v>
      </c>
      <c r="E78" s="5"/>
    </row>
    <row r="79" customFormat="false" ht="15" hidden="false" customHeight="false" outlineLevel="0" collapsed="false">
      <c r="A79" s="5" t="s">
        <v>58</v>
      </c>
      <c r="B79" s="6" t="n">
        <v>7033014</v>
      </c>
      <c r="C79" s="6" t="n">
        <v>7033014</v>
      </c>
      <c r="D79" s="7" t="n">
        <f aca="false">C79-B79</f>
        <v>0</v>
      </c>
      <c r="E79" s="5"/>
    </row>
    <row r="80" customFormat="false" ht="15" hidden="false" customHeight="false" outlineLevel="0" collapsed="false">
      <c r="A80" s="5" t="s">
        <v>59</v>
      </c>
      <c r="B80" s="6" t="n">
        <v>3075193</v>
      </c>
      <c r="C80" s="6" t="n">
        <v>3075193</v>
      </c>
      <c r="D80" s="7" t="n">
        <f aca="false">C80-B80</f>
        <v>0</v>
      </c>
      <c r="E80" s="5"/>
    </row>
    <row r="81" customFormat="false" ht="15" hidden="false" customHeight="false" outlineLevel="0" collapsed="false">
      <c r="A81" s="5" t="s">
        <v>42</v>
      </c>
      <c r="B81" s="6" t="n">
        <v>1855190</v>
      </c>
      <c r="C81" s="6" t="n">
        <v>1855190</v>
      </c>
      <c r="D81" s="7" t="n">
        <f aca="false">C81-B81</f>
        <v>0</v>
      </c>
      <c r="E81" s="5"/>
    </row>
    <row r="82" customFormat="false" ht="15" hidden="false" customHeight="false" outlineLevel="0" collapsed="false">
      <c r="A82" s="5" t="s">
        <v>60</v>
      </c>
      <c r="B82" s="6" t="n">
        <v>-1102363</v>
      </c>
      <c r="C82" s="6" t="n">
        <v>-1102363</v>
      </c>
      <c r="D82" s="7" t="n">
        <f aca="false">C82-B82</f>
        <v>0</v>
      </c>
      <c r="E82" s="5"/>
    </row>
    <row r="83" customFormat="false" ht="15" hidden="false" customHeight="false" outlineLevel="0" collapsed="false">
      <c r="A83" s="4" t="s">
        <v>61</v>
      </c>
      <c r="B83" s="8" t="n">
        <f aca="false">SUM(B76:B82)</f>
        <v>20731763</v>
      </c>
      <c r="C83" s="8" t="n">
        <f aca="false">SUM(C76:C82)</f>
        <v>20731763</v>
      </c>
      <c r="D83" s="8" t="n">
        <f aca="false">C83-B83</f>
        <v>0</v>
      </c>
      <c r="E83" s="4"/>
    </row>
    <row r="84" customFormat="false" ht="26.85" hidden="false" customHeight="false" outlineLevel="0" collapsed="false">
      <c r="A84" s="5" t="s">
        <v>62</v>
      </c>
      <c r="B84" s="6" t="n">
        <v>20731762</v>
      </c>
      <c r="C84" s="5"/>
      <c r="D84" s="7" t="n">
        <f aca="false">B83-B84</f>
        <v>1</v>
      </c>
      <c r="E84" s="5" t="s">
        <v>22</v>
      </c>
    </row>
    <row r="86" customFormat="false" ht="15" hidden="false" customHeight="false" outlineLevel="0" collapsed="false">
      <c r="A86" s="5" t="s">
        <v>63</v>
      </c>
      <c r="B86" s="6" t="n">
        <v>1063267</v>
      </c>
      <c r="C86" s="6" t="n">
        <v>1063267</v>
      </c>
      <c r="D86" s="7" t="n">
        <f aca="false">C86-B86</f>
        <v>0</v>
      </c>
      <c r="E86" s="5" t="s">
        <v>64</v>
      </c>
    </row>
    <row r="87" customFormat="false" ht="15" hidden="false" customHeight="false" outlineLevel="0" collapsed="false">
      <c r="A87" s="5" t="s">
        <v>65</v>
      </c>
      <c r="B87" s="6" t="n">
        <v>77129194</v>
      </c>
      <c r="C87" s="6" t="n">
        <v>77129194</v>
      </c>
      <c r="D87" s="7" t="n">
        <f aca="false">C87-B87</f>
        <v>0</v>
      </c>
      <c r="E87" s="5"/>
    </row>
    <row r="88" customFormat="false" ht="15" hidden="false" customHeight="false" outlineLevel="0" collapsed="false">
      <c r="A88" s="5" t="s">
        <v>66</v>
      </c>
      <c r="B88" s="6" t="n">
        <v>77129194</v>
      </c>
      <c r="C88" s="6" t="n">
        <v>77129194</v>
      </c>
      <c r="D88" s="7" t="n">
        <f aca="false">C88-B88</f>
        <v>0</v>
      </c>
      <c r="E88" s="5"/>
    </row>
    <row r="90" customFormat="false" ht="26.85" hidden="false" customHeight="false" outlineLevel="0" collapsed="false">
      <c r="A90" s="3" t="s">
        <v>67</v>
      </c>
      <c r="B90" s="3" t="s">
        <v>68</v>
      </c>
      <c r="C90" s="3" t="s">
        <v>69</v>
      </c>
      <c r="D90" s="3" t="s">
        <v>5</v>
      </c>
      <c r="E90" s="3"/>
    </row>
    <row r="91" customFormat="false" ht="15" hidden="false" customHeight="false" outlineLevel="0" collapsed="false">
      <c r="A91" s="5" t="s">
        <v>70</v>
      </c>
      <c r="B91" s="6" t="n">
        <v>42628210</v>
      </c>
      <c r="C91" s="6" t="n">
        <v>42628210</v>
      </c>
      <c r="D91" s="7" t="n">
        <f aca="false">C91-B91</f>
        <v>0</v>
      </c>
      <c r="E91" s="5"/>
    </row>
    <row r="92" customFormat="false" ht="15" hidden="false" customHeight="false" outlineLevel="0" collapsed="false">
      <c r="A92" s="5" t="s">
        <v>71</v>
      </c>
      <c r="B92" s="6" t="n">
        <v>13568773</v>
      </c>
      <c r="C92" s="6" t="n">
        <v>13568773</v>
      </c>
      <c r="D92" s="7" t="n">
        <f aca="false">C92-B92</f>
        <v>0</v>
      </c>
      <c r="E92" s="5"/>
    </row>
    <row r="93" customFormat="false" ht="15" hidden="false" customHeight="false" outlineLevel="0" collapsed="false">
      <c r="A93" s="5" t="s">
        <v>72</v>
      </c>
      <c r="B93" s="6" t="n">
        <v>10493767</v>
      </c>
      <c r="C93" s="6" t="n">
        <v>10493767</v>
      </c>
      <c r="D93" s="7" t="n">
        <f aca="false">C93-B93</f>
        <v>0</v>
      </c>
      <c r="E93" s="5"/>
    </row>
    <row r="94" customFormat="false" ht="15" hidden="false" customHeight="false" outlineLevel="0" collapsed="false">
      <c r="A94" s="5" t="s">
        <v>73</v>
      </c>
      <c r="B94" s="6" t="n">
        <v>8088893</v>
      </c>
      <c r="C94" s="6" t="n">
        <v>8088893</v>
      </c>
      <c r="D94" s="7" t="n">
        <f aca="false">C94-B94</f>
        <v>0</v>
      </c>
      <c r="E94" s="5"/>
    </row>
    <row r="95" customFormat="false" ht="15" hidden="false" customHeight="false" outlineLevel="0" collapsed="false">
      <c r="A95" s="5" t="s">
        <v>74</v>
      </c>
      <c r="B95" s="6" t="n">
        <v>5761554</v>
      </c>
      <c r="C95" s="6" t="n">
        <v>5761554</v>
      </c>
      <c r="D95" s="7" t="n">
        <f aca="false">C95-B95</f>
        <v>0</v>
      </c>
      <c r="E95" s="5"/>
    </row>
    <row r="96" customFormat="false" ht="15" hidden="false" customHeight="false" outlineLevel="0" collapsed="false">
      <c r="A96" s="5" t="s">
        <v>75</v>
      </c>
      <c r="B96" s="6" t="n">
        <v>5457652</v>
      </c>
      <c r="C96" s="6" t="n">
        <v>5457652</v>
      </c>
      <c r="D96" s="7" t="n">
        <f aca="false">C96-B96</f>
        <v>0</v>
      </c>
      <c r="E96" s="5"/>
    </row>
    <row r="98" customFormat="false" ht="15" hidden="false" customHeight="false" outlineLevel="0" collapsed="false">
      <c r="A98" s="4" t="s">
        <v>76</v>
      </c>
      <c r="B98" s="4" t="n">
        <v>61</v>
      </c>
      <c r="C98" s="4"/>
      <c r="D98" s="4"/>
      <c r="E98" s="4"/>
    </row>
    <row r="99" customFormat="false" ht="26.85" hidden="false" customHeight="false" outlineLevel="0" collapsed="false">
      <c r="A99" s="4" t="s">
        <v>77</v>
      </c>
      <c r="B99" s="4" t="n">
        <f aca="false">(D6&lt;&gt;0)*1+(D7&lt;&gt;0)*1+(D8&lt;&gt;0)*1+(D9&lt;&gt;0)*1+(D10&lt;&gt;0)*1+(D11&lt;&gt;0)*1+(D12&lt;&gt;0)*1+(D13&lt;&gt;0)*1+(D14&lt;&gt;0)*1+(D15&lt;&gt;0)*1+(D16&lt;&gt;0)*1+(D17&lt;&gt;0)*1+(D22&lt;&gt;0)*1+(D23&lt;&gt;0)*1+(D24&lt;&gt;0)*1+(D25&lt;&gt;0)*1+(D26&lt;&gt;0)*1+(D27&lt;&gt;0)*1+(D28&lt;&gt;0)*1+(D29&lt;&gt;0)*1+(D30&lt;&gt;0)*1+(D31&lt;&gt;0)*1+(D32&lt;&gt;0)*1+(D33&lt;&gt;0)*1+(D34&lt;&gt;0)*1+(D35&lt;&gt;0)*1+(D36&lt;&gt;0)*1+(D41&lt;&gt;0)*1+(D42&lt;&gt;0)*1+(D43&lt;&gt;0)*1+(D44&lt;&gt;0)*1+(D45&lt;&gt;0)*1+(D46&lt;&gt;0)*1+(D47&lt;&gt;0)*1+(D48&lt;&gt;0)*1+(D49&lt;&gt;0)*1+(D50&lt;&gt;0)*1+(D51&lt;&gt;0)*1+(D52&lt;&gt;0)*1+(D53&lt;&gt;0)*1+(D58&lt;&gt;0)*1+(D59&lt;&gt;0)*1+(D60&lt;&gt;0)*1+(D61&lt;&gt;0)*1+(D62&lt;&gt;0)*1+(D63&lt;&gt;0)*1+(D64&lt;&gt;0)*1+(D65&lt;&gt;0)*1+(D66&lt;&gt;0)*1+(D67&lt;&gt;0)*1+(D68&lt;&gt;0)*1+(D69&lt;&gt;0)*1+(D70&lt;&gt;0)*1+(D71&lt;&gt;0)*1+(D76&lt;&gt;0)*1+(D77&lt;&gt;0)*1+(D78&lt;&gt;0)*1+(D79&lt;&gt;0)*1+(D80&lt;&gt;0)*1+(D81&lt;&gt;0)*1+(D82&lt;&gt;0)*1</f>
        <v>0</v>
      </c>
      <c r="C99" s="4"/>
      <c r="D99" s="4"/>
      <c r="E99" s="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</row>
    <row r="5" customFormat="false" ht="15" hidden="false" customHeight="false" outlineLevel="0" collapsed="false">
      <c r="A5" s="5" t="s">
        <v>70</v>
      </c>
      <c r="B5" s="6" t="n">
        <v>44367780</v>
      </c>
      <c r="C5" s="6" t="n">
        <v>42628210</v>
      </c>
      <c r="D5" s="7" t="n">
        <f aca="false">B5-C5</f>
        <v>1739570</v>
      </c>
      <c r="E5" s="9" t="n">
        <f aca="false">IF(C5=0,"",D5/ABS(C5))</f>
        <v>0.0408079532309708</v>
      </c>
      <c r="F5" s="5" t="s">
        <v>87</v>
      </c>
    </row>
    <row r="6" customFormat="false" ht="15" hidden="false" customHeight="false" outlineLevel="0" collapsed="false">
      <c r="A6" s="5" t="s">
        <v>88</v>
      </c>
      <c r="B6" s="6" t="n">
        <v>-20376889</v>
      </c>
      <c r="C6" s="6" t="n">
        <v>-19519468</v>
      </c>
      <c r="D6" s="7" t="n">
        <f aca="false">B6-C6</f>
        <v>-857421</v>
      </c>
      <c r="E6" s="9" t="n">
        <f aca="false">IF(C6=0,"",D6/ABS(C6))</f>
        <v>-0.0439264533234205</v>
      </c>
      <c r="F6" s="5" t="s">
        <v>89</v>
      </c>
    </row>
    <row r="7" customFormat="false" ht="15" hidden="false" customHeight="false" outlineLevel="0" collapsed="false">
      <c r="A7" s="5" t="s">
        <v>71</v>
      </c>
      <c r="B7" s="6" t="n">
        <v>14124196</v>
      </c>
      <c r="C7" s="6" t="n">
        <v>13568773</v>
      </c>
      <c r="D7" s="7" t="n">
        <f aca="false">B7-C7</f>
        <v>555423</v>
      </c>
      <c r="E7" s="9" t="n">
        <f aca="false">IF(C7=0,"",D7/ABS(C7))</f>
        <v>0.0409339149531059</v>
      </c>
      <c r="F7" s="5" t="s">
        <v>89</v>
      </c>
    </row>
    <row r="8" customFormat="false" ht="15" hidden="false" customHeight="false" outlineLevel="0" collapsed="false">
      <c r="A8" s="5" t="s">
        <v>72</v>
      </c>
      <c r="B8" s="6" t="n">
        <v>10778490</v>
      </c>
      <c r="C8" s="6" t="n">
        <v>10493767</v>
      </c>
      <c r="D8" s="7" t="n">
        <f aca="false">B8-C8</f>
        <v>284723</v>
      </c>
      <c r="E8" s="9" t="n">
        <f aca="false">IF(C8=0,"",D8/ABS(C8))</f>
        <v>0.0271325826083236</v>
      </c>
      <c r="F8" s="5" t="s">
        <v>89</v>
      </c>
    </row>
    <row r="9" customFormat="false" ht="15" hidden="false" customHeight="false" outlineLevel="0" collapsed="false">
      <c r="A9" s="5" t="s">
        <v>90</v>
      </c>
      <c r="B9" s="6" t="n">
        <v>-4942969</v>
      </c>
      <c r="C9" s="6" t="n">
        <v>-4343203</v>
      </c>
      <c r="D9" s="7" t="n">
        <f aca="false">B9-C9</f>
        <v>-599766</v>
      </c>
      <c r="E9" s="9" t="n">
        <f aca="false">IF(C9=0,"",D9/ABS(C9))</f>
        <v>-0.138093015684508</v>
      </c>
      <c r="F9" s="5" t="s">
        <v>91</v>
      </c>
    </row>
    <row r="10" customFormat="false" ht="15" hidden="false" customHeight="false" outlineLevel="0" collapsed="false">
      <c r="A10" s="5" t="s">
        <v>73</v>
      </c>
      <c r="B10" s="6" t="n">
        <v>8091246</v>
      </c>
      <c r="C10" s="6" t="n">
        <v>8088893</v>
      </c>
      <c r="D10" s="7" t="n">
        <f aca="false">B10-C10</f>
        <v>2353</v>
      </c>
      <c r="E10" s="9" t="n">
        <f aca="false">IF(C10=0,"",D10/ABS(C10))</f>
        <v>0.000290892709299035</v>
      </c>
      <c r="F10" s="5" t="s">
        <v>89</v>
      </c>
    </row>
    <row r="11" customFormat="false" ht="15" hidden="false" customHeight="false" outlineLevel="0" collapsed="false">
      <c r="A11" s="5" t="s">
        <v>92</v>
      </c>
      <c r="B11" s="6" t="n">
        <v>5742552</v>
      </c>
      <c r="C11" s="6" t="n">
        <v>5761554</v>
      </c>
      <c r="D11" s="7" t="n">
        <f aca="false">B11-C11</f>
        <v>-19002</v>
      </c>
      <c r="E11" s="9" t="n">
        <f aca="false">IF(C11=0,"",D11/ABS(C11))</f>
        <v>-0.00329806854192463</v>
      </c>
      <c r="F11" s="5" t="s">
        <v>89</v>
      </c>
    </row>
    <row r="12" customFormat="false" ht="15" hidden="false" customHeight="false" outlineLevel="0" collapsed="false">
      <c r="A12" s="5" t="s">
        <v>7</v>
      </c>
      <c r="B12" s="6" t="n">
        <v>16616314</v>
      </c>
      <c r="C12" s="6" t="n">
        <v>16551546</v>
      </c>
      <c r="D12" s="7" t="n">
        <f aca="false">B12-C12</f>
        <v>64768</v>
      </c>
      <c r="E12" s="9" t="n">
        <f aca="false">IF(C12=0,"",D12/ABS(C12))</f>
        <v>0.00391310878149993</v>
      </c>
      <c r="F12" s="5" t="s">
        <v>93</v>
      </c>
    </row>
    <row r="13" customFormat="false" ht="15" hidden="false" customHeight="false" outlineLevel="0" collapsed="false">
      <c r="A13" s="5" t="s">
        <v>33</v>
      </c>
      <c r="B13" s="6" t="n">
        <v>17875963</v>
      </c>
      <c r="C13" s="6" t="n">
        <v>17370535</v>
      </c>
      <c r="D13" s="7" t="n">
        <f aca="false">B13-C13</f>
        <v>505428</v>
      </c>
      <c r="E13" s="9" t="n">
        <f aca="false">IF(C13=0,"",D13/ABS(C13))</f>
        <v>0.0290968585596241</v>
      </c>
      <c r="F13" s="5" t="s">
        <v>94</v>
      </c>
    </row>
    <row r="14" customFormat="false" ht="15" hidden="false" customHeight="false" outlineLevel="0" collapsed="false">
      <c r="A14" s="5" t="s">
        <v>95</v>
      </c>
      <c r="B14" s="6" t="n">
        <v>81099930</v>
      </c>
      <c r="C14" s="6" t="n">
        <v>77129194</v>
      </c>
      <c r="D14" s="7" t="n">
        <f aca="false">B14-C14</f>
        <v>3970736</v>
      </c>
      <c r="E14" s="9" t="n">
        <f aca="false">IF(C14=0,"",D14/ABS(C14))</f>
        <v>0.0514816218616261</v>
      </c>
      <c r="F14" s="5" t="s">
        <v>93</v>
      </c>
    </row>
    <row r="15" customFormat="false" ht="15" hidden="false" customHeight="false" outlineLevel="0" collapsed="false">
      <c r="A15" s="5" t="s">
        <v>26</v>
      </c>
      <c r="B15" s="6" t="n">
        <v>29623619</v>
      </c>
      <c r="C15" s="6" t="n">
        <v>25209768</v>
      </c>
      <c r="D15" s="7" t="n">
        <f aca="false">B15-C15</f>
        <v>4413851</v>
      </c>
      <c r="E15" s="9" t="n">
        <f aca="false">IF(C15=0,"",D15/ABS(C15))</f>
        <v>0.175084951198282</v>
      </c>
      <c r="F15" s="5" t="s">
        <v>96</v>
      </c>
    </row>
    <row r="16" customFormat="false" ht="26.85" hidden="false" customHeight="false" outlineLevel="0" collapsed="false">
      <c r="A16" s="5" t="s">
        <v>97</v>
      </c>
      <c r="B16" s="6" t="n">
        <f aca="false">3160115+6417553+1735590+17742469</f>
        <v>29055727</v>
      </c>
      <c r="C16" s="6" t="n">
        <f aca="false">4587739+7690254+815233+15695112</f>
        <v>28788338</v>
      </c>
      <c r="D16" s="7" t="n">
        <f aca="false">B16-C16</f>
        <v>267389</v>
      </c>
      <c r="E16" s="9" t="n">
        <f aca="false">IF(C16=0,"",D16/ABS(C16))</f>
        <v>0.00928810131380283</v>
      </c>
      <c r="F16" s="5" t="s">
        <v>94</v>
      </c>
    </row>
    <row r="17" customFormat="false" ht="15" hidden="false" customHeight="false" outlineLevel="0" collapsed="false">
      <c r="A17" s="5" t="s">
        <v>98</v>
      </c>
      <c r="B17" s="6" t="n">
        <f aca="false">19416+4393234</f>
        <v>4412650</v>
      </c>
      <c r="C17" s="6" t="n">
        <v>2485694</v>
      </c>
      <c r="D17" s="7" t="n">
        <f aca="false">B17-C17</f>
        <v>1926956</v>
      </c>
      <c r="E17" s="9" t="n">
        <f aca="false">IF(C17=0,"",D17/ABS(C17))</f>
        <v>0.775218510403936</v>
      </c>
      <c r="F17" s="5" t="s">
        <v>99</v>
      </c>
    </row>
    <row r="18" customFormat="false" ht="15" hidden="false" customHeight="false" outlineLevel="0" collapsed="false">
      <c r="A18" s="5" t="s">
        <v>100</v>
      </c>
      <c r="B18" s="6" t="n">
        <v>23504510</v>
      </c>
      <c r="C18" s="6" t="n">
        <v>21795029</v>
      </c>
      <c r="D18" s="7" t="n">
        <f aca="false">B18-C18</f>
        <v>1709481</v>
      </c>
      <c r="E18" s="9" t="n">
        <f aca="false">IF(C18=0,"",D18/ABS(C18))</f>
        <v>0.0784344448451984</v>
      </c>
      <c r="F18" s="5" t="s">
        <v>94</v>
      </c>
    </row>
    <row r="19" customFormat="false" ht="15" hidden="false" customHeight="false" outlineLevel="0" collapsed="false">
      <c r="A19" s="5" t="s">
        <v>101</v>
      </c>
      <c r="B19" s="6" t="n">
        <v>7162797</v>
      </c>
      <c r="C19" s="6" t="n">
        <v>6788942</v>
      </c>
      <c r="D19" s="7" t="n">
        <f aca="false">B19-C19</f>
        <v>373855</v>
      </c>
      <c r="E19" s="9" t="n">
        <f aca="false">IF(C19=0,"",D19/ABS(C19))</f>
        <v>0.0550682271258173</v>
      </c>
      <c r="F19" s="5" t="s">
        <v>102</v>
      </c>
    </row>
    <row r="21" customFormat="false" ht="26.85" hidden="false" customHeight="false" outlineLevel="0" collapsed="false">
      <c r="A21" s="3" t="s">
        <v>103</v>
      </c>
      <c r="B21" s="3" t="s">
        <v>82</v>
      </c>
      <c r="C21" s="3" t="s">
        <v>83</v>
      </c>
      <c r="D21" s="3" t="s">
        <v>104</v>
      </c>
      <c r="E21" s="3"/>
      <c r="F21" s="3" t="s">
        <v>105</v>
      </c>
    </row>
    <row r="22" customFormat="false" ht="15" hidden="false" customHeight="false" outlineLevel="0" collapsed="false">
      <c r="A22" s="5" t="s">
        <v>106</v>
      </c>
      <c r="B22" s="10" t="n">
        <f aca="false">B7/B5</f>
        <v>0.318343536683602</v>
      </c>
      <c r="C22" s="10" t="n">
        <f aca="false">C7/C5</f>
        <v>0.318305014449352</v>
      </c>
      <c r="D22" s="10" t="n">
        <f aca="false">IF(C22="","",B22-C22)</f>
        <v>3.85222342506597E-005</v>
      </c>
      <c r="E22" s="5"/>
      <c r="F22" s="5" t="s">
        <v>107</v>
      </c>
    </row>
    <row r="23" customFormat="false" ht="15" hidden="false" customHeight="false" outlineLevel="0" collapsed="false">
      <c r="A23" s="5" t="s">
        <v>108</v>
      </c>
      <c r="B23" s="10" t="n">
        <f aca="false">B10/B5</f>
        <v>0.182367610008885</v>
      </c>
      <c r="C23" s="10" t="n">
        <f aca="false">C10/C5</f>
        <v>0.189754460719791</v>
      </c>
      <c r="D23" s="10" t="n">
        <f aca="false">IF(C23="","",B23-C23)</f>
        <v>-0.00738685071090614</v>
      </c>
      <c r="E23" s="5"/>
      <c r="F23" s="5" t="s">
        <v>109</v>
      </c>
    </row>
    <row r="24" customFormat="false" ht="26.85" hidden="false" customHeight="false" outlineLevel="0" collapsed="false">
      <c r="A24" s="5" t="s">
        <v>110</v>
      </c>
      <c r="B24" s="11" t="n">
        <f aca="false">B12/B13</f>
        <v>0.929533922172473</v>
      </c>
      <c r="C24" s="11" t="n">
        <f aca="false">C12/C13</f>
        <v>0.95285182638301</v>
      </c>
      <c r="D24" s="11" t="n">
        <f aca="false">IF(C24="","",B24-C24)</f>
        <v>-0.0233179042105374</v>
      </c>
      <c r="E24" s="5"/>
      <c r="F24" s="5" t="s">
        <v>111</v>
      </c>
    </row>
    <row r="25" customFormat="false" ht="15" hidden="false" customHeight="false" outlineLevel="0" collapsed="false">
      <c r="A25" s="5" t="s">
        <v>112</v>
      </c>
      <c r="B25" s="11" t="n">
        <f aca="false">B16/B18</f>
        <v>1.2361766741787</v>
      </c>
      <c r="C25" s="11" t="n">
        <f aca="false">C16/C18</f>
        <v>1.32086715736877</v>
      </c>
      <c r="D25" s="11" t="n">
        <f aca="false">IF(C25="","",B25-C25)</f>
        <v>-0.0846904831900741</v>
      </c>
      <c r="E25" s="5"/>
      <c r="F25" s="5" t="s">
        <v>113</v>
      </c>
    </row>
    <row r="26" customFormat="false" ht="15" hidden="false" customHeight="false" outlineLevel="0" collapsed="false">
      <c r="A26" s="5" t="s">
        <v>114</v>
      </c>
      <c r="B26" s="10" t="n">
        <f aca="false">B15/B14</f>
        <v>0.365273052640119</v>
      </c>
      <c r="C26" s="10" t="n">
        <f aca="false">C15/C14</f>
        <v>0.326851179074943</v>
      </c>
      <c r="D26" s="10" t="n">
        <f aca="false">IF(C26="","",B26-C26)</f>
        <v>0.0384218735651767</v>
      </c>
      <c r="E26" s="5"/>
      <c r="F26" s="5" t="s">
        <v>115</v>
      </c>
    </row>
    <row r="27" customFormat="false" ht="26.85" hidden="false" customHeight="false" outlineLevel="0" collapsed="false">
      <c r="A27" s="5" t="s">
        <v>116</v>
      </c>
      <c r="B27" s="10" t="n">
        <f aca="false">-B9/((B16+B17+C16+C17)/2)</f>
        <v>0.152696480602073</v>
      </c>
      <c r="C27" s="10"/>
      <c r="D27" s="10" t="str">
        <f aca="false">IF(C27="","",B27-C27)</f>
        <v/>
      </c>
      <c r="E27" s="5"/>
      <c r="F27" s="5" t="s">
        <v>117</v>
      </c>
    </row>
    <row r="28" customFormat="false" ht="15" hidden="false" customHeight="false" outlineLevel="0" collapsed="false">
      <c r="A28" s="5" t="s">
        <v>118</v>
      </c>
      <c r="B28" s="11" t="n">
        <f aca="false">B19/B11</f>
        <v>1.24731948443828</v>
      </c>
      <c r="C28" s="11" t="n">
        <f aca="false">C19/C11</f>
        <v>1.17831786354862</v>
      </c>
      <c r="D28" s="11" t="n">
        <f aca="false">IF(C28="","",B28-C28)</f>
        <v>0.0690016208896587</v>
      </c>
      <c r="E28" s="5"/>
      <c r="F28" s="5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3" t="s">
        <v>122</v>
      </c>
      <c r="B4" s="3" t="s">
        <v>123</v>
      </c>
      <c r="C4" s="3"/>
      <c r="D4" s="3"/>
      <c r="E4" s="3"/>
      <c r="F4" s="3"/>
      <c r="G4" s="3" t="s">
        <v>124</v>
      </c>
    </row>
    <row r="5" customFormat="false" ht="26.85" hidden="false" customHeight="false" outlineLevel="0" collapsed="false">
      <c r="A5" s="5" t="s">
        <v>125</v>
      </c>
      <c r="B5" s="12" t="n">
        <v>0.0426</v>
      </c>
      <c r="C5" s="5"/>
      <c r="D5" s="5"/>
      <c r="E5" s="5"/>
      <c r="F5" s="5"/>
      <c r="G5" s="5" t="s">
        <v>126</v>
      </c>
    </row>
    <row r="6" customFormat="false" ht="15" hidden="false" customHeight="false" outlineLevel="0" collapsed="false">
      <c r="A6" s="5" t="s">
        <v>127</v>
      </c>
      <c r="B6" s="12" t="n">
        <v>0.0483</v>
      </c>
      <c r="C6" s="5"/>
      <c r="D6" s="5"/>
      <c r="E6" s="5"/>
      <c r="F6" s="5"/>
      <c r="G6" s="5" t="s">
        <v>128</v>
      </c>
    </row>
    <row r="7" customFormat="false" ht="15" hidden="false" customHeight="false" outlineLevel="0" collapsed="false">
      <c r="A7" s="5" t="s">
        <v>129</v>
      </c>
      <c r="B7" s="6" t="n">
        <v>303421.73</v>
      </c>
      <c r="C7" s="5"/>
      <c r="D7" s="5"/>
      <c r="E7" s="5"/>
      <c r="F7" s="5"/>
      <c r="G7" s="5" t="s">
        <v>130</v>
      </c>
    </row>
    <row r="8" customFormat="false" ht="39.55" hidden="false" customHeight="false" outlineLevel="0" collapsed="false">
      <c r="A8" s="5" t="s">
        <v>131</v>
      </c>
      <c r="B8" s="7" t="n">
        <f aca="false">0.3*B7</f>
        <v>91026.519</v>
      </c>
      <c r="C8" s="5"/>
      <c r="D8" s="5"/>
      <c r="E8" s="5"/>
      <c r="F8" s="5"/>
      <c r="G8" s="5" t="s">
        <v>132</v>
      </c>
    </row>
    <row r="10" customFormat="false" ht="39.55" hidden="false" customHeight="false" outlineLevel="0" collapsed="false">
      <c r="A10" s="3" t="s">
        <v>133</v>
      </c>
      <c r="B10" s="3" t="s">
        <v>134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</row>
    <row r="11" customFormat="false" ht="15" hidden="false" customHeight="false" outlineLevel="0" collapsed="false">
      <c r="A11" s="5" t="s">
        <v>140</v>
      </c>
      <c r="B11" s="6" t="n">
        <v>25209768</v>
      </c>
      <c r="C11" s="6" t="n">
        <v>3368915</v>
      </c>
      <c r="D11" s="6" t="n">
        <v>1285173</v>
      </c>
      <c r="E11" s="7" t="n">
        <f aca="false">B11*$B$5+C11*$B$5/2</f>
        <v>1145694.0063</v>
      </c>
      <c r="F11" s="7" t="n">
        <f aca="false">D11-E11</f>
        <v>139478.9937</v>
      </c>
      <c r="G11" s="5" t="s">
        <v>141</v>
      </c>
    </row>
    <row r="12" customFormat="false" ht="15" hidden="false" customHeight="false" outlineLevel="0" collapsed="false">
      <c r="A12" s="5" t="s">
        <v>142</v>
      </c>
      <c r="B12" s="6" t="n">
        <v>10688700</v>
      </c>
      <c r="C12" s="6" t="n">
        <v>1383147</v>
      </c>
      <c r="D12" s="6" t="n">
        <v>635251</v>
      </c>
      <c r="E12" s="7" t="n">
        <f aca="false">B12*$B$5+C12*$B$5/2</f>
        <v>484799.6511</v>
      </c>
      <c r="F12" s="7" t="n">
        <f aca="false">D12-E12</f>
        <v>150451.3489</v>
      </c>
      <c r="G12" s="5" t="s">
        <v>143</v>
      </c>
    </row>
    <row r="13" customFormat="false" ht="15" hidden="false" customHeight="false" outlineLevel="0" collapsed="false">
      <c r="A13" s="5" t="s">
        <v>144</v>
      </c>
      <c r="B13" s="6" t="n">
        <v>10927569</v>
      </c>
      <c r="C13" s="6" t="n">
        <v>1458964</v>
      </c>
      <c r="D13" s="6" t="n">
        <v>469006</v>
      </c>
      <c r="E13" s="7" t="n">
        <f aca="false">B13*$B$5+C13*$B$5/2</f>
        <v>496590.3726</v>
      </c>
      <c r="F13" s="7" t="n">
        <f aca="false">D13-E13</f>
        <v>-27584.3726</v>
      </c>
      <c r="G13" s="5" t="s">
        <v>145</v>
      </c>
    </row>
    <row r="14" customFormat="false" ht="15" hidden="false" customHeight="false" outlineLevel="0" collapsed="false">
      <c r="A14" s="5" t="s">
        <v>146</v>
      </c>
      <c r="B14" s="6" t="n">
        <v>3343565</v>
      </c>
      <c r="C14" s="6" t="n">
        <v>348021</v>
      </c>
      <c r="D14" s="6" t="n">
        <v>171723</v>
      </c>
      <c r="E14" s="7" t="n">
        <f aca="false">B14*$B$5+C14*$B$5/2</f>
        <v>149848.7163</v>
      </c>
      <c r="F14" s="7" t="n">
        <f aca="false">D14-E14</f>
        <v>21874.2837</v>
      </c>
      <c r="G14" s="5" t="s">
        <v>147</v>
      </c>
    </row>
    <row r="15" customFormat="false" ht="15" hidden="false" customHeight="false" outlineLevel="0" collapsed="false">
      <c r="A15" s="5" t="s">
        <v>148</v>
      </c>
      <c r="B15" s="6" t="n">
        <v>249934</v>
      </c>
      <c r="C15" s="6" t="n">
        <v>178783</v>
      </c>
      <c r="D15" s="6" t="n">
        <v>9193</v>
      </c>
      <c r="E15" s="7" t="n">
        <f aca="false">B15*$B$5+C15*$B$5/2</f>
        <v>14455.2663</v>
      </c>
      <c r="F15" s="7" t="n">
        <f aca="false">D15-E15</f>
        <v>-5262.2663</v>
      </c>
      <c r="G15" s="5" t="s">
        <v>149</v>
      </c>
    </row>
    <row r="16" customFormat="false" ht="15" hidden="false" customHeight="false" outlineLevel="0" collapsed="false">
      <c r="A16" s="5" t="s">
        <v>150</v>
      </c>
      <c r="B16" s="6" t="n">
        <v>21617521</v>
      </c>
      <c r="C16" s="6" t="n">
        <v>2690645</v>
      </c>
      <c r="D16" s="6" t="n">
        <v>1104267</v>
      </c>
      <c r="E16" s="7" t="n">
        <f aca="false">B16*$B$6+C16*$B$6/2</f>
        <v>1109105.34105</v>
      </c>
      <c r="F16" s="7" t="n">
        <f aca="false">D16-E16</f>
        <v>-4838.34104999993</v>
      </c>
      <c r="G16" s="5" t="s">
        <v>151</v>
      </c>
    </row>
    <row r="17" customFormat="false" ht="15" hidden="false" customHeight="false" outlineLevel="0" collapsed="false">
      <c r="A17" s="5" t="s">
        <v>152</v>
      </c>
      <c r="B17" s="6" t="n">
        <v>9148138</v>
      </c>
      <c r="C17" s="6" t="n">
        <v>1139005</v>
      </c>
      <c r="D17" s="6" t="n">
        <v>469588</v>
      </c>
      <c r="E17" s="7" t="n">
        <f aca="false">B17*$B$6+C17*$B$6/2</f>
        <v>469362.03615</v>
      </c>
      <c r="F17" s="7" t="n">
        <f aca="false">D17-E17</f>
        <v>225.96385</v>
      </c>
      <c r="G17" s="5" t="s">
        <v>143</v>
      </c>
    </row>
    <row r="18" customFormat="false" ht="15" hidden="false" customHeight="false" outlineLevel="0" collapsed="false">
      <c r="A18" s="5" t="s">
        <v>153</v>
      </c>
      <c r="B18" s="6" t="n">
        <v>9352489</v>
      </c>
      <c r="C18" s="6" t="n">
        <v>1207432</v>
      </c>
      <c r="D18" s="6" t="n">
        <v>476065</v>
      </c>
      <c r="E18" s="7" t="n">
        <f aca="false">B18*$B$6+C18*$B$6/2</f>
        <v>480884.7015</v>
      </c>
      <c r="F18" s="7" t="n">
        <f aca="false">D18-E18</f>
        <v>-4819.70150000003</v>
      </c>
      <c r="G18" s="5" t="s">
        <v>145</v>
      </c>
    </row>
    <row r="19" customFormat="false" ht="15" hidden="false" customHeight="false" outlineLevel="0" collapsed="false">
      <c r="A19" s="5" t="s">
        <v>154</v>
      </c>
      <c r="B19" s="6" t="n">
        <v>2933783</v>
      </c>
      <c r="C19" s="6" t="n">
        <v>283428</v>
      </c>
      <c r="D19" s="6" t="n">
        <v>148482</v>
      </c>
      <c r="E19" s="7" t="n">
        <f aca="false">B19*$B$6+C19*$B$6/2</f>
        <v>148546.5051</v>
      </c>
      <c r="F19" s="7" t="n">
        <f aca="false">D19-E19</f>
        <v>-64.5051000000094</v>
      </c>
      <c r="G19" s="5" t="s">
        <v>147</v>
      </c>
    </row>
    <row r="21" customFormat="false" ht="15" hidden="false" customHeight="false" outlineLevel="0" collapsed="false">
      <c r="A21" s="3" t="s">
        <v>155</v>
      </c>
      <c r="B21" s="3" t="s">
        <v>123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A22" s="5" t="s">
        <v>156</v>
      </c>
      <c r="B22" s="13" t="n">
        <f aca="false">F11</f>
        <v>139478.9937</v>
      </c>
      <c r="C22" s="5"/>
      <c r="D22" s="5"/>
      <c r="E22" s="5"/>
      <c r="F22" s="5"/>
      <c r="G22" s="5"/>
    </row>
    <row r="23" customFormat="false" ht="15" hidden="false" customHeight="false" outlineLevel="0" collapsed="false">
      <c r="A23" s="5" t="s">
        <v>157</v>
      </c>
      <c r="B23" s="9" t="n">
        <f aca="false">F11/E11</f>
        <v>0.121741924923257</v>
      </c>
      <c r="C23" s="5"/>
      <c r="D23" s="5"/>
      <c r="E23" s="5"/>
      <c r="F23" s="5"/>
      <c r="G23" s="5"/>
    </row>
    <row r="24" customFormat="false" ht="39.55" hidden="false" customHeight="false" outlineLevel="0" collapsed="false">
      <c r="A24" s="4" t="s">
        <v>158</v>
      </c>
      <c r="B24" s="4" t="str">
        <f aca="false">IF(ABS(F11)&gt;B8,"SIM — investigar (520 item 7)","NÃO")</f>
        <v>SIM — investigar (520 item 7)</v>
      </c>
      <c r="C24" s="4"/>
      <c r="D24" s="4"/>
      <c r="E24" s="4"/>
      <c r="F24" s="4"/>
      <c r="G24" s="4"/>
    </row>
    <row r="25" customFormat="false" ht="26.85" hidden="false" customHeight="false" outlineLevel="0" collapsed="false">
      <c r="A25" s="5" t="s">
        <v>159</v>
      </c>
      <c r="B25" s="9" t="n">
        <f aca="false">F12/F11</f>
        <v>1.07866672184057</v>
      </c>
      <c r="C25" s="5"/>
      <c r="D25" s="5"/>
      <c r="E25" s="5"/>
      <c r="F25" s="5"/>
      <c r="G25" s="5" t="s">
        <v>160</v>
      </c>
    </row>
    <row r="26" customFormat="false" ht="15" hidden="false" customHeight="false" outlineLevel="0" collapsed="false">
      <c r="A26" s="5" t="s">
        <v>161</v>
      </c>
      <c r="B26" s="13" t="n">
        <f aca="false">F16</f>
        <v>-4838.34104999993</v>
      </c>
      <c r="C26" s="5"/>
      <c r="D26" s="5"/>
      <c r="E26" s="5"/>
      <c r="F26" s="5"/>
      <c r="G26" s="5" t="s">
        <v>162</v>
      </c>
    </row>
    <row r="27" customFormat="false" ht="15" hidden="false" customHeight="false" outlineLevel="0" collapsed="false">
      <c r="A27" s="5" t="s">
        <v>163</v>
      </c>
      <c r="B27" s="9" t="n">
        <f aca="false">F16/E16</f>
        <v>-0.00436238188648468</v>
      </c>
      <c r="C27" s="5"/>
      <c r="D27" s="5"/>
      <c r="E27" s="5"/>
      <c r="F27" s="5"/>
      <c r="G27" s="5"/>
    </row>
    <row r="29" customFormat="false" ht="26.85" hidden="false" customHeight="false" outlineLevel="0" collapsed="false">
      <c r="A29" s="3" t="s">
        <v>164</v>
      </c>
      <c r="B29" s="3" t="s">
        <v>123</v>
      </c>
      <c r="C29" s="3"/>
      <c r="D29" s="3"/>
      <c r="E29" s="3"/>
      <c r="F29" s="3"/>
      <c r="G29" s="3" t="s">
        <v>139</v>
      </c>
    </row>
    <row r="30" customFormat="false" ht="15" hidden="false" customHeight="false" outlineLevel="0" collapsed="false">
      <c r="A30" s="5" t="s">
        <v>165</v>
      </c>
      <c r="B30" s="13" t="n">
        <f aca="false">D11</f>
        <v>1285173</v>
      </c>
      <c r="C30" s="5"/>
      <c r="D30" s="5"/>
      <c r="E30" s="5"/>
      <c r="F30" s="5"/>
      <c r="G30" s="5" t="s">
        <v>166</v>
      </c>
    </row>
    <row r="31" customFormat="false" ht="26.85" hidden="false" customHeight="false" outlineLevel="0" collapsed="false">
      <c r="A31" s="5" t="s">
        <v>167</v>
      </c>
      <c r="B31" s="6" t="n">
        <v>-113091</v>
      </c>
      <c r="C31" s="5"/>
      <c r="D31" s="5"/>
      <c r="E31" s="5"/>
      <c r="F31" s="5"/>
      <c r="G31" s="5" t="s">
        <v>168</v>
      </c>
    </row>
    <row r="32" customFormat="false" ht="15" hidden="false" customHeight="false" outlineLevel="0" collapsed="false">
      <c r="A32" s="4" t="s">
        <v>169</v>
      </c>
      <c r="B32" s="8" t="n">
        <f aca="false">B30+B31</f>
        <v>1172082</v>
      </c>
      <c r="C32" s="4"/>
      <c r="D32" s="4"/>
      <c r="E32" s="4"/>
      <c r="F32" s="4"/>
      <c r="G32" s="4"/>
    </row>
    <row r="33" customFormat="false" ht="15" hidden="false" customHeight="false" outlineLevel="0" collapsed="false">
      <c r="A33" s="5" t="s">
        <v>170</v>
      </c>
      <c r="B33" s="6" t="n">
        <v>1172082</v>
      </c>
      <c r="C33" s="5"/>
      <c r="D33" s="5"/>
      <c r="E33" s="5"/>
      <c r="F33" s="5"/>
      <c r="G33" s="5" t="s">
        <v>171</v>
      </c>
    </row>
    <row r="34" customFormat="false" ht="15" hidden="false" customHeight="false" outlineLevel="0" collapsed="false">
      <c r="A34" s="4" t="s">
        <v>5</v>
      </c>
      <c r="B34" s="8" t="n">
        <f aca="false">B32-B33</f>
        <v>0</v>
      </c>
      <c r="C34" s="4"/>
      <c r="D34" s="4"/>
      <c r="E34" s="4"/>
      <c r="F34" s="4"/>
      <c r="G34" s="4" t="s">
        <v>172</v>
      </c>
    </row>
    <row r="35" customFormat="false" ht="26.85" hidden="false" customHeight="false" outlineLevel="0" collapsed="false">
      <c r="A35" s="5" t="s">
        <v>173</v>
      </c>
      <c r="B35" s="7" t="n">
        <f aca="false">1104267-96326-1007941</f>
        <v>0</v>
      </c>
      <c r="C35" s="5"/>
      <c r="D35" s="5"/>
      <c r="E35" s="5"/>
      <c r="F35" s="5"/>
      <c r="G35" s="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176</v>
      </c>
      <c r="B4" s="3" t="s">
        <v>123</v>
      </c>
      <c r="C4" s="3"/>
      <c r="D4" s="3"/>
      <c r="E4" s="3"/>
      <c r="F4" s="3" t="s">
        <v>139</v>
      </c>
    </row>
    <row r="5" customFormat="false" ht="15" hidden="false" customHeight="false" outlineLevel="0" collapsed="false">
      <c r="A5" s="5" t="s">
        <v>177</v>
      </c>
      <c r="B5" s="6" t="n">
        <v>29623619</v>
      </c>
      <c r="C5" s="5"/>
      <c r="D5" s="5"/>
      <c r="E5" s="5"/>
      <c r="F5" s="5" t="s">
        <v>178</v>
      </c>
    </row>
    <row r="6" customFormat="false" ht="15" hidden="false" customHeight="false" outlineLevel="0" collapsed="false">
      <c r="A6" s="5" t="s">
        <v>179</v>
      </c>
      <c r="B6" s="6" t="n">
        <v>25209768</v>
      </c>
      <c r="C6" s="5"/>
      <c r="D6" s="5"/>
      <c r="E6" s="5"/>
      <c r="F6" s="5" t="s">
        <v>166</v>
      </c>
    </row>
    <row r="7" customFormat="false" ht="15" hidden="false" customHeight="false" outlineLevel="0" collapsed="false">
      <c r="A7" s="5" t="s">
        <v>180</v>
      </c>
      <c r="B7" s="6" t="n">
        <v>3368915</v>
      </c>
      <c r="C7" s="5"/>
      <c r="D7" s="5"/>
      <c r="E7" s="5"/>
      <c r="F7" s="5" t="s">
        <v>166</v>
      </c>
    </row>
    <row r="8" customFormat="false" ht="15" hidden="false" customHeight="false" outlineLevel="0" collapsed="false">
      <c r="A8" s="5" t="s">
        <v>181</v>
      </c>
      <c r="B8" s="6" t="n">
        <v>404562.3</v>
      </c>
      <c r="C8" s="5"/>
      <c r="D8" s="5"/>
      <c r="E8" s="5"/>
      <c r="F8" s="5" t="s">
        <v>130</v>
      </c>
    </row>
    <row r="9" customFormat="false" ht="15" hidden="false" customHeight="false" outlineLevel="0" collapsed="false">
      <c r="A9" s="5" t="s">
        <v>129</v>
      </c>
      <c r="B9" s="6" t="n">
        <v>303421.73</v>
      </c>
      <c r="C9" s="5"/>
      <c r="D9" s="5"/>
      <c r="E9" s="5"/>
      <c r="F9" s="5" t="s">
        <v>130</v>
      </c>
    </row>
    <row r="10" customFormat="false" ht="15" hidden="false" customHeight="false" outlineLevel="0" collapsed="false">
      <c r="A10" s="5" t="s">
        <v>182</v>
      </c>
      <c r="B10" s="6" t="n">
        <v>8091246</v>
      </c>
      <c r="C10" s="5"/>
      <c r="D10" s="5"/>
      <c r="E10" s="5"/>
      <c r="F10" s="5" t="s">
        <v>183</v>
      </c>
    </row>
    <row r="11" customFormat="false" ht="26.85" hidden="false" customHeight="false" outlineLevel="0" collapsed="false">
      <c r="A11" s="5" t="s">
        <v>184</v>
      </c>
      <c r="B11" s="7" t="n">
        <f aca="false">B6+B7/2</f>
        <v>26894225.5</v>
      </c>
      <c r="C11" s="5"/>
      <c r="D11" s="5"/>
      <c r="E11" s="5"/>
      <c r="F11" s="5" t="s">
        <v>185</v>
      </c>
    </row>
    <row r="13" customFormat="false" ht="39.55" hidden="false" customHeight="false" outlineLevel="0" collapsed="false">
      <c r="A13" s="3" t="s">
        <v>186</v>
      </c>
      <c r="B13" s="3" t="s">
        <v>187</v>
      </c>
      <c r="C13" s="3" t="s">
        <v>188</v>
      </c>
      <c r="D13" s="3" t="s">
        <v>189</v>
      </c>
      <c r="E13" s="3" t="s">
        <v>190</v>
      </c>
      <c r="F13" s="3" t="s">
        <v>191</v>
      </c>
    </row>
    <row r="14" customFormat="false" ht="15" hidden="false" customHeight="false" outlineLevel="0" collapsed="false">
      <c r="A14" s="5" t="s">
        <v>192</v>
      </c>
      <c r="B14" s="12" t="n">
        <v>0.005</v>
      </c>
      <c r="C14" s="7" t="n">
        <f aca="false">B11*B14</f>
        <v>134471.1275</v>
      </c>
      <c r="D14" s="9" t="n">
        <f aca="false">C14/$B$8</f>
        <v>0.3323866991561</v>
      </c>
      <c r="E14" s="14" t="n">
        <f aca="false">C14/$B$10</f>
        <v>0.016619334957805</v>
      </c>
      <c r="F14" s="5" t="s">
        <v>193</v>
      </c>
    </row>
    <row r="15" customFormat="false" ht="15" hidden="false" customHeight="false" outlineLevel="0" collapsed="false">
      <c r="A15" s="5" t="s">
        <v>194</v>
      </c>
      <c r="B15" s="12" t="n">
        <v>-0.005</v>
      </c>
      <c r="C15" s="7" t="n">
        <f aca="false">B11*B15</f>
        <v>-134471.1275</v>
      </c>
      <c r="D15" s="9" t="n">
        <f aca="false">C15/$B$8</f>
        <v>-0.3323866991561</v>
      </c>
      <c r="E15" s="14" t="n">
        <f aca="false">C15/$B$10</f>
        <v>-0.016619334957805</v>
      </c>
      <c r="F15" s="5"/>
    </row>
    <row r="16" customFormat="false" ht="15" hidden="false" customHeight="false" outlineLevel="0" collapsed="false">
      <c r="A16" s="5" t="s">
        <v>195</v>
      </c>
      <c r="B16" s="12" t="n">
        <v>0.01</v>
      </c>
      <c r="C16" s="7" t="n">
        <f aca="false">B11*B16</f>
        <v>268942.255</v>
      </c>
      <c r="D16" s="9" t="n">
        <f aca="false">C16/$B$8</f>
        <v>0.664773398312201</v>
      </c>
      <c r="E16" s="14" t="n">
        <f aca="false">C16/$B$10</f>
        <v>0.03323866991561</v>
      </c>
      <c r="F16" s="5"/>
    </row>
    <row r="17" customFormat="false" ht="15" hidden="false" customHeight="false" outlineLevel="0" collapsed="false">
      <c r="A17" s="5" t="s">
        <v>196</v>
      </c>
      <c r="B17" s="12" t="n">
        <v>-0.01</v>
      </c>
      <c r="C17" s="7" t="n">
        <f aca="false">B11*B17</f>
        <v>-268942.255</v>
      </c>
      <c r="D17" s="9" t="n">
        <f aca="false">C17/$B$8</f>
        <v>-0.664773398312201</v>
      </c>
      <c r="E17" s="14" t="n">
        <f aca="false">C17/$B$10</f>
        <v>-0.03323866991561</v>
      </c>
      <c r="F17" s="5"/>
    </row>
    <row r="18" customFormat="false" ht="26.85" hidden="false" customHeight="false" outlineLevel="0" collapsed="false">
      <c r="A18" s="5" t="s">
        <v>197</v>
      </c>
      <c r="B18" s="12" t="n">
        <v>-0.02</v>
      </c>
      <c r="C18" s="7" t="n">
        <f aca="false">B5*B18</f>
        <v>-592472.38</v>
      </c>
      <c r="D18" s="9" t="n">
        <f aca="false">C18/$B$8</f>
        <v>-1.46447748591502</v>
      </c>
      <c r="E18" s="14" t="n">
        <f aca="false">C18/$B$10</f>
        <v>-0.0732238742957512</v>
      </c>
      <c r="F18" s="5" t="s">
        <v>198</v>
      </c>
    </row>
    <row r="19" customFormat="false" ht="15" hidden="false" customHeight="false" outlineLevel="0" collapsed="false">
      <c r="A19" s="5" t="s">
        <v>199</v>
      </c>
      <c r="B19" s="12" t="n">
        <v>0.02</v>
      </c>
      <c r="C19" s="7" t="n">
        <f aca="false">B5*B19</f>
        <v>592472.38</v>
      </c>
      <c r="D19" s="9" t="n">
        <f aca="false">C19/$B$8</f>
        <v>1.46447748591502</v>
      </c>
      <c r="E19" s="14" t="n">
        <f aca="false">C19/$B$10</f>
        <v>0.0732238742957512</v>
      </c>
      <c r="F19" s="5"/>
    </row>
    <row r="20" customFormat="false" ht="15" hidden="false" customHeight="false" outlineLevel="0" collapsed="false">
      <c r="A20" s="5" t="s">
        <v>200</v>
      </c>
      <c r="B20" s="12" t="n">
        <v>-0.05</v>
      </c>
      <c r="C20" s="7" t="n">
        <f aca="false">B5*B20</f>
        <v>-1481180.95</v>
      </c>
      <c r="D20" s="9" t="n">
        <f aca="false">C20/$B$8</f>
        <v>-3.66119371478756</v>
      </c>
      <c r="E20" s="14" t="n">
        <f aca="false">C20/$B$10</f>
        <v>-0.183059685739378</v>
      </c>
      <c r="F20" s="5"/>
    </row>
    <row r="21" customFormat="false" ht="15" hidden="false" customHeight="false" outlineLevel="0" collapsed="false">
      <c r="A21" s="5" t="s">
        <v>201</v>
      </c>
      <c r="B21" s="12" t="n">
        <v>0.05</v>
      </c>
      <c r="C21" s="7" t="n">
        <f aca="false">B5*B21</f>
        <v>1481180.95</v>
      </c>
      <c r="D21" s="9" t="n">
        <f aca="false">C21/$B$8</f>
        <v>3.66119371478756</v>
      </c>
      <c r="E21" s="14" t="n">
        <f aca="false">C21/$B$10</f>
        <v>0.183059685739378</v>
      </c>
      <c r="F21" s="5"/>
    </row>
    <row r="23" customFormat="false" ht="39.55" hidden="false" customHeight="false" outlineLevel="0" collapsed="false">
      <c r="A23" s="3" t="s">
        <v>202</v>
      </c>
      <c r="B23" s="3" t="s">
        <v>203</v>
      </c>
      <c r="C23" s="3" t="s">
        <v>204</v>
      </c>
      <c r="D23" s="3" t="s">
        <v>205</v>
      </c>
      <c r="E23" s="3" t="s">
        <v>5</v>
      </c>
      <c r="F23" s="3" t="s">
        <v>139</v>
      </c>
    </row>
    <row r="24" customFormat="false" ht="26.85" hidden="false" customHeight="false" outlineLevel="0" collapsed="false">
      <c r="A24" s="5" t="s">
        <v>206</v>
      </c>
      <c r="B24" s="6" t="n">
        <v>29653297</v>
      </c>
      <c r="C24" s="5"/>
      <c r="D24" s="5"/>
      <c r="E24" s="5"/>
      <c r="F24" s="5" t="s">
        <v>207</v>
      </c>
    </row>
    <row r="25" customFormat="false" ht="26.85" hidden="false" customHeight="false" outlineLevel="0" collapsed="false">
      <c r="A25" s="5" t="s">
        <v>208</v>
      </c>
      <c r="B25" s="12" t="n">
        <v>0.0963</v>
      </c>
      <c r="C25" s="7" t="n">
        <f aca="false">$B$24*B25</f>
        <v>2855612.5011</v>
      </c>
      <c r="D25" s="6" t="n">
        <v>2855613</v>
      </c>
      <c r="E25" s="7" t="n">
        <f aca="false">C25-D25</f>
        <v>-0.49890000000596</v>
      </c>
      <c r="F25" s="5" t="s">
        <v>209</v>
      </c>
    </row>
    <row r="26" customFormat="false" ht="26.85" hidden="false" customHeight="false" outlineLevel="0" collapsed="false">
      <c r="A26" s="5" t="s">
        <v>210</v>
      </c>
      <c r="B26" s="14" t="n">
        <f aca="false">0.0963*0.75</f>
        <v>0.072225</v>
      </c>
      <c r="C26" s="7" t="n">
        <f aca="false">$B$24*B26</f>
        <v>2141709.375825</v>
      </c>
      <c r="D26" s="6" t="n">
        <v>2141709</v>
      </c>
      <c r="E26" s="7" t="n">
        <f aca="false">C26-D26</f>
        <v>0.37582499999553</v>
      </c>
      <c r="F26" s="5" t="s">
        <v>209</v>
      </c>
    </row>
    <row r="27" customFormat="false" ht="26.85" hidden="false" customHeight="false" outlineLevel="0" collapsed="false">
      <c r="A27" s="5" t="s">
        <v>211</v>
      </c>
      <c r="B27" s="14" t="n">
        <f aca="false">0.0963*0.5</f>
        <v>0.04815</v>
      </c>
      <c r="C27" s="7" t="n">
        <f aca="false">$B$24*B27</f>
        <v>1427806.25055</v>
      </c>
      <c r="D27" s="6" t="n">
        <v>1427806</v>
      </c>
      <c r="E27" s="7" t="n">
        <f aca="false">C27-D27</f>
        <v>0.25054999999702</v>
      </c>
      <c r="F27" s="5" t="s">
        <v>209</v>
      </c>
    </row>
    <row r="28" customFormat="false" ht="15" hidden="false" customHeight="false" outlineLevel="0" collapsed="false">
      <c r="A28" s="4" t="s">
        <v>212</v>
      </c>
      <c r="B28" s="4"/>
      <c r="C28" s="8" t="n">
        <f aca="false">C25-C27</f>
        <v>1427806.25055</v>
      </c>
      <c r="D28" s="4"/>
      <c r="E28" s="4"/>
      <c r="F28" s="4" t="s">
        <v>213</v>
      </c>
    </row>
    <row r="30" customFormat="false" ht="26.85" hidden="false" customHeight="false" outlineLevel="0" collapsed="false">
      <c r="A30" s="3" t="s">
        <v>214</v>
      </c>
      <c r="B30" s="3" t="s">
        <v>123</v>
      </c>
      <c r="C30" s="3" t="s">
        <v>215</v>
      </c>
      <c r="D30" s="3"/>
      <c r="E30" s="3"/>
      <c r="F30" s="3" t="s">
        <v>139</v>
      </c>
    </row>
    <row r="31" customFormat="false" ht="26.85" hidden="false" customHeight="false" outlineLevel="0" collapsed="false">
      <c r="A31" s="5" t="s">
        <v>216</v>
      </c>
      <c r="B31" s="6" t="n">
        <v>12737816</v>
      </c>
      <c r="C31" s="9" t="n">
        <f aca="false">B31/$B$5</f>
        <v>0.429988516933059</v>
      </c>
      <c r="D31" s="5"/>
      <c r="E31" s="5"/>
      <c r="F31" s="5" t="s">
        <v>217</v>
      </c>
    </row>
    <row r="32" customFormat="false" ht="15" hidden="false" customHeight="false" outlineLevel="0" collapsed="false">
      <c r="A32" s="5" t="s">
        <v>218</v>
      </c>
      <c r="B32" s="6" t="n">
        <v>3686631</v>
      </c>
      <c r="C32" s="9" t="n">
        <f aca="false">B32/$B$5</f>
        <v>0.124449041827064</v>
      </c>
      <c r="D32" s="5"/>
      <c r="E32" s="5"/>
      <c r="F32" s="5" t="s">
        <v>219</v>
      </c>
    </row>
    <row r="33" customFormat="false" ht="15" hidden="false" customHeight="false" outlineLevel="0" collapsed="false">
      <c r="A33" s="5" t="s">
        <v>220</v>
      </c>
      <c r="B33" s="6" t="n">
        <v>13175047</v>
      </c>
      <c r="C33" s="9" t="n">
        <f aca="false">B33/$B$5</f>
        <v>0.444748057284966</v>
      </c>
      <c r="D33" s="5"/>
      <c r="E33" s="5"/>
      <c r="F33" s="5" t="s">
        <v>219</v>
      </c>
    </row>
    <row r="34" customFormat="false" ht="26.85" hidden="false" customHeight="false" outlineLevel="0" collapsed="false">
      <c r="A34" s="4" t="s">
        <v>221</v>
      </c>
      <c r="B34" s="8" t="n">
        <f aca="false">SUM(B31:B33)</f>
        <v>29599494</v>
      </c>
      <c r="C34" s="15" t="n">
        <f aca="false">B34/$B$5</f>
        <v>0.999185616045089</v>
      </c>
      <c r="D34" s="4"/>
      <c r="E34" s="4"/>
      <c r="F34" s="4" t="s">
        <v>222</v>
      </c>
    </row>
    <row r="35" customFormat="false" ht="15" hidden="false" customHeight="false" outlineLevel="0" collapsed="false">
      <c r="A35" s="5" t="s">
        <v>223</v>
      </c>
      <c r="B35" s="7" t="n">
        <f aca="false">B34-29599494</f>
        <v>0</v>
      </c>
      <c r="C35" s="5"/>
      <c r="D35" s="5"/>
      <c r="E35" s="5"/>
      <c r="F35" s="5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4"/>
  </cols>
  <sheetData>
    <row r="1" customFormat="false" ht="1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225</v>
      </c>
      <c r="B4" s="3" t="s">
        <v>226</v>
      </c>
      <c r="C4" s="3" t="s">
        <v>227</v>
      </c>
      <c r="D4" s="3" t="s">
        <v>228</v>
      </c>
      <c r="E4" s="3" t="s">
        <v>229</v>
      </c>
      <c r="F4" s="3" t="s">
        <v>230</v>
      </c>
      <c r="G4" s="3" t="s">
        <v>231</v>
      </c>
      <c r="H4" s="3" t="s">
        <v>232</v>
      </c>
      <c r="I4" s="3" t="s">
        <v>233</v>
      </c>
    </row>
    <row r="5" customFormat="false" ht="26.85" hidden="false" customHeight="false" outlineLevel="0" collapsed="false">
      <c r="A5" s="5" t="s">
        <v>234</v>
      </c>
      <c r="B5" s="6" t="n">
        <v>0</v>
      </c>
      <c r="C5" s="6" t="n">
        <v>0</v>
      </c>
      <c r="D5" s="6" t="n">
        <v>325563</v>
      </c>
      <c r="E5" s="6" t="n">
        <v>1507938</v>
      </c>
      <c r="F5" s="6" t="n">
        <v>0</v>
      </c>
      <c r="G5" s="6" t="n">
        <v>0</v>
      </c>
      <c r="H5" s="6" t="n">
        <v>-97450</v>
      </c>
      <c r="I5" s="6" t="n">
        <v>-177955</v>
      </c>
    </row>
    <row r="6" customFormat="false" ht="26.85" hidden="false" customHeight="false" outlineLevel="0" collapsed="false">
      <c r="A6" s="5" t="s">
        <v>235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2050</v>
      </c>
      <c r="G6" s="6" t="n">
        <v>1314</v>
      </c>
      <c r="H6" s="6" t="n">
        <v>-424459</v>
      </c>
      <c r="I6" s="6" t="n">
        <v>-410890</v>
      </c>
    </row>
    <row r="7" customFormat="false" ht="26.85" hidden="false" customHeight="false" outlineLevel="0" collapsed="false">
      <c r="A7" s="5" t="s">
        <v>236</v>
      </c>
      <c r="B7" s="6" t="n">
        <v>0</v>
      </c>
      <c r="C7" s="6" t="n">
        <v>0</v>
      </c>
      <c r="D7" s="6" t="n">
        <v>76888</v>
      </c>
      <c r="E7" s="6" t="n">
        <v>104378</v>
      </c>
      <c r="F7" s="6" t="n">
        <v>678</v>
      </c>
      <c r="G7" s="6" t="n">
        <v>474</v>
      </c>
      <c r="H7" s="6" t="n">
        <v>-897183</v>
      </c>
      <c r="I7" s="6" t="n">
        <v>-965058</v>
      </c>
    </row>
    <row r="8" customFormat="false" ht="26.85" hidden="false" customHeight="false" outlineLevel="0" collapsed="false">
      <c r="A8" s="5" t="s">
        <v>237</v>
      </c>
      <c r="B8" s="6" t="n">
        <v>0</v>
      </c>
      <c r="C8" s="6" t="n">
        <v>15355</v>
      </c>
      <c r="D8" s="6" t="n">
        <v>557</v>
      </c>
      <c r="E8" s="6" t="n">
        <v>702</v>
      </c>
      <c r="F8" s="6" t="n">
        <v>0</v>
      </c>
      <c r="G8" s="6" t="n">
        <v>0</v>
      </c>
      <c r="H8" s="6" t="n">
        <v>-25979</v>
      </c>
      <c r="I8" s="6" t="n">
        <v>-96285</v>
      </c>
    </row>
    <row r="9" customFormat="false" ht="26.85" hidden="false" customHeight="false" outlineLevel="0" collapsed="false">
      <c r="A9" s="5" t="s">
        <v>238</v>
      </c>
      <c r="B9" s="6" t="n">
        <v>556</v>
      </c>
      <c r="C9" s="6" t="n">
        <v>250</v>
      </c>
      <c r="D9" s="6" t="n">
        <v>0</v>
      </c>
      <c r="E9" s="6" t="n">
        <v>0</v>
      </c>
      <c r="F9" s="6" t="n">
        <v>10813</v>
      </c>
      <c r="G9" s="6" t="n">
        <v>6614</v>
      </c>
      <c r="H9" s="6" t="n">
        <v>0</v>
      </c>
      <c r="I9" s="6" t="n">
        <v>0</v>
      </c>
    </row>
    <row r="10" customFormat="false" ht="15" hidden="false" customHeight="false" outlineLevel="0" collapsed="false">
      <c r="A10" s="5" t="s">
        <v>239</v>
      </c>
      <c r="B10" s="6" t="n">
        <v>0</v>
      </c>
      <c r="C10" s="6" t="n">
        <v>0</v>
      </c>
      <c r="D10" s="6" t="n">
        <v>4412650</v>
      </c>
      <c r="E10" s="6" t="n">
        <v>0</v>
      </c>
      <c r="F10" s="6" t="n">
        <v>0</v>
      </c>
      <c r="G10" s="6" t="n">
        <v>0</v>
      </c>
      <c r="H10" s="6" t="n">
        <v>-41667</v>
      </c>
      <c r="I10" s="6" t="n">
        <v>0</v>
      </c>
    </row>
    <row r="11" customFormat="false" ht="26.85" hidden="false" customHeight="false" outlineLevel="0" collapsed="false">
      <c r="A11" s="5" t="s">
        <v>240</v>
      </c>
      <c r="B11" s="6" t="n">
        <v>0</v>
      </c>
      <c r="C11" s="6" t="n">
        <v>0</v>
      </c>
      <c r="D11" s="6" t="n">
        <v>0</v>
      </c>
      <c r="E11" s="6" t="n">
        <v>2485694</v>
      </c>
      <c r="F11" s="6" t="n">
        <v>0</v>
      </c>
      <c r="G11" s="6" t="n">
        <v>0</v>
      </c>
      <c r="H11" s="6" t="n">
        <v>-368077</v>
      </c>
      <c r="I11" s="6" t="n">
        <v>-311573</v>
      </c>
    </row>
    <row r="12" customFormat="false" ht="15" hidden="false" customHeight="false" outlineLevel="0" collapsed="false">
      <c r="A12" s="5" t="s">
        <v>241</v>
      </c>
      <c r="B12" s="6" t="n">
        <v>11194</v>
      </c>
      <c r="C12" s="6" t="n">
        <v>19022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 customFormat="false" ht="15" hidden="false" customHeight="false" outlineLevel="0" collapsed="false">
      <c r="A13" s="5" t="s">
        <v>242</v>
      </c>
      <c r="B13" s="6" t="n">
        <v>0</v>
      </c>
      <c r="C13" s="6" t="n">
        <v>0</v>
      </c>
      <c r="D13" s="6" t="n">
        <v>467</v>
      </c>
      <c r="E13" s="6" t="n">
        <v>0</v>
      </c>
      <c r="F13" s="6" t="n">
        <v>0</v>
      </c>
      <c r="G13" s="6" t="n">
        <v>0</v>
      </c>
      <c r="H13" s="6" t="n">
        <v>-5299</v>
      </c>
      <c r="I13" s="6" t="n">
        <v>-5115</v>
      </c>
    </row>
    <row r="14" customFormat="false" ht="15" hidden="false" customHeight="false" outlineLevel="0" collapsed="false">
      <c r="A14" s="4" t="s">
        <v>243</v>
      </c>
      <c r="B14" s="8" t="n">
        <f aca="false">SUM(B5:B13)</f>
        <v>11750</v>
      </c>
      <c r="C14" s="8" t="n">
        <f aca="false">SUM(C5:C13)</f>
        <v>34627</v>
      </c>
      <c r="D14" s="8" t="n">
        <f aca="false">SUM(D5:D13)</f>
        <v>4816125</v>
      </c>
      <c r="E14" s="8" t="n">
        <f aca="false">SUM(E5:E13)</f>
        <v>4098712</v>
      </c>
      <c r="F14" s="8" t="n">
        <f aca="false">SUM(F5:F13)</f>
        <v>13541</v>
      </c>
      <c r="G14" s="8" t="n">
        <f aca="false">SUM(G5:G13)</f>
        <v>8402</v>
      </c>
      <c r="H14" s="8" t="n">
        <f aca="false">SUM(H5:H13)</f>
        <v>-1860114</v>
      </c>
      <c r="I14" s="8" t="n">
        <f aca="false">SUM(I5:I13)</f>
        <v>-1966876</v>
      </c>
    </row>
    <row r="16" customFormat="false" ht="26.85" hidden="false" customHeight="false" outlineLevel="0" collapsed="false">
      <c r="A16" s="5" t="s">
        <v>244</v>
      </c>
      <c r="B16" s="5"/>
      <c r="C16" s="5"/>
      <c r="D16" s="7" t="n">
        <f aca="false">D10+D11-(19416+4393234)</f>
        <v>0</v>
      </c>
      <c r="E16" s="7" t="n">
        <f aca="false">E10+E11-2485694</f>
        <v>0</v>
      </c>
      <c r="F16" s="5"/>
      <c r="G16" s="5"/>
      <c r="H16" s="5"/>
      <c r="I16" s="5"/>
    </row>
    <row r="17" customFormat="false" ht="15" hidden="false" customHeight="false" outlineLevel="0" collapsed="false">
      <c r="A17" s="5" t="s">
        <v>245</v>
      </c>
      <c r="B17" s="5"/>
      <c r="C17" s="5"/>
      <c r="D17" s="9" t="n">
        <f aca="false">(D10+D11)/(E10+E11)-1</f>
        <v>0.775218510403936</v>
      </c>
      <c r="E17" s="5"/>
      <c r="F17" s="5"/>
      <c r="G17" s="5"/>
      <c r="H17" s="5"/>
      <c r="I17" s="5"/>
    </row>
    <row r="18" customFormat="false" ht="15" hidden="false" customHeight="false" outlineLevel="0" collapsed="false">
      <c r="A18" s="5" t="s">
        <v>246</v>
      </c>
      <c r="B18" s="5"/>
      <c r="C18" s="5"/>
      <c r="D18" s="5"/>
      <c r="E18" s="5"/>
      <c r="F18" s="5"/>
      <c r="G18" s="5"/>
      <c r="H18" s="6" t="n">
        <v>-80523</v>
      </c>
      <c r="I18" s="6" t="n">
        <v>-80597</v>
      </c>
    </row>
    <row r="19" customFormat="false" ht="26.85" hidden="false" customHeight="false" outlineLevel="0" collapsed="false">
      <c r="A19" s="5" t="s">
        <v>247</v>
      </c>
      <c r="B19" s="5"/>
      <c r="C19" s="5"/>
      <c r="D19" s="5"/>
      <c r="E19" s="5"/>
      <c r="F19" s="5"/>
      <c r="G19" s="5"/>
      <c r="H19" s="14" t="n">
        <f aca="false">-H14/(20376889+4299812+5566883+985664+1722799+637243+4942969)</f>
        <v>0.0482742005860596</v>
      </c>
      <c r="I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2026-10-23T23:16:29Z</dcterms:created>
  <dc:creator>openpyxl</dc:creator>
  <dc:description/>
  <dc:language>en-US</dc:language>
  <cp:lastModifiedBy/>
  <dcterms:modified xsi:type="dcterms:W3CDTF">2026-10-23T23:16:29Z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