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_ME" sheetId="1" state="visible" r:id="rId3"/>
    <sheet name="Registro_Revisao" sheetId="2" state="visible" r:id="rId4"/>
    <sheet name="Matriz_Cobertura_Final" sheetId="3" state="visible" r:id="rId5"/>
    <sheet name="Conf_Normas" sheetId="4" state="visible" r:id="rId6"/>
    <sheet name="Conf_Numeros" sheetId="5" state="visible" r:id="rId7"/>
    <sheet name="Conf_Fontes_DF25" sheetId="6" state="visible" r:id="rId8"/>
    <sheet name="Reproducao" sheetId="7" state="visible" r:id="rId9"/>
    <sheet name="PT520_Revisao_Final" sheetId="8" state="visible" r:id="rId10"/>
    <sheet name="Eventos_Corte" sheetId="9" state="visible" r:id="rId11"/>
    <sheet name="Pontos_Validacao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<sst xmlns="http://schemas.openxmlformats.org/spreadsheetml/2006/main" count="1247" uniqueCount="730">
  <si>
    <t xml:space="preserve">CPFL Energia S.A. — DF consolidadas 2025 — Bloco 12: revisão técnica e correção de inconsistências</t>
  </si>
  <si>
    <t xml:space="preserve">UnB · Auditoria 1 (CCA0024) · Turma 02 · 2026.2 · Matrícula 231020069</t>
  </si>
  <si>
    <t xml:space="preserve">Revisão automatizada (segunda leitura crítica pela mesma IA que preparou o trabalho, em 23/10/2026). Não é revisão de auditor independente nem revisão humana.</t>
  </si>
  <si>
    <t xml:space="preserve">Abas: Registro_Revisao (achado, gravidade, evidência, correção, estado) · Matriz_Cobertura_Final (33 obrigações do enunciado) · Conf_Normas · Conf_Numeros · Conf_Fontes_DF25 · Reproducao · PT520_Revisao_Final · Eventos_Corte · Pontos_Validacao</t>
  </si>
  <si>
    <t xml:space="preserve">Scripts: b12_check_normas.py, b12_check_numeros.py, b12_check_fontes.py (saídas JSON em revisao_b12/). Reexecução: python &lt;script&gt; Dossie_CPFL_2025_231020069_v0.8.md</t>
  </si>
  <si>
    <t xml:space="preserve">Gravidade: Alta = descumpre obrigação do enunciado ou altera conclusão; Média = afeta PT ou evidência sem mudar a conclusão; Baixa = número ou texto sem efeito na conclusão; Info = conferência sem achado.</t>
  </si>
  <si>
    <t xml:space="preserve">Registro de revisão do Bloco 12</t>
  </si>
  <si>
    <t xml:space="preserve">Ref.</t>
  </si>
  <si>
    <t xml:space="preserve">Grav.</t>
  </si>
  <si>
    <t xml:space="preserve">Achado</t>
  </si>
  <si>
    <t xml:space="preserve">Evidência</t>
  </si>
  <si>
    <t xml:space="preserve">Correção / tratamento</t>
  </si>
  <si>
    <t xml:space="preserve">Estado</t>
  </si>
  <si>
    <t xml:space="preserve">RV12-01</t>
  </si>
  <si>
    <t xml:space="preserve">Alta</t>
  </si>
  <si>
    <t xml:space="preserve">33 de 143 procedimentos com rótulo de modalidade fora das três categorias do enunciado ("Realizado", "Parcial", "Planejado (B12)", "Pendente — Bloco 11" etc.), incluindo rótulos desatualizados</t>
  </si>
  <si>
    <t xml:space="preserve">Verificação automatizada sobre os 27 PTs (script em linha no Bloco 12); obrigação E-07</t>
  </si>
  <si>
    <t xml:space="preserve">Rótulos normalizados nas fontes dos PTs; 0 fora das três categorias na v0.9 (reconferido)</t>
  </si>
  <si>
    <t xml:space="preserve">Corrigido</t>
  </si>
  <si>
    <t xml:space="preserve">RV12-02</t>
  </si>
  <si>
    <t xml:space="preserve">Média</t>
  </si>
  <si>
    <t xml:space="preserve">Procedimento 520-05 (revisão analítica final, NBC TA 520 item 6) marcado "Pendente — Bloco 11" e não executado</t>
  </si>
  <si>
    <t xml:space="preserve">PT 520, quadro de procedimentos; NORMAS p. 525</t>
  </si>
  <si>
    <t xml:space="preserve">Executado no Bloco 12 (aba PT520_Revisao_Final; PT 520 seção 6). Sem variação nova inesperada; ativo setorial +228,6% explicado qualitativamente (nota 9, p. 64–65)</t>
  </si>
  <si>
    <t xml:space="preserve">RV12-03</t>
  </si>
  <si>
    <t xml:space="preserve">Baixa</t>
  </si>
  <si>
    <t xml:space="preserve">Quadro de liquidez (PT 570, planilha B10): debêntures 30.641.582; a fonte mostra 30.641.585. A "correção" do RV-B10 estava errada e criou falsa diferença de −3</t>
  </si>
  <si>
    <t xml:space="preserve">DF25 nota 34 g, p. 113/81 (imagem ampliada a 300 dpi); soma da linha = 30.641.585</t>
  </si>
  <si>
    <t xml:space="preserve">Valor corrigido; planilha B10 recalculada (0 erros; diferença da coluna Total = 0); DV21; PT 220 atualizado</t>
  </si>
  <si>
    <t xml:space="preserve">RV12-04</t>
  </si>
  <si>
    <t xml:space="preserve">Pesquisa de eventos subsequentes incompleta: a lista do RI de 2026 tinha itens não citados (renúncia de conselheiro 06/03; 21ª e 8ª emissões em março; 19ª emissão em setembro; atas de 15/10/2026)</t>
  </si>
  <si>
    <t xml:space="preserve">RI CPFL, lista de 2026 relida em 23/10/2026 (FC32)</t>
  </si>
  <si>
    <t xml:space="preserve">PT 560 seção 5 acrescentada; sem efeito em riscos, continuidade ou conclusão. Atas de 15/10/2026 e valores das emissões não lidos (limitação)</t>
  </si>
  <si>
    <t xml:space="preserve">Corrigido com limitação</t>
  </si>
  <si>
    <t xml:space="preserve">RV12-05</t>
  </si>
  <si>
    <t xml:space="preserve">PB01-06: vigência da NBC TA 240 (R2) e 570 (R1) apoiada em fonte secundária</t>
  </si>
  <si>
    <t xml:space="preserve">CRCSP (notícia de 02/10/2026) e Portal Contnews: DOU 25/09/2026, períodos iniciados a partir de 01/01/2027 (FC31)</t>
  </si>
  <si>
    <t xml:space="preserve">Aplicação das versões 240 (R1) e 570 (2016) mantida; seção 2.3 atualizada. DOU não aberto diretamente</t>
  </si>
  <si>
    <t xml:space="preserve">Resolvido (fonte secundária confiável)</t>
  </si>
  <si>
    <t xml:space="preserve">RV12-06</t>
  </si>
  <si>
    <t xml:space="preserve">Info</t>
  </si>
  <si>
    <t xml:space="preserve">Citações normativas item × página</t>
  </si>
  <si>
    <t xml:space="preserve">47 citações reais verificadas no texto do consolidado (NORMAS); 9 alertas eram falsos positivos (notas da DF ou itens A); itens A2, A6, A10, A13, A18, A23, A1, A5 e A7 localizados nas páginas citadas</t>
  </si>
  <si>
    <t xml:space="preserve">Nenhuma correção necessária</t>
  </si>
  <si>
    <t xml:space="preserve">Conferido</t>
  </si>
  <si>
    <t xml:space="preserve">RV12-07</t>
  </si>
  <si>
    <t xml:space="preserve">Números-chave consistentes entre PTs e planilhas</t>
  </si>
  <si>
    <t xml:space="preserve">20 valores-chave sem variante divergente (a única variante, 435.547, é a prova por movimentação ±1); 9 planilhas sem erro de fórmula</t>
  </si>
  <si>
    <t xml:space="preserve">Nenhuma</t>
  </si>
  <si>
    <t xml:space="preserve">RV12-08</t>
  </si>
  <si>
    <t xml:space="preserve">Números citados × páginas da DF25</t>
  </si>
  <si>
    <t xml:space="preserve">106 pares número-página: 24 localizados no texto, 58 em páginas-imagem já transcritas (B02), 24 não localizados por texto: são de outros documentos (ITR, DFs individuais, release), valores derivados ou tabelas-imagem. Conferência visual: p. 68, 111, 113, 114 (confirmados)</t>
  </si>
  <si>
    <t xml:space="preserve">Achado RV12-03 decorre desta conferência</t>
  </si>
  <si>
    <t xml:space="preserve">Conferido (amostra visual)</t>
  </si>
  <si>
    <t xml:space="preserve">RV12-09</t>
  </si>
  <si>
    <t xml:space="preserve">Reprodutibilidade da base e dos testes</t>
  </si>
  <si>
    <t xml:space="preserve">Pasta limpa: SHA-256 da base 877d4a02…4bb0 idêntico; 501.000 linhas lidas; verificador sem falhas; total e 4 distribuidoras com diferença R$ 0,00; hashes dos reservados idênticos; T1–T4, MUS e ampliação com saídas idênticas; JSON difere só em "executado_em" e "duracao_s" (metadados)</t>
  </si>
  <si>
    <t xml:space="preserve">RV12-10</t>
  </si>
  <si>
    <t xml:space="preserve">Cópia da base no Drive não pôde ser lida pelo conector (limite de 10 MB)</t>
  </si>
  <si>
    <t xml:space="preserve">Drive 03_Base_sintetica: 14.678.974 bytes, igual ao arquivo local lido integralmente</t>
  </si>
  <si>
    <t xml:space="preserve">Conferência por tamanho exato; leitura integral da cópia publicada fica para o repositório (B13)</t>
  </si>
  <si>
    <t xml:space="preserve">Limitação</t>
  </si>
  <si>
    <t xml:space="preserve">RV12-11</t>
  </si>
  <si>
    <t xml:space="preserve">Afirmações indevidas de execução, contato, assinatura, opinião ou revisão humana</t>
  </si>
  <si>
    <t xml:space="preserve">17 padrões pesquisados no dossiê; as ocorrências são negações ("nada foi enviado") ou descrição do relatório da PwC</t>
  </si>
  <si>
    <t xml:space="preserve">RV12-12</t>
  </si>
  <si>
    <t xml:space="preserve">Independência entre detecção e gabarito</t>
  </si>
  <si>
    <t xml:space="preserve">Pré-registro (19:54) e congelamento (19:55:53) anteriores à abertura dos reservados (horários do Drive); "teste cego" só aparece negado</t>
  </si>
  <si>
    <t xml:space="preserve">RV12-13</t>
  </si>
  <si>
    <t xml:space="preserve">PB01-01: conferência DF25 × base de dados da CVM não executada</t>
  </si>
  <si>
    <t xml:space="preserve">dados.cvm.gov.br bloqueado no ambiente (proxy 403, 23/10/2026)</t>
  </si>
  <si>
    <t xml:space="preserve">Mantida como limitação; ação opcional do aluno (Pontos_Validacao, ponto 1)</t>
  </si>
  <si>
    <t xml:space="preserve">Pendente (depende do aluno)</t>
  </si>
  <si>
    <t xml:space="preserve">RV12-14</t>
  </si>
  <si>
    <t xml:space="preserve">Limitações remanescentes: hipóteses DH-01 (IRRF Jantus) e DH-02 (VNR Paulista); relatório do auditor 2024 (PB09-02); FR truncado (PB02-03); comunicados de partes relacionadas (PB10-02); código CVM e nome anterior (PB02-02)</t>
  </si>
  <si>
    <t xml:space="preserve">PENDENCIAS.md v11</t>
  </si>
  <si>
    <t xml:space="preserve">Sem acesso, não resolvíveis; mantidas nas conclusões limitadas do dossiê (seção 7)</t>
  </si>
  <si>
    <t xml:space="preserve">Limitação final</t>
  </si>
  <si>
    <t xml:space="preserve">Matriz final de cobertura das obrigações do enunciado (FC10) — prova de aceite</t>
  </si>
  <si>
    <t xml:space="preserve">Estado em 23/10/2026 (fim do Bloco 12). "Dossiê" = Dossie_CPFL_2025_231020069_v0.9.</t>
  </si>
  <si>
    <t xml:space="preserve">ID</t>
  </si>
  <si>
    <t xml:space="preserve">Obrigação</t>
  </si>
  <si>
    <t xml:space="preserve">Onde é atendida (arquivo, PT, seção)</t>
  </si>
  <si>
    <t xml:space="preserve">Prova de aceite</t>
  </si>
  <si>
    <t xml:space="preserve">E-01</t>
  </si>
  <si>
    <t xml:space="preserve">Dossiê cobrindo EC e NBC TA 200 a 600</t>
  </si>
  <si>
    <t xml:space="preserve">Dossiê, seção 5 (27 PTs) e seção 6 (programas)</t>
  </si>
  <si>
    <t xml:space="preserve">27 PTs × 13 campos sem vazio (RV12-01)</t>
  </si>
  <si>
    <t xml:space="preserve">Atendida</t>
  </si>
  <si>
    <t xml:space="preserve">E-02</t>
  </si>
  <si>
    <t xml:space="preserve">Usar DFs 2025, comparativos, notas e relatório do auditor</t>
  </si>
  <si>
    <t xml:space="preserve">Dossiê seção 3; PTs 315, 320, 500–580; planilha B02</t>
  </si>
  <si>
    <t xml:space="preserve">Saldos com documento e página; RV12-08</t>
  </si>
  <si>
    <t xml:space="preserve">E-03</t>
  </si>
  <si>
    <t xml:space="preserve">Julgamento, ceticismo, risco, planejamento, evidência</t>
  </si>
  <si>
    <t xml:space="preserve">PTs 200, 300, 315, 320, 330, 500</t>
  </si>
  <si>
    <t xml:space="preserve">Julgamentos com fundamento (DECISOES.md)</t>
  </si>
  <si>
    <t xml:space="preserve">E-04</t>
  </si>
  <si>
    <t xml:space="preserve">Fontes com URL, data, documento, página, exercício</t>
  </si>
  <si>
    <t xml:space="preserve">Dossiê, Apêndice B (FC01–FC33)</t>
  </si>
  <si>
    <t xml:space="preserve">Datas de acesso reais</t>
  </si>
  <si>
    <t xml:space="preserve">E-05</t>
  </si>
  <si>
    <t xml:space="preserve">Alterações de nome e código de negociação</t>
  </si>
  <si>
    <t xml:space="preserve">Dossiê seção 3; PT EC</t>
  </si>
  <si>
    <t xml:space="preserve">Nome anterior pelo FR (truncado); conferência no cadastro CVM pendente (PB02-02)</t>
  </si>
  <si>
    <t xml:space="preserve">Atendida com limitação</t>
  </si>
  <si>
    <t xml:space="preserve">E-06</t>
  </si>
  <si>
    <t xml:space="preserve">Não contatar empresa ou terceiros</t>
  </si>
  <si>
    <t xml:space="preserve">Aviso do dossiê; PTs 260, 505, 580</t>
  </si>
  <si>
    <t xml:space="preserve">Nenhum envio; minutas marcadas NÃO ENVIADAS</t>
  </si>
  <si>
    <t xml:space="preserve">E-07</t>
  </si>
  <si>
    <t xml:space="preserve">Classificar cada procedimento nas três modalidades</t>
  </si>
  <si>
    <t xml:space="preserve">Quadro 5 de cada PT</t>
  </si>
  <si>
    <t xml:space="preserve">143 de 143 após RV12-01</t>
  </si>
  <si>
    <t xml:space="preserve">Atendida (corrigida)</t>
  </si>
  <si>
    <t xml:space="preserve">E-08</t>
  </si>
  <si>
    <t xml:space="preserve">Não apresentar confirmações, entrevistas, inspeções como realizadas</t>
  </si>
  <si>
    <t xml:space="preserve">Todos os PTs</t>
  </si>
  <si>
    <t xml:space="preserve">Varredura RV12-11 sem achado</t>
  </si>
  <si>
    <t xml:space="preserve">E-09</t>
  </si>
  <si>
    <t xml:space="preserve">Todos os PTs; "não se aplica" só com análise</t>
  </si>
  <si>
    <t xml:space="preserve">27 PTs; PT 402 e 501 (estoques) com análise de aplicabilidade</t>
  </si>
  <si>
    <t xml:space="preserve">Índice da seção 4</t>
  </si>
  <si>
    <t xml:space="preserve">E-10</t>
  </si>
  <si>
    <t xml:space="preserve">Base simulada ≥ 500.000 linhas da conta de maior materialidade do ativo</t>
  </si>
  <si>
    <t xml:space="preserve">CPFL_SINTETICA_Base_AFC_2025_registrada.csv.gz; PT 500</t>
  </si>
  <si>
    <t xml:space="preserve">501.000 linhas lidas; AFC = 36,5% do ativo</t>
  </si>
  <si>
    <t xml:space="preserve">E-11</t>
  </si>
  <si>
    <t xml:space="preserve">Registros individuais compatíveis com a conta</t>
  </si>
  <si>
    <t xml:space="preserve">Projeto B06; PT 500</t>
  </si>
  <si>
    <t xml:space="preserve">Unidade = bem cadastral; chaves únicas exceto 1.000 duplicidades do desenho</t>
  </si>
  <si>
    <t xml:space="preserve">E-12</t>
  </si>
  <si>
    <t xml:space="preserve">Justificar conta e materialidade</t>
  </si>
  <si>
    <t xml:space="preserve">PT 320; PT 500; D-ETAPA-01; D-B04-01</t>
  </si>
  <si>
    <t xml:space="preserve">Validado pelo aluno</t>
  </si>
  <si>
    <t xml:space="preserve">E-13</t>
  </si>
  <si>
    <t xml:space="preserve">Premissas e método de geração</t>
  </si>
  <si>
    <t xml:space="preserve">CPFL_B06_Projeto_Base_Sintetica; config_base_cpfl_v2.json</t>
  </si>
  <si>
    <t xml:space="preserve">Documento aprovado (D-B06-01/02)</t>
  </si>
  <si>
    <t xml:space="preserve">E-14</t>
  </si>
  <si>
    <t xml:space="preserve">Dicionário de variáveis</t>
  </si>
  <si>
    <t xml:space="preserve">Planilha B07 (aba de dicionário); PT 500</t>
  </si>
  <si>
    <t xml:space="preserve">13 campos documentados</t>
  </si>
  <si>
    <t xml:space="preserve">E-15</t>
  </si>
  <si>
    <t xml:space="preserve">Conciliar base com saldo contábil</t>
  </si>
  <si>
    <t xml:space="preserve">Planilha B07; PT 500</t>
  </si>
  <si>
    <t xml:space="preserve">Diferença R$ 0,00 no total e por distribuidora (reconferida em RV12-09)</t>
  </si>
  <si>
    <t xml:space="preserve">E-16</t>
  </si>
  <si>
    <t xml:space="preserve">Usar a base: amostras, exceções, avaliação</t>
  </si>
  <si>
    <t xml:space="preserve">PT 530, PT 450; planilha B08; testes_b08.py</t>
  </si>
  <si>
    <t xml:space="preserve">Reexecução idêntica (RV12-09)</t>
  </si>
  <si>
    <t xml:space="preserve">E-17</t>
  </si>
  <si>
    <t xml:space="preserve">GitHub com código, instruções e PTs</t>
  </si>
  <si>
    <t xml:space="preserve">Repositório (Bloco 13)</t>
  </si>
  <si>
    <t xml:space="preserve">Link acessível</t>
  </si>
  <si>
    <t xml:space="preserve">Pendente (B13)</t>
  </si>
  <si>
    <t xml:space="preserve">E-18</t>
  </si>
  <si>
    <t xml:space="preserve">Erros inseridos documentados e comparáveis</t>
  </si>
  <si>
    <t xml:space="preserve">Reservados (zip pós-congelamento); comparar_gabarito_b08.py; PT 530</t>
  </si>
  <si>
    <t xml:space="preserve">Comparação após congelamento</t>
  </si>
  <si>
    <t xml:space="preserve">E-19</t>
  </si>
  <si>
    <t xml:space="preserve">Dados expressamente sintéticos</t>
  </si>
  <si>
    <t xml:space="preserve">Campo origem_dados = SINTETICO; rótulos nos arquivos</t>
  </si>
  <si>
    <t xml:space="preserve">Leitura do arquivo (cabeçalho e 501.000 linhas)</t>
  </si>
  <si>
    <t xml:space="preserve">E-20</t>
  </si>
  <si>
    <t xml:space="preserve">9 campos mínimos em cada PT</t>
  </si>
  <si>
    <t xml:space="preserve">Modelo de PT (dossiê seção 5)</t>
  </si>
  <si>
    <t xml:space="preserve">Verificação automatizada sem campo vazio</t>
  </si>
  <si>
    <t xml:space="preserve">E-21</t>
  </si>
  <si>
    <t xml:space="preserve">Campo de revisão sem assinatura simulada</t>
  </si>
  <si>
    <t xml:space="preserve">Campo 9 de cada PT</t>
  </si>
  <si>
    <t xml:space="preserve">Em branco nos 27 PTs</t>
  </si>
  <si>
    <t xml:space="preserve">E-22</t>
  </si>
  <si>
    <t xml:space="preserve">Dossiê em PDF com referências cruzadas</t>
  </si>
  <si>
    <t xml:space="preserve">Dossiê v0.9 PDF/DOCX</t>
  </si>
  <si>
    <t xml:space="preserve">PDF gerado do mesmo DOCX</t>
  </si>
  <si>
    <t xml:space="preserve">Atendida (versão final no B13)</t>
  </si>
  <si>
    <t xml:space="preserve">E-23</t>
  </si>
  <si>
    <t xml:space="preserve">Base + dicionário no repositório ou link</t>
  </si>
  <si>
    <t xml:space="preserve">Repositório (B13)</t>
  </si>
  <si>
    <t xml:space="preserve">Link testado</t>
  </si>
  <si>
    <t xml:space="preserve">E-24</t>
  </si>
  <si>
    <t xml:space="preserve">Código de geração e análise</t>
  </si>
  <si>
    <t xml:space="preserve">gerar/verificar_base_cpfl_v2.py; testes_b08.py; avaliacao_complementar_b08.py</t>
  </si>
  <si>
    <t xml:space="preserve">Reexecução limpa (RV12-09)</t>
  </si>
  <si>
    <t xml:space="preserve">E-25</t>
  </si>
  <si>
    <t xml:space="preserve">Planilhas editáveis</t>
  </si>
  <si>
    <t xml:space="preserve">Planilhas B02, B04, B05, B07–B12</t>
  </si>
  <si>
    <t xml:space="preserve">0 erros de fórmula (RV12-07)</t>
  </si>
  <si>
    <t xml:space="preserve">E-26</t>
  </si>
  <si>
    <t xml:space="preserve">Matriz de cobertura das normas</t>
  </si>
  <si>
    <t xml:space="preserve">Controles B01 (Mapa_Normativo); esta aba; dossiê seção 2.3</t>
  </si>
  <si>
    <t xml:space="preserve">Norma → PT; versões conferidas</t>
  </si>
  <si>
    <t xml:space="preserve">E-27</t>
  </si>
  <si>
    <t xml:space="preserve">Relação das fontes e links</t>
  </si>
  <si>
    <t xml:space="preserve">Apêndice B</t>
  </si>
  <si>
    <t xml:space="preserve">URL e data</t>
  </si>
  <si>
    <t xml:space="preserve">E-28</t>
  </si>
  <si>
    <t xml:space="preserve">README com matrícula, organização e reprodução</t>
  </si>
  <si>
    <t xml:space="preserve">README.md (B13)</t>
  </si>
  <si>
    <t xml:space="preserve">Passos testados</t>
  </si>
  <si>
    <t xml:space="preserve">E-29</t>
  </si>
  <si>
    <t xml:space="preserve">Link de download se a base exceder o limite do GitHub</t>
  </si>
  <si>
    <t xml:space="preserve">Não necessário: base de 14,7 MB &lt; 25 MB do upload pela web</t>
  </si>
  <si>
    <t xml:space="preserve">Tamanho do arquivo</t>
  </si>
  <si>
    <t xml:space="preserve">Atendida (verificar no B13)</t>
  </si>
  <si>
    <t xml:space="preserve">E-30</t>
  </si>
  <si>
    <t xml:space="preserve">Seis programas por ciclo</t>
  </si>
  <si>
    <t xml:space="preserve">Dossiê seção 6</t>
  </si>
  <si>
    <t xml:space="preserve">PG-REC, PG-DISP, PG-EST, PG-IMOB, PG-PASS, PG-ESTIM</t>
  </si>
  <si>
    <t xml:space="preserve">E-31</t>
  </si>
  <si>
    <t xml:space="preserve">Conclusão integrada sem opinião profissional</t>
  </si>
  <si>
    <t xml:space="preserve">Dossiê seção 7</t>
  </si>
  <si>
    <t xml:space="preserve">Varredura RV12-11</t>
  </si>
  <si>
    <t xml:space="preserve">E-32</t>
  </si>
  <si>
    <t xml:space="preserve">Versões das normas aplicáveis a 2025</t>
  </si>
  <si>
    <t xml:space="preserve">Dossiê seção 2.3</t>
  </si>
  <si>
    <t xml:space="preserve">E-33</t>
  </si>
  <si>
    <t xml:space="preserve">Postar link até 25/10/2026 e verificar acesso do professor</t>
  </si>
  <si>
    <t xml:space="preserve">Ação do aluno (B13)</t>
  </si>
  <si>
    <t xml:space="preserve">Teste em janela anônima</t>
  </si>
  <si>
    <t xml:space="preserve">Pendente (aluno)</t>
  </si>
  <si>
    <t xml:space="preserve">Atendidas (fórmula)</t>
  </si>
  <si>
    <t xml:space="preserve">Pendentes</t>
  </si>
  <si>
    <t xml:space="preserve">Citações normativas item × página (NORMAS = CONSOLIDAÇÃO DAS NORMAS AUD 1.pdf)</t>
  </si>
  <si>
    <t xml:space="preserve">Gerado por b12_check_normas.py. "ok" = linha iniciada pelo número do item na página citada (ou na anterior, quando o item começa antes). Falsos positivos (notas da DF, itens A) conferidos à parte (RV12-06).</t>
  </si>
  <si>
    <t xml:space="preserve">Tipo</t>
  </si>
  <si>
    <t xml:space="preserve">Item</t>
  </si>
  <si>
    <t xml:space="preserve">Páginas</t>
  </si>
  <si>
    <t xml:space="preserve">Localizado</t>
  </si>
  <si>
    <t xml:space="preserve">Na página exata</t>
  </si>
  <si>
    <t xml:space="preserve">Contexto</t>
  </si>
  <si>
    <t xml:space="preserve">faixa</t>
  </si>
  <si>
    <t xml:space="preserve">37</t>
  </si>
  <si>
    <t xml:space="preserve">113-115</t>
  </si>
  <si>
    <t xml:space="preserve">NÃO</t>
  </si>
  <si>
    <t xml:space="preserve">não</t>
  </si>
  <si>
    <t xml:space="preserve">a 06) | Disponível | | Eventos subsequentes (PT 560) | Nota 37 (p. 113–115)</t>
  </si>
  <si>
    <t xml:space="preserve">9</t>
  </si>
  <si>
    <t xml:space="preserve">205-205</t>
  </si>
  <si>
    <t xml:space="preserve">sim</t>
  </si>
  <si>
    <t xml:space="preserve">NBC TA 260 (R2) (DOU 04/07/2016; NORMAS p. 203–224). Itens: 9 (objetivos; p. 205)</t>
  </si>
  <si>
    <t xml:space="preserve">11–13</t>
  </si>
  <si>
    <t xml:space="preserve">206-206</t>
  </si>
  <si>
    <t xml:space="preserve">/07/2016; NORMAS p. 203–224). Itens: 9 (objetivos; p. 205), 11–13 (identificar os responsáveis pela governança; comunicação com subgrupo ou comitê; p. 206)</t>
  </si>
  <si>
    <t xml:space="preserve">17</t>
  </si>
  <si>
    <t xml:space="preserve">207-207</t>
  </si>
  <si>
    <t xml:space="preserve">ação, (d) representações solicitadas, (e) outros assuntos), 17 (independência, entidades listadas; p. 207)</t>
  </si>
  <si>
    <t xml:space="preserve">22</t>
  </si>
  <si>
    <t xml:space="preserve">208-208</t>
  </si>
  <si>
    <t xml:space="preserve">rita das constatações significativas), 21 (tempestividade), 22 (adequação do processo; p. 208)</t>
  </si>
  <si>
    <t xml:space="preserve">5</t>
  </si>
  <si>
    <t xml:space="preserve">228-228</t>
  </si>
  <si>
    <t xml:space="preserve">. NBC TA 265 (Res. CFC 1.210/09; NORMAS p. 225–234). Itens: 5 (objetivo; p. 228)</t>
  </si>
  <si>
    <t xml:space="preserve">6</t>
  </si>
  <si>
    <t xml:space="preserve">229-229</t>
  </si>
  <si>
    <t xml:space="preserve"> 1.210/09; NORMAS p. 225–234). Itens: 5 (objetivo; p. 228), 6 (definições: deficiência e deficiência significativa; p. 229)</t>
  </si>
  <si>
    <t xml:space="preserve">10</t>
  </si>
  <si>
    <t xml:space="preserve">), 9 (comunicar por escrito à governança, tempestivamente), 10 (comunicar à administração; p. 229)</t>
  </si>
  <si>
    <t xml:space="preserve">11</t>
  </si>
  <si>
    <t xml:space="preserve">230-230</t>
  </si>
  <si>
    <t xml:space="preserve">, tempestivamente), 10 (comunicar à administração; p. 229), 11 (conteúdo da comunicação escrita; p. 230)</t>
  </si>
  <si>
    <t xml:space="preserve">33</t>
  </si>
  <si>
    <t xml:space="preserve">105-107</t>
  </si>
  <si>
    <t xml:space="preserve">de Gerenciamento de Riscos publicada (Drive pasta 03); nota 33 (gestão de riscos, p. 105–107)</t>
  </si>
  <si>
    <t xml:space="preserve">26</t>
  </si>
  <si>
    <t xml:space="preserve">385-385</t>
  </si>
  <si>
    <t xml:space="preserve">uer afirmação de suficiência, como pedem a NBC TA 330, item 26 (NORMAS p. 385)</t>
  </si>
  <si>
    <t xml:space="preserve">15</t>
  </si>
  <si>
    <t xml:space="preserve">536-536</t>
  </si>
  <si>
    <t xml:space="preserve">a NBC TA 330, item 26 (NORMAS p. 385), e a NBC TA 530, item 15 (p. 536)</t>
  </si>
  <si>
    <t xml:space="preserve">429-429</t>
  </si>
  <si>
    <t xml:space="preserve">016; NORMAS p. 427–445). Itens: 4 (definição de distorção), 5 (acumulação; p. 429)</t>
  </si>
  <si>
    <t xml:space="preserve">8</t>
  </si>
  <si>
    <t xml:space="preserve">430-430</t>
  </si>
  <si>
    <t xml:space="preserve">atégia quando as distorções se aproximam da materialidade), 8 (comunicação e correção; p. 430)</t>
  </si>
  <si>
    <t xml:space="preserve">433-434</t>
  </si>
  <si>
    <t xml:space="preserve">terialidade), 11 (relevância individual e em conjunto); A2–A6 (claramente trivial; distorção factual, de julgamento e projetada; p. 433–434)</t>
  </si>
  <si>
    <t xml:space="preserve">449-449</t>
  </si>
  <si>
    <t xml:space="preserve">rocedimentos apropriados), 7 (relevância e confiabilidade), 9 (informações produzidas pela entidade: exatidão, integridade, precisão e detalhamento; p. 449)</t>
  </si>
  <si>
    <t xml:space="preserve">4–8</t>
  </si>
  <si>
    <t xml:space="preserve">474-475</t>
  </si>
  <si>
    <t xml:space="preserve">mações por segmento. NBC TA 501 (NORMAS p. 471–482). Itens: 4–8 (estoques: acompanhamento da contagem, contagem em outra data, impossibilidade, estoque com terceiros; p. 474–475)</t>
  </si>
  <si>
    <t xml:space="preserve">9–12</t>
  </si>
  <si>
    <t xml:space="preserve">475-476</t>
  </si>
  <si>
    <t xml:space="preserve"> data, impossibilidade, estoque com terceiros; p. 474–475), 9–12 (litígios e reclamações: procedimentos para identificar, comunicação com advogados externos, recusa, representações; p. 475–476)</t>
  </si>
  <si>
    <t xml:space="preserve">13</t>
  </si>
  <si>
    <t xml:space="preserve">476-476</t>
  </si>
  <si>
    <t xml:space="preserve">om advogados externos, recusa, representações; p. 475–476), 13 (informações por segmento; p. 476)</t>
  </si>
  <si>
    <t xml:space="preserve">7</t>
  </si>
  <si>
    <t xml:space="preserve">489-489</t>
  </si>
  <si>
    <t xml:space="preserve">es: confirmação positiva, negativa, não resposta, exceção), 7 (controle do auditor sobre as solicitações; p. 489)</t>
  </si>
  <si>
    <t xml:space="preserve">16</t>
  </si>
  <si>
    <t xml:space="preserve">490-491</t>
  </si>
  <si>
    <t xml:space="preserve">ável), 14 (exceções), 15 (confirmação negativa: condições), 16 (avaliação; p. 490–491)</t>
  </si>
  <si>
    <t xml:space="preserve">533-534</t>
  </si>
  <si>
    <t xml:space="preserve">NBC TA 530 (Res. CFC 1.222/2009; NORMAS p. 530–548). Itens: 5 (definições: amostragem, risco de amostragem, anomalia, amostragem estatística, distorção tolerável; p. 533–534)</t>
  </si>
  <si>
    <t xml:space="preserve">6–8</t>
  </si>
  <si>
    <t xml:space="preserve">535-535</t>
  </si>
  <si>
    <t xml:space="preserve">, amostragem estatística, distorção tolerável; p. 533–534), 6–8 (definição, tamanho e seleção; p. 535)</t>
  </si>
  <si>
    <t xml:space="preserve">14</t>
  </si>
  <si>
    <t xml:space="preserve">ecução e substituição), 12–13 (natureza e causa; anomalia), 14 (projeção; p. 536)</t>
  </si>
  <si>
    <t xml:space="preserve">538-538</t>
  </si>
  <si>
    <t xml:space="preserve">ão; p. 536), 15 (avaliação); A3 (distorção tolerável), A10–A13 (tamanho e seleção; p. 538)</t>
  </si>
  <si>
    <t xml:space="preserve">23</t>
  </si>
  <si>
    <t xml:space="preserve">539-540</t>
  </si>
  <si>
    <t xml:space="preserve">orção tolerável), A10–A13 (tamanho e seleção; p. 538), A18–A23 (projeção e avaliação; p. 539–540)</t>
  </si>
  <si>
    <t xml:space="preserve">3</t>
  </si>
  <si>
    <t xml:space="preserve">544-545</t>
  </si>
  <si>
    <t xml:space="preserve"> 538), A18–A23 (projeção e avaliação; p. 539–540); Apêndice 3 (fatores de tamanho em testes de detalhes; p. 544–545)</t>
  </si>
  <si>
    <t xml:space="preserve">4</t>
  </si>
  <si>
    <t xml:space="preserve">547-547</t>
  </si>
  <si>
    <t xml:space="preserve">es de tamanho em testes de detalhes; p. 544–545) e Apêndice 4 (métodos de seleção; p. 547)</t>
  </si>
  <si>
    <t xml:space="preserve">dice 4 (métodos de seleção; p. 547). Apoio: NBC TA 500 item 10 (p. 449)</t>
  </si>
  <si>
    <t xml:space="preserve">21</t>
  </si>
  <si>
    <t xml:space="preserve">384-384</t>
  </si>
  <si>
    <t xml:space="preserve"> 547). Apoio: NBC TA 500 item 10 (p. 449) e NBC TA 330 item 21 (p. 384)</t>
  </si>
  <si>
    <t xml:space="preserve">553-553</t>
  </si>
  <si>
    <t xml:space="preserve">U 23/10/2019; NORMAS p. 548–599). Itens: 13 (entendimento), 14 (revisão retrospectiva; p. 553)</t>
  </si>
  <si>
    <t xml:space="preserve">16–17</t>
  </si>
  <si>
    <t xml:space="preserve">554-554</t>
  </si>
  <si>
    <t xml:space="preserve">ens: 13 (entendimento), 14 (revisão retrospectiva; p. 553), 16–17 (riscos inerentes: incerteza, complexidade, subjetividade; risco significativo; p. 554)</t>
  </si>
  <si>
    <t xml:space="preserve">22–27</t>
  </si>
  <si>
    <t xml:space="preserve">555-556</t>
  </si>
  <si>
    <t xml:space="preserve">etividade; risco significativo; p. 554), 18–21 (respostas), 22–27 (como a administração elaborou: métodos 23, premissas significativas 24, dados 25, incerteza e divulgação 26; p. 555–556)</t>
  </si>
  <si>
    <t xml:space="preserve">32</t>
  </si>
  <si>
    <t xml:space="preserve">557-557</t>
  </si>
  <si>
    <t xml:space="preserve">5–556), 28–29 (estimativa pontual ou intervalo do auditor), 32 (indicadores de viés; p. 557)</t>
  </si>
  <si>
    <t xml:space="preserve">33–36</t>
  </si>
  <si>
    <t xml:space="preserve">558-558</t>
  </si>
  <si>
    <t xml:space="preserve">ou intervalo do auditor), 32 (indicadores de viés; p. 557), 33–36 (avaliação geral e razoabilidade; p. 558)</t>
  </si>
  <si>
    <t xml:space="preserve">11–14</t>
  </si>
  <si>
    <t xml:space="preserve">606-606</t>
  </si>
  <si>
    <t xml:space="preserve">NBC TA 550 (Res. CFC 1.224/2009; NORMAS p. 600–624). Itens: 11–14 (entendimento: discussão da equipe, indagações, controles; p. 606)</t>
  </si>
  <si>
    <t xml:space="preserve">15–17</t>
  </si>
  <si>
    <t xml:space="preserve">607-607</t>
  </si>
  <si>
    <t xml:space="preserve">mento: discussão da equipe, indagações, controles; p. 606), 15–17 (alerta para relações e transações não divulgadas; p. 607)</t>
  </si>
  <si>
    <t xml:space="preserve">20–22</t>
  </si>
  <si>
    <t xml:space="preserve">608-608</t>
  </si>
  <si>
    <t xml:space="preserve">não divulgadas; p. 607), 18–19 (riscos; fatores de fraude), 20–22 (respostas; relações não identificadas antes; p. 608)</t>
  </si>
  <si>
    <t xml:space="preserve">24</t>
  </si>
  <si>
    <t xml:space="preserve">609-609</t>
  </si>
  <si>
    <t xml:space="preserve"> 608), 23 (transações significativas fora do curso normal), 24 (afirmação de condições equivalentes às de mercado; p. 609)</t>
  </si>
  <si>
    <t xml:space="preserve">28</t>
  </si>
  <si>
    <t xml:space="preserve">610-610</t>
  </si>
  <si>
    <t xml:space="preserve">s de mercado; p. 609), 25–26 (avaliação), 27 (comunicação), 28 (documentação; p. 610)</t>
  </si>
  <si>
    <t xml:space="preserve">31</t>
  </si>
  <si>
    <t xml:space="preserve">103-104</t>
  </si>
  <si>
    <t xml:space="preserve">-------| | 6. Evidências e referências cruzadas | DF25 nota 31 (p. 103–104)</t>
  </si>
  <si>
    <t xml:space="preserve">6–7</t>
  </si>
  <si>
    <t xml:space="preserve">628-628</t>
  </si>
  <si>
    <t xml:space="preserve"> data de aprovação, data do relatório, data de divulgação), 6–7 (procedimentos entre a data das DF e a do relatório; p. 628)</t>
  </si>
  <si>
    <t xml:space="preserve">629-629</t>
  </si>
  <si>
    <t xml:space="preserve">das DF e a do relatório; p. 628), 8 (ajuste ou divulgação), 9 (representação formal; p. 629)</t>
  </si>
  <si>
    <t xml:space="preserve">14–17</t>
  </si>
  <si>
    <t xml:space="preserve">630-631</t>
  </si>
  <si>
    <t xml:space="preserve"> (fatos conhecidos após o relatório e antes da divulgação), 14–17 (fatos conhecidos após a divulgação; p. 630–631)</t>
  </si>
  <si>
    <t xml:space="preserve">113-114</t>
  </si>
  <si>
    <t xml:space="preserve">ção, fontes e seleção | DF25 notas 2.1 (p. 45), 22 (p. 96), 37 (p. 113–114)</t>
  </si>
  <si>
    <t xml:space="preserve">10–11</t>
  </si>
  <si>
    <t xml:space="preserve">642-643</t>
  </si>
  <si>
    <t xml:space="preserve">ica a partir de 2027 — D-B01-02; NORMAS p. 639–659). Itens: 10–11 (avaliação de risco e atenção contínua; p. 642–643)</t>
  </si>
  <si>
    <t xml:space="preserve">12–14</t>
  </si>
  <si>
    <t xml:space="preserve">643-643</t>
  </si>
  <si>
    <t xml:space="preserve"> 10–11 (avaliação de risco e atenção contínua; p. 642–643), 12–14 (revisão da avaliação da administração; **13: período de pelo menos 12 meses a partir da data das DF**; p. 643)</t>
  </si>
  <si>
    <t xml:space="preserve">17–19</t>
  </si>
  <si>
    <t xml:space="preserve">644-644</t>
  </si>
  <si>
    <t xml:space="preserve">s: planos, previsão de caixa, fatos novos, representações), 17–19 (conclusão: incerteza relevante; p. 644)</t>
  </si>
  <si>
    <t xml:space="preserve">20–24</t>
  </si>
  <si>
    <t xml:space="preserve">645-645</t>
  </si>
  <si>
    <t xml:space="preserve">sentações), 17–19 (conclusão: incerteza relevante; p. 644), 20–24 (relatório; p. 645)</t>
  </si>
  <si>
    <t xml:space="preserve">662-662</t>
  </si>
  <si>
    <t xml:space="preserve">NBC TA 580 (R1) (DOU 05/09/2016; NORMAS p. 660–671). Itens: 6 (objetivos; p. 662)</t>
  </si>
  <si>
    <t xml:space="preserve">663-663</t>
  </si>
  <si>
    <t xml:space="preserve">/09/2016; NORMAS p. 660–671). Itens: 6 (objetivos; p. 662), 9 (a quem solicitar; p. 663)</t>
  </si>
  <si>
    <t xml:space="preserve">663-664</t>
  </si>
  <si>
    <t xml:space="preserve">662), 9 (a quem solicitar; p. 663), 10 (elaboração das DF), 11 (informações fornecidas e integridade das transações; p. 663–664)</t>
  </si>
  <si>
    <t xml:space="preserve">664-664</t>
  </si>
  <si>
    <t xml:space="preserve">o mais próxima possível, mas não posterior à do relatório), 15 (forma de carta; p. 664)</t>
  </si>
  <si>
    <t xml:space="preserve">19–20</t>
  </si>
  <si>
    <t xml:space="preserve">665-665</t>
  </si>
  <si>
    <t xml:space="preserve">, 16–18 (dúvidas sobre a confiabilidade e inconsistências), 19–20 (representações não fornecidas: efeito na opinião; p. 665)</t>
  </si>
  <si>
    <t xml:space="preserve">30</t>
  </si>
  <si>
    <t xml:space="preserve">103-103</t>
  </si>
  <si>
    <t xml:space="preserve">41–42), nota 13 (p. 69–74, inclusive 13.9.3 na p. 74), nota 30 (p. 103)</t>
  </si>
  <si>
    <t xml:space="preserve">3.394) de derivativos | Corrigido no PT 315 | | DV18 | Nota 30 (p. 103)</t>
  </si>
  <si>
    <t xml:space="preserve">Números-chave: ocorrências e variantes próximas no dossiê</t>
  </si>
  <si>
    <t xml:space="preserve">Gerado por b12_check_numeros.py.</t>
  </si>
  <si>
    <t xml:space="preserve">Número-chave</t>
  </si>
  <si>
    <t xml:space="preserve">Valor (R$ mil)</t>
  </si>
  <si>
    <t xml:space="preserve">Ocorrências</t>
  </si>
  <si>
    <t xml:space="preserve">Variantes próximas (possível erro)</t>
  </si>
  <si>
    <t xml:space="preserve">materialidade global</t>
  </si>
  <si>
    <t xml:space="preserve">404.562</t>
  </si>
  <si>
    <t xml:space="preserve">—</t>
  </si>
  <si>
    <t xml:space="preserve">execução</t>
  </si>
  <si>
    <t xml:space="preserve">303.421</t>
  </si>
  <si>
    <t xml:space="preserve">trivial</t>
  </si>
  <si>
    <t xml:space="preserve">20.228</t>
  </si>
  <si>
    <t xml:space="preserve">AFC</t>
  </si>
  <si>
    <t xml:space="preserve">29.623.619</t>
  </si>
  <si>
    <t xml:space="preserve">ativo total</t>
  </si>
  <si>
    <t xml:space="preserve">81.099.930</t>
  </si>
  <si>
    <t xml:space="preserve">LAIR</t>
  </si>
  <si>
    <t xml:space="preserve">8.091.246</t>
  </si>
  <si>
    <t xml:space="preserve">receita líquida</t>
  </si>
  <si>
    <t xml:space="preserve">44.367.780</t>
  </si>
  <si>
    <t xml:space="preserve">provisões</t>
  </si>
  <si>
    <t xml:space="preserve">1.740.903</t>
  </si>
  <si>
    <t xml:space="preserve">perdas possíveis</t>
  </si>
  <si>
    <t xml:space="preserve">10.748.481</t>
  </si>
  <si>
    <t xml:space="preserve">mútuo SGEL</t>
  </si>
  <si>
    <t xml:space="preserve">4.412.650</t>
  </si>
  <si>
    <t xml:space="preserve">IRRF Jantus</t>
  </si>
  <si>
    <t xml:space="preserve">139.291</t>
  </si>
  <si>
    <t xml:space="preserve">reclassificação 2026</t>
  </si>
  <si>
    <t xml:space="preserve">29.599.494</t>
  </si>
  <si>
    <t xml:space="preserve">distorção sintética</t>
  </si>
  <si>
    <t xml:space="preserve">117.484</t>
  </si>
  <si>
    <t xml:space="preserve">Paulista AFC</t>
  </si>
  <si>
    <t xml:space="preserve">12.617.237</t>
  </si>
  <si>
    <t xml:space="preserve">RGE AFC</t>
  </si>
  <si>
    <t xml:space="preserve">12.734.234</t>
  </si>
  <si>
    <t xml:space="preserve">Piratininga AFC</t>
  </si>
  <si>
    <t xml:space="preserve">3.836.600</t>
  </si>
  <si>
    <t xml:space="preserve">Santa Cruz AFC</t>
  </si>
  <si>
    <t xml:space="preserve">435.548</t>
  </si>
  <si>
    <t xml:space="preserve">435.547</t>
  </si>
  <si>
    <t xml:space="preserve">CCL</t>
  </si>
  <si>
    <t xml:space="preserve">1.259.649</t>
  </si>
  <si>
    <t xml:space="preserve">caixa+TVM</t>
  </si>
  <si>
    <t xml:space="preserve">2.905.082</t>
  </si>
  <si>
    <t xml:space="preserve">passivo 12m</t>
  </si>
  <si>
    <t xml:space="preserve">12.916.273</t>
  </si>
  <si>
    <t xml:space="preserve">Números citados com página da DF25 × texto da página</t>
  </si>
  <si>
    <t xml:space="preserve">Gerado por b12_check_fontes.py. Páginas 33–40 (demonstrações) são imagens transcritas no B02. Conferência visual adicional: p. 68 (1.285.173), p. 111 (4.958.307; 411.659), p. 113 (48.423.044; 12.916.273; 79.413.507; debêntures 30.641.585), p. 114 (1.700.000; 100.000).</t>
  </si>
  <si>
    <t xml:space="preserve">Número</t>
  </si>
  <si>
    <t xml:space="preserve">501.000</t>
  </si>
  <si>
    <t xml:space="preserve">34</t>
  </si>
  <si>
    <t xml:space="preserve">imagem (transcrição visual)</t>
  </si>
  <si>
    <t xml:space="preserve">A controladora individual é usada para a parte de *holding* e o PT 600. - **Normas:** NBC TA Estrutura Conceitual e NBC TA 200 a 600, nas versões aplicáveis ao exercício de 2025 (seção 2.3). - **Base </t>
  </si>
  <si>
    <t xml:space="preserve">500.000</t>
  </si>
  <si>
    <t xml:space="preserve">1.000</t>
  </si>
  <si>
    <t xml:space="preserve">1.632</t>
  </si>
  <si>
    <t xml:space="preserve">41</t>
  </si>
  <si>
    <t xml:space="preserve">ok</t>
  </si>
  <si>
    <t xml:space="preserve">| Sede | Rua Jorge Figueiredo Corrêa, 1.632 – parte, Campinas/SP | DF25 p. 41/9 |</t>
  </si>
  <si>
    <t xml:space="preserve">2.905</t>
  </si>
  <si>
    <t xml:space="preserve">Os contratos originais vencem em nov/2027, out/2028, nov/2027 e jul/2045, respectivamente (DF25 p. 41/9). - **Geração.** A CPFL Renováveis tinha 103 empreendimentos e 2.905,7 MW em 31/12/2025.</t>
  </si>
  <si>
    <t xml:space="preserve">81.156</t>
  </si>
  <si>
    <t xml:space="preserve">42</t>
  </si>
  <si>
    <t xml:space="preserve">Em 31/10/2025 arrematou o Lote 3 do Leilão 4/2025 da ANEEL: RAP de R$ 81.156 mil, CAPEX estimado de R$ 1.069.082 mil e operação prevista para fev/2030 (DF25 p. 42/10). - **Regulação.** É um setor regu</t>
  </si>
  <si>
    <t xml:space="preserve">1.069.082</t>
  </si>
  <si>
    <t xml:space="preserve">77.129.194</t>
  </si>
  <si>
    <t xml:space="preserve">| Ativo total | 81.099.930 | 77.129.194 | DF25 p. 34/2 |</t>
  </si>
  <si>
    <t xml:space="preserve">| Ativo total | 81.099.930 | 0,5% | 405.499,65 | DF25 p. 34/2 |</t>
  </si>
  <si>
    <t xml:space="preserve">25.209.768</t>
  </si>
  <si>
    <t xml:space="preserve">34, 68</t>
  </si>
  <si>
    <t xml:space="preserve">| Ativo financeiro da concessão | 29.623.619 (36,5% do ativo) | 25.209.768 | DF25 p. 34/2 e p. 68/36 |</t>
  </si>
  <si>
    <t xml:space="preserve">Conta / processo / divulgação | Ativo financeiro da concessão: R$ 29.623.619 mil (DF25 BP p. 34; nota 11 p. 68).</t>
  </si>
  <si>
    <t xml:space="preserve">16.616.314</t>
  </si>
  <si>
    <t xml:space="preserve">| Passivo circulante / ativo circulante | 17.875.963 / 16.616.314 (liquidez corrente 0,93) | 17.370.535 / 16.551.546 (0,95) | DF25 p. 34–35/2–3 |</t>
  </si>
  <si>
    <t xml:space="preserve">16.551.546</t>
  </si>
  <si>
    <t xml:space="preserve">17.370.535</t>
  </si>
  <si>
    <t xml:space="preserve">17.875.963</t>
  </si>
  <si>
    <t xml:space="preserve">29.055.727</t>
  </si>
  <si>
    <t xml:space="preserve">35</t>
  </si>
  <si>
    <t xml:space="preserve">| Empréstimos + debêntures (CP+LP) | 29.055.727 | 28.788.338 | DF25 p. 35/3 (cálculo próprio) |</t>
  </si>
  <si>
    <t xml:space="preserve">28.788.338</t>
  </si>
  <si>
    <t xml:space="preserve">21.795.029</t>
  </si>
  <si>
    <t xml:space="preserve">| PL total | 23.504.510 | 21.795.029 | DF25 p. 35/3 |</t>
  </si>
  <si>
    <t xml:space="preserve">23.504.510</t>
  </si>
  <si>
    <t xml:space="preserve">| Patrimônio líquido | 23.504.510 | 1% | 235.045,10 | DF25 p. 35/3 |</t>
  </si>
  <si>
    <t xml:space="preserve">36</t>
  </si>
  <si>
    <t xml:space="preserve">| Receita líquida | 44.367.780 | 0,5% | 221.838,90 | DF25 p. 36/4 |</t>
  </si>
  <si>
    <t xml:space="preserve">42.628.210</t>
  </si>
  <si>
    <t xml:space="preserve">| Receita operacional líquida | 44.367.780 | 42.628.210 | DF25 p. 36/4 |</t>
  </si>
  <si>
    <t xml:space="preserve">36, 39</t>
  </si>
  <si>
    <t xml:space="preserve">| Lucro antes dos tributos | 8.091.246 | 8.088.893 | DF25 p. 36/4 e p. 39/7 |</t>
  </si>
  <si>
    <t xml:space="preserve">8.088.893</t>
  </si>
  <si>
    <t xml:space="preserve">5.761.554</t>
  </si>
  <si>
    <t xml:space="preserve">| Lucro líquido | 5.742.552 | 5.761.554 | DF25 p. 36/4 |</t>
  </si>
  <si>
    <t xml:space="preserve">5.742.552</t>
  </si>
  <si>
    <t xml:space="preserve">7.162.797</t>
  </si>
  <si>
    <t xml:space="preserve">39</t>
  </si>
  <si>
    <t xml:space="preserve">| Caixa das atividades operacionais | 7.162.797 | 6.788.942 | DF25 p. 39/7 |</t>
  </si>
  <si>
    <t xml:space="preserve">6.788.942</t>
  </si>
  <si>
    <t xml:space="preserve">22.675.914</t>
  </si>
  <si>
    <t xml:space="preserve">A controladora individual será usada apenas para a parte de *holding*: investimentos de R$ 22.675.914 mil, dividendos e PT 600 (DF25 p. 34/2).</t>
  </si>
  <si>
    <t xml:space="preserve">Resposta: solicitar a correção da distorção conhecida e reavaliar no Bloco 11 com as distorções dos demais PTs. - Se a contrapartida for o resultado, o efeito no LAIR é de 1,45% (LAIR de R$ 8.091.246 </t>
  </si>
  <si>
    <t xml:space="preserve">715.764</t>
  </si>
  <si>
    <t xml:space="preserve">| DV11 | IR/CS a compensar (circulante) 2024: 716.764 × 715.764 | Corrigido (DF25 p. 34/2) |</t>
  </si>
  <si>
    <t xml:space="preserve">985.664</t>
  </si>
  <si>
    <t xml:space="preserve">Foram achados **4 erros de transcrição**: DV01 (129.659), DV11 (715.764), DV12 (985.664) e DV13 (10.778.490), todos na DF25 p. 34–36. 2.</t>
  </si>
  <si>
    <t xml:space="preserve">10.778.490</t>
  </si>
  <si>
    <t xml:space="preserve">129.659</t>
  </si>
  <si>
    <t xml:space="preserve">DF25 p. 34/2 mostra 129.659 | Corrigido; o ativo não circulante fecha sem diferença |</t>
  </si>
  <si>
    <t xml:space="preserve">1.763.858</t>
  </si>
  <si>
    <t xml:space="preserve">| Energia fornecida e **não faturada** (1.763.858) | Alta: estimativa com perdas técnicas e comerciais (DF25 p. 28, 54) | **Risco significativo de fraude** (R03) — ocorrência, corte e exatidão |</t>
  </si>
  <si>
    <t xml:space="preserve">2.229.320</t>
  </si>
  <si>
    <t xml:space="preserve">| Caixa e equivalentes (R$ 2.229.320 mil) | Baixo | Não avaliável | Moderado | DF25 p. 34 |</t>
  </si>
  <si>
    <t xml:space="preserve">28, 36</t>
  </si>
  <si>
    <t xml:space="preserve">DRE p. 36/4), receita não faturada (1.763.858; p. 28), estimativas (notas 11, 15, 7, 22) e lançamentos de fechamento. |</t>
  </si>
  <si>
    <t xml:space="preserve">3.519.769</t>
  </si>
  <si>
    <t xml:space="preserve">| Incentivo/pressão | Dividendos relevantes ao controlador (dividendos pagos 3.519.769 em 2025) | DF25 p. 39/7 | Fato |</t>
  </si>
  <si>
    <t xml:space="preserve">| Oportunidade | Transações com o controlador (mútuos de 4.412.650) | DF25 p. 35/3; nota 31 | Fato |</t>
  </si>
  <si>
    <t xml:space="preserve">5.616.000</t>
  </si>
  <si>
    <t xml:space="preserve">35, 85</t>
  </si>
  <si>
    <t xml:space="preserve">Execução no PT 540. - **(c) Transações significativas incomuns.** Mútuos com partes relacionadas, que subiram de 2.485.694 para 4.412.650 (BP p. 35/3), e a liquidação antecipada de 5.616.000 em debênt</t>
  </si>
  <si>
    <t xml:space="preserve">2.485.694</t>
  </si>
  <si>
    <t xml:space="preserve">12.068</t>
  </si>
  <si>
    <t xml:space="preserve">| Efeito direto | Contratos de concessão e Decreto 12.068/2024 (renovação) | Nota 1 p. 41;</t>
  </si>
  <si>
    <t xml:space="preserve">3.103.700</t>
  </si>
  <si>
    <t xml:space="preserve">101</t>
  </si>
  <si>
    <t xml:space="preserve">Lei 14.300/2022) | Nota 26.3–26.4 p. 101 | Receita e contas a receber da CDE | Conciliar receita CDE 3.103.700 [Pub] |</t>
  </si>
  <si>
    <t xml:space="preserve">14.300</t>
  </si>
  <si>
    <t xml:space="preserve">15.269</t>
  </si>
  <si>
    <t xml:space="preserve">113</t>
  </si>
  <si>
    <t xml:space="preserve">| Outras com efeito relevante | Lei 15.269/2025 (compensação por curtailment) | Nota 37.2 p. 113 | Ativo contingente não reconhecido | Avaliar divulgação [Pub] |</t>
  </si>
  <si>
    <t xml:space="preserve">51.712</t>
  </si>
  <si>
    <t xml:space="preserve">35, 95</t>
  </si>
  <si>
    <t xml:space="preserve">| Outras com efeito relevante | Legislação ambiental (provisões de desmobilização 175.276; incêndio — perda possível de 51.712) | BP p. 35/3; nota 22 p. 95 | Provisões e contingências | Leitura de not</t>
  </si>
  <si>
    <t xml:space="preserve">175.276</t>
  </si>
  <si>
    <t xml:space="preserve">100</t>
  </si>
  <si>
    <t xml:space="preserve">não localizado</t>
  </si>
  <si>
    <t xml:space="preserve">Os valores estão provisionados como obrigações especiais e passivos setoriais (nota 26.1, p. 100–101). - **Curtailment** (Lei 15.269/2025).</t>
  </si>
  <si>
    <t xml:space="preserve">95</t>
  </si>
  <si>
    <t xml:space="preserve">É um potencial ativo contingente, que exige avaliação da divulgação. - **Processos possíveis.** Entre eles, uma ação ambiental com perda possível de R$ 51.712 mil na CPFL Paulista e execuções fiscais </t>
  </si>
  <si>
    <t xml:space="preserve">96</t>
  </si>
  <si>
    <t xml:space="preserve">| DC-03 | Hipótese | Reconhecimento do IRRF Jantus (139.291) não demonstrado nas notas (DF25 p. 96) | Não avaliável sem acesso |</t>
  </si>
  <si>
    <t xml:space="preserve">44, 49</t>
  </si>
  <si>
    <t xml:space="preserve">| DC-04 | Real (divulgação) | Nota 1.3 (p. 44) sem quantificar o efeito possível da renovação; em 2026, 29.599.494 foram reclassificados (ITR 2T26 p. 49) | Ponto de divulgação, **não** deficiência de </t>
  </si>
  <si>
    <t xml:space="preserve">| Lucro antes dos tributos | 8.091.246 | 5% | **404.562,30** | DF25 p. 36/4 |</t>
  </si>
  <si>
    <t xml:space="preserve">221.838</t>
  </si>
  <si>
    <t xml:space="preserve">405.499</t>
  </si>
  <si>
    <t xml:space="preserve">235.045</t>
  </si>
  <si>
    <t xml:space="preserve">29</t>
  </si>
  <si>
    <t xml:space="preserve">| CPFL Paulista | 12.617.237 | DF Paulista, nota 11, p. 29 (impressa) | Realizado com evidência pública |</t>
  </si>
  <si>
    <t xml:space="preserve">| RGE | 12.734.234 | DF RGE, nota 11, p. 31 (impressa) | Realizado com evidência pública |</t>
  </si>
  <si>
    <t xml:space="preserve">| CPFL Piratininga | 3.836.600 | DF Piratininga, nota 11, p. 29 (impressa) | Realizado com evidência pública |</t>
  </si>
  <si>
    <t xml:space="preserve">805.776</t>
  </si>
  <si>
    <t xml:space="preserve">34, 94, 95, 103</t>
  </si>
  <si>
    <t xml:space="preserve">Conta / processo / divulgação | Estoques 236.566 (BP p. 34/2); provisões para riscos 1.740.903 e depósitos judiciais 805.776 (nota 22, p. 94/62); perdas possíveis 10.748.481 (p. 95/63); segmentos (not</t>
  </si>
  <si>
    <t xml:space="preserve">236.566</t>
  </si>
  <si>
    <t xml:space="preserve">6.377.562</t>
  </si>
  <si>
    <t xml:space="preserve">Conta / processo / divulgação | Caixa + TVM 2.905.082; mútuo SGEL 4.412.650; debêntures detidas pela SGBP 325.563; empréstimos e debêntures 29.055.727; derivativos 595.863; recebíveis 6.377.562; provi</t>
  </si>
  <si>
    <t xml:space="preserve">325.563</t>
  </si>
  <si>
    <t xml:space="preserve">595.863</t>
  </si>
  <si>
    <t xml:space="preserve">44</t>
  </si>
  <si>
    <t xml:space="preserve">| Liquidez corrente | 0,93 | 0,95 | CCL negativo de 1.259.649 (nota 1.4, p. 44/12) → R17, PT 570 |</t>
  </si>
  <si>
    <t xml:space="preserve">3.452</t>
  </si>
  <si>
    <t xml:space="preserve">- **Documentado:** em 2025, a Paulista teve **reajuste anual (RTA)** em 29/04/2025 (REH nº 3.452), e não revisão periódica (DF25 nota 26.2, p. 101/69).</t>
  </si>
  <si>
    <t xml:space="preserve">1.285.173</t>
  </si>
  <si>
    <t xml:space="preserve">68, 110</t>
  </si>
  <si>
    <t xml:space="preserve">O ganho reconhecido de 1.172.082 (nota 34 c, p. 110/78) é igual ao VNR de 1.285.173 menos a baixa da atualização de 113.091 (nota 11, p. 68).</t>
  </si>
  <si>
    <t xml:space="preserve">1.172.082</t>
  </si>
  <si>
    <t xml:space="preserve">113.091</t>
  </si>
  <si>
    <t xml:space="preserve">13.175.047</t>
  </si>
  <si>
    <t xml:space="preserve">49</t>
  </si>
  <si>
    <t xml:space="preserve">RGE 13.175.047 (ITR 2T26 nota 11, p. 49/15).</t>
  </si>
  <si>
    <t xml:space="preserve">80.597</t>
  </si>
  <si>
    <t xml:space="preserve">104</t>
  </si>
  <si>
    <t xml:space="preserve">| Pessoal-chave da administração | Remuneração de 80.523 (80.597 em 2024) | Nota 31, p. 104/72 |</t>
  </si>
  <si>
    <t xml:space="preserve">80.523</t>
  </si>
  <si>
    <t xml:space="preserve">4.958.307</t>
  </si>
  <si>
    <t xml:space="preserve">104, 111</t>
  </si>
  <si>
    <t xml:space="preserve">- **Mútuo com a SGEL:**   - **Contraparte e termos:** contratos das controladas Paulista, Piratininga, RGE, Santa Cruz e CPFL Brasil com a SGEL; vencimento em setembro de 2028; juros semestrais a part</t>
  </si>
  <si>
    <t xml:space="preserve">60.950</t>
  </si>
  <si>
    <t xml:space="preserve">68, 96</t>
  </si>
  <si>
    <t xml:space="preserve">| IRRF Jantus: decisão definitiva em nov/2025; débito de 139.291; quitado em jan/2026 por 60.950 | **Condição existente em 31/12** (obrigação presente) → ajuste | Descrito na nota 22 (p. 96/64) e na n</t>
  </si>
  <si>
    <t xml:space="preserve">100.000</t>
  </si>
  <si>
    <t xml:space="preserve">114</t>
  </si>
  <si>
    <t xml:space="preserve">Transmissão 100.000) | Condição posterior → divulgação | Nota 37.3, p. 114/82 | Adequado |</t>
  </si>
  <si>
    <t xml:space="preserve">1.805.000</t>
  </si>
  <si>
    <t xml:space="preserve">49, 55</t>
  </si>
  <si>
    <t xml:space="preserve">- **06/04/2026:** despacho do MME. - **06/05/2026:** assinatura dos aditivos e prorrogação por 30 anos (ITR 1T26 nota 23.3, p. 55/22). - **No ITR do 2T26:** reclassificação prospectiva de 29.599.494 d</t>
  </si>
  <si>
    <t xml:space="preserve">200.000</t>
  </si>
  <si>
    <t xml:space="preserve">44, 82, 113</t>
  </si>
  <si>
    <t xml:space="preserve">Conta / processo / divulgação | Capital circulante líquido −1.259.649 (nota 1.4, p. 44/12); passivos financeiros não descontados de 48.423.044 (nota 34 g, p. 113/81); dívida bruta de 29.055.727; compr</t>
  </si>
  <si>
    <t xml:space="preserve">79.413.507</t>
  </si>
  <si>
    <t xml:space="preserve">48.423.044</t>
  </si>
  <si>
    <t xml:space="preserve">13.280</t>
  </si>
  <si>
    <t xml:space="preserve">82</t>
  </si>
  <si>
    <t xml:space="preserve">Para as distribuidoras, dívida líquida/EBITDA ≤ 4,00 (notas 18–19, p. 82–83). - **Posição divulgada:** a administração informa **2,30x** de dívida líquida/EBITDA no critério dos covenants (release 4T2</t>
  </si>
  <si>
    <t xml:space="preserve">30.530</t>
  </si>
  <si>
    <t xml:space="preserve">380.803</t>
  </si>
  <si>
    <t xml:space="preserve">34, 74</t>
  </si>
  <si>
    <t xml:space="preserve">O investimento total no consolidado é de 380.803 (BP p. 34/2).   - **Julgamento relevante:** mesmo com mais de 50% das ações da Chapecoense, a CPFL Geração a trata como controle conjunto com base no a</t>
  </si>
  <si>
    <t xml:space="preserve">103</t>
  </si>
  <si>
    <t xml:space="preserve">A classificação contábil não foi verificada; uma possibilidade é a linha "investimentos em instrumentos patrimoniais" (129.659). - **Controlador:** State Grid Brazil Power Participações S.A. (nota 31,</t>
  </si>
  <si>
    <t xml:space="preserve">22.557</t>
  </si>
  <si>
    <t xml:space="preserve">71, 113</t>
  </si>
  <si>
    <t xml:space="preserve">- **Venda da EPASA** (junho/2025): baixa de investimento de 152.888 e despesa líquida de 92.325 (nota 13.4, p. 71). - **Reestruturações de 2025:**   - cisão de 1,85% da CPFL Renováveis, que passou a s</t>
  </si>
  <si>
    <t xml:space="preserve">3.330.455</t>
  </si>
  <si>
    <t xml:space="preserve">92.325</t>
  </si>
  <si>
    <t xml:space="preserve">152.888</t>
  </si>
  <si>
    <t xml:space="preserve">716.764</t>
  </si>
  <si>
    <t xml:space="preserve">| DV12 | Despesas com vendas 2025: 986.664 × 985.664 | Corrigido (DF25 p. 36/4) |</t>
  </si>
  <si>
    <t xml:space="preserve">986.664</t>
  </si>
  <si>
    <t xml:space="preserve">10.776.490</t>
  </si>
  <si>
    <t xml:space="preserve">| DV13 | Resultado do serviço 2025: 10.776.490 × 10.778.490 | Corrigido (DF25 p. 36/4) |</t>
  </si>
  <si>
    <t xml:space="preserve">269.975</t>
  </si>
  <si>
    <t xml:space="preserve">| DV18 | Nota 30 (p. 103): aquisições do segmento de geração lidas como 259.975 na primeira transcrição; a imagem ampliada mostra 269.975 | Corrigido; a soma dos segmentos passou a conciliar com o tot</t>
  </si>
  <si>
    <t xml:space="preserve">6.112.098</t>
  </si>
  <si>
    <t xml:space="preserve">259.975</t>
  </si>
  <si>
    <t xml:space="preserve">43</t>
  </si>
  <si>
    <t xml:space="preserve">| FC24 | ITR 2TRI 2026 (notas 1.2 e 11: assinatura dos aditivos em 06/05/2026 e reclassificação de 29.599.494 do ativo financeiro para o intangível) | p. 43 e 49 | Drive (pasta 01) | 23/10/2026 |</t>
  </si>
  <si>
    <t xml:space="preserve">Reprodução em pasta limpa (23/10/2026, 21h05)</t>
  </si>
  <si>
    <t xml:space="preserve">Comandos: python gerar_base_cpfl_v2.py; python verificar_base_cpfl_v2.py; python testes_b08.py; python avaliacao_complementar_b08.py (estrutura de pastas: base_v2/ e testes_b08/ lado a lado).</t>
  </si>
  <si>
    <t xml:space="preserve">Arquivo</t>
  </si>
  <si>
    <t xml:space="preserve">SHA-256 (16 primeiros) original = reprodução</t>
  </si>
  <si>
    <t xml:space="preserve">Resultado</t>
  </si>
  <si>
    <t xml:space="preserve">CPFL_SINTETICA_Base_AFC_2025_registrada.csv.gz</t>
  </si>
  <si>
    <t xml:space="preserve">877d4a0256af842b (completo: 877d4a0256af842b859617f22c71678f30749e75b724c20cd205895ef85e4bb0)</t>
  </si>
  <si>
    <t xml:space="preserve">Idêntico</t>
  </si>
  <si>
    <t xml:space="preserve">Reservado: base de referência</t>
  </si>
  <si>
    <t xml:space="preserve">48652ae2da56…</t>
  </si>
  <si>
    <t xml:space="preserve">Reservado: ponte</t>
  </si>
  <si>
    <t xml:space="preserve">7eabcc92f3d2…</t>
  </si>
  <si>
    <t xml:space="preserve">Reservado: registro de erros</t>
  </si>
  <si>
    <t xml:space="preserve">45e3ec3eba8d…</t>
  </si>
  <si>
    <t xml:space="preserve">T1_duplicidades.csv</t>
  </si>
  <si>
    <t xml:space="preserve">5b44a25b9239a200</t>
  </si>
  <si>
    <t xml:space="preserve">T2_baixados_com_valor.csv</t>
  </si>
  <si>
    <t xml:space="preserve">f7c2c123f16a6499</t>
  </si>
  <si>
    <t xml:space="preserve">T3_recalculo_divergente.csv</t>
  </si>
  <si>
    <t xml:space="preserve">e63489d299450916</t>
  </si>
  <si>
    <t xml:space="preserve">T4_residual_incoerente.csv</t>
  </si>
  <si>
    <t xml:space="preserve">a8e7dfda972250e6</t>
  </si>
  <si>
    <t xml:space="preserve">MUS_amostra_resultados.csv</t>
  </si>
  <si>
    <t xml:space="preserve">f681a63763e1afb5</t>
  </si>
  <si>
    <t xml:space="preserve">MUS_ampliacao_residual.csv</t>
  </si>
  <si>
    <t xml:space="preserve">aa4fb53d279d77ac</t>
  </si>
  <si>
    <t xml:space="preserve">resultados_b08.json / avaliacao_complementar_b08.json</t>
  </si>
  <si>
    <t xml:space="preserve">hashes diferentes</t>
  </si>
  <si>
    <t xml:space="preserve">Diferem só em executado_em e duracao_s (metadados)</t>
  </si>
  <si>
    <t xml:space="preserve">Contagem de linhas (zcat | wc -l)</t>
  </si>
  <si>
    <t xml:space="preserve">501.001 = cabeçalho + 501.000 registros</t>
  </si>
  <si>
    <t xml:space="preserve">OK (≥ 500.000)</t>
  </si>
  <si>
    <t xml:space="preserve">Verificador</t>
  </si>
  <si>
    <t xml:space="preserve">falhas_de_geracao = {}; diferença total R$ 0,00</t>
  </si>
  <si>
    <t xml:space="preserve">OK</t>
  </si>
  <si>
    <t xml:space="preserve">Tempo de geração</t>
  </si>
  <si>
    <t xml:space="preserve">16,8 s</t>
  </si>
  <si>
    <t xml:space="preserve">PT 520 — Revisão analítica final das DF (item 6) — BP e DRE consolidados (R$ mil)</t>
  </si>
  <si>
    <t xml:space="preserve">Fonte: DF25 p. 34–36/2–4 (valores da planilha B02, conferidos na imagem). Entradas em azul; variações por fórmula.</t>
  </si>
  <si>
    <t xml:space="preserve">Linha / indicador</t>
  </si>
  <si>
    <t xml:space="preserve">2025</t>
  </si>
  <si>
    <t xml:space="preserve">2024</t>
  </si>
  <si>
    <t xml:space="preserve">Variação</t>
  </si>
  <si>
    <t xml:space="preserve">Var. %</t>
  </si>
  <si>
    <t xml:space="preserve">Leitura</t>
  </si>
  <si>
    <t xml:space="preserve">Receita operacional líquida</t>
  </si>
  <si>
    <t xml:space="preserve">Reajustes tarifários (nota 26)</t>
  </si>
  <si>
    <t xml:space="preserve">Custo com energia elétrica</t>
  </si>
  <si>
    <t xml:space="preserve">Parcela A repassada</t>
  </si>
  <si>
    <t xml:space="preserve">Lucro operacional bruto</t>
  </si>
  <si>
    <t xml:space="preserve">Resultado do serviço</t>
  </si>
  <si>
    <t xml:space="preserve">Despesas financeiras</t>
  </si>
  <si>
    <t xml:space="preserve">CDI/SELIC 14,90% (nota 34 e.2, p. 111)</t>
  </si>
  <si>
    <t xml:space="preserve">Lucro antes dos tributos</t>
  </si>
  <si>
    <t xml:space="preserve">IR + CS</t>
  </si>
  <si>
    <t xml:space="preserve">Ativo total</t>
  </si>
  <si>
    <t xml:space="preserve">Ativo financeiro da concessão</t>
  </si>
  <si>
    <t xml:space="preserve">VNR acima da expectativa (PB09-01)</t>
  </si>
  <si>
    <t xml:space="preserve">Ativo contratual (circ. + não circ.)</t>
  </si>
  <si>
    <t xml:space="preserve">Ativo financeiro setorial (circ. + não circ.)</t>
  </si>
  <si>
    <t xml:space="preserve">Nota 9: CVA e transferência de 1.844.610</t>
  </si>
  <si>
    <t xml:space="preserve">Passivo financeiro setorial</t>
  </si>
  <si>
    <t xml:space="preserve">PIS/COFINS devolução consumidores</t>
  </si>
  <si>
    <t xml:space="preserve">Transferência para o setorial</t>
  </si>
  <si>
    <t xml:space="preserve">Empréstimos + debêntures</t>
  </si>
  <si>
    <t xml:space="preserve">Mútuo com partes relacionadas</t>
  </si>
  <si>
    <t xml:space="preserve">SGBP → SGEL (PT 550)</t>
  </si>
  <si>
    <t xml:space="preserve">Caixa + TVM</t>
  </si>
  <si>
    <t xml:space="preserve">Dividendos e amortizações (não decomposto)</t>
  </si>
  <si>
    <t xml:space="preserve">Patrimônio líquido</t>
  </si>
  <si>
    <t xml:space="preserve">Margem bruta</t>
  </si>
  <si>
    <t xml:space="preserve">Estável</t>
  </si>
  <si>
    <t xml:space="preserve">Resultado do serviço ÷ receita</t>
  </si>
  <si>
    <t xml:space="preserve">Taxa efetiva (IR + CS ÷ LAIR)</t>
  </si>
  <si>
    <t xml:space="preserve">Posição setorial líquida (ativo − passivo)</t>
  </si>
  <si>
    <t xml:space="preserve">2025 = 411.660; nota 34 e.2 (p. 111): 411.659 (±1)</t>
  </si>
  <si>
    <t xml:space="preserve">Eventos subsequentes — corte final em 23/10/2026 (RI CPFL, lista de 2026 relida)</t>
  </si>
  <si>
    <t xml:space="preserve">Itens novos em relação à versão do Bloco 10. Fonte: FC32.</t>
  </si>
  <si>
    <t xml:space="preserve">Data</t>
  </si>
  <si>
    <t xml:space="preserve">Documento</t>
  </si>
  <si>
    <t xml:space="preserve">Classificação</t>
  </si>
  <si>
    <t xml:space="preserve">Efeito</t>
  </si>
  <si>
    <t xml:space="preserve">23/01 e 02/02/2026</t>
  </si>
  <si>
    <t xml:space="preserve">Fatos relevantes — reorganização societária</t>
  </si>
  <si>
    <t xml:space="preserve">Já tratado (nota 37.1)</t>
  </si>
  <si>
    <t xml:space="preserve">Nenhum</t>
  </si>
  <si>
    <t xml:space="preserve">06/03/2026</t>
  </si>
  <si>
    <t xml:space="preserve">Fato relevante — renúncia de membro do CA</t>
  </si>
  <si>
    <t xml:space="preserve">Após o relatório</t>
  </si>
  <si>
    <t xml:space="preserve">Nenhum nas DF de 2025</t>
  </si>
  <si>
    <t xml:space="preserve">10–17/03/2026</t>
  </si>
  <si>
    <t xml:space="preserve">21ª emissão (CPFL Energia) e 8ª emissão (CPFL Santa Cruz) de debêntures</t>
  </si>
  <si>
    <t xml:space="preserve">Captação</t>
  </si>
  <si>
    <t xml:space="preserve">Atenuante de liquidez (PT 570)</t>
  </si>
  <si>
    <t xml:space="preserve">01–10/09/2026</t>
  </si>
  <si>
    <t xml:space="preserve">19ª emissão de debêntures: escritura e anúncio de início</t>
  </si>
  <si>
    <t xml:space="preserve">Idem</t>
  </si>
  <si>
    <t xml:space="preserve">29/04–02/10/2026</t>
  </si>
  <si>
    <t xml:space="preserve">Avisos de dividendos (6)</t>
  </si>
  <si>
    <t xml:space="preserve">Pagamento da proposta de 2025</t>
  </si>
  <si>
    <t xml:space="preserve">Já considerado</t>
  </si>
  <si>
    <t xml:space="preserve">15/10/2026</t>
  </si>
  <si>
    <t xml:space="preserve">Atas da 585ª e 586ª RCA</t>
  </si>
  <si>
    <t xml:space="preserve">Não lidas</t>
  </si>
  <si>
    <t xml:space="preserve">23/10/2026</t>
  </si>
  <si>
    <t xml:space="preserve">Corte: nenhum fato relevante após 08/05/2026; 3T26 em 16/11/2026</t>
  </si>
  <si>
    <t xml:space="preserve">Corte final</t>
  </si>
  <si>
    <t xml:space="preserve">Conclusão inalterada</t>
  </si>
  <si>
    <t xml:space="preserve">Pontos para validação do aluno antes da montagem final (Bloco 13)</t>
  </si>
  <si>
    <t xml:space="preserve">A validação não transforma hipótese em fato nem procedimento planejado em executado.</t>
  </si>
  <si>
    <t xml:space="preserve">Nº</t>
  </si>
  <si>
    <t xml:space="preserve">Ponto</t>
  </si>
  <si>
    <t xml:space="preserve">Recomendação</t>
  </si>
  <si>
    <t xml:space="preserve">Alternativa</t>
  </si>
  <si>
    <t xml:space="preserve">Conferência DF25 × base da CVM (PB01-01) bloqueada no ambiente</t>
  </si>
  <si>
    <t xml:space="preserve">Manter como limitação declarada (o PDF da DF25 é a fonte primária e conciliou internamente)</t>
  </si>
  <si>
    <t xml:space="preserve">Aluno baixa dfp_cia_aberta_2025.zip (12 MB) de dados.cvm.gov.br e salva no Drive; executo a conferência</t>
  </si>
  <si>
    <t xml:space="preserve">Atas de 15/10/2026 e valores das emissões de 2026 não lidos</t>
  </si>
  <si>
    <t xml:space="preserve">Manter como limitação: não alteram as DF de 2025 nem a conclusão</t>
  </si>
  <si>
    <t xml:space="preserve">Aluno abre as atas no RI e salva os PDFs no Drive para leitura</t>
  </si>
  <si>
    <t xml:space="preserve">Entregar o dossiê v0.9 (sem pendência obrigatória de conteúdo) como base da versão final do Bloco 13</t>
  </si>
  <si>
    <t xml:space="preserve">Aprovar; no B13 mudar o rótulo "em elaboração" para versão final 1.0 e montar o repositório</t>
  </si>
  <si>
    <t xml:space="preserve">Pedir nova rodada de revisão de algum PT específico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</si>
</sst>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(#,##0\);\-"/>
    <numFmt numFmtId="166" formatCode="0.0%;\(0.0%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FF2CC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E2EFDA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26.85" hidden="false" customHeight="false" outlineLevel="0" collapsed="false">
      <c r="A3" s="2" t="s">
        <v>2</v>
      </c>
    </row>
    <row r="4" customFormat="false" ht="39.55" hidden="false" customHeight="false" outlineLevel="0" collapsed="false">
      <c r="A4" s="2" t="s">
        <v>3</v>
      </c>
    </row>
    <row r="5" customFormat="false" ht="26.85" hidden="false" customHeight="false" outlineLevel="0" collapsed="false">
      <c r="A5" s="2" t="s">
        <v>4</v>
      </c>
    </row>
    <row r="6" customFormat="false" ht="26.85" hidden="false" customHeight="false" outlineLevel="0" collapsed="false">
      <c r="A6" s="2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8"/>
    <col collapsed="false" customWidth="true" hidden="false" outlineLevel="0" max="3" min="3" style="0" width="40"/>
    <col collapsed="false" customWidth="true" hidden="false" outlineLevel="0" max="5" min="4" style="0" width="46"/>
    <col collapsed="false" customWidth="true" hidden="false" outlineLevel="0" max="6" min="6" style="0" width="22"/>
  </cols>
  <sheetData>
    <row r="1" customFormat="false" ht="15" hidden="false" customHeight="false" outlineLevel="0" collapsed="false">
      <c r="A1" s="3" t="s">
        <v>6</v>
      </c>
    </row>
    <row r="2" customFormat="false" ht="15" hidden="false" customHeight="false" outlineLevel="0" collapsed="false">
      <c r="A2" s="4" t="s">
        <v>2</v>
      </c>
    </row>
    <row r="4" customFormat="false" ht="15" hidden="false" customHeight="false" outlineLevel="0" collapsed="false">
      <c r="A4" s="5" t="s">
        <v>7</v>
      </c>
      <c r="B4" s="5" t="s">
        <v>8</v>
      </c>
      <c r="C4" s="5" t="s">
        <v>9</v>
      </c>
      <c r="D4" s="5" t="s">
        <v>10</v>
      </c>
      <c r="E4" s="5" t="s">
        <v>11</v>
      </c>
      <c r="F4" s="5" t="s">
        <v>12</v>
      </c>
    </row>
    <row r="5" customFormat="false" ht="64.9" hidden="false" customHeight="false" outlineLevel="0" collapsed="false">
      <c r="A5" s="6" t="s">
        <v>13</v>
      </c>
      <c r="B5" s="6" t="s">
        <v>14</v>
      </c>
      <c r="C5" s="6" t="s">
        <v>15</v>
      </c>
      <c r="D5" s="6" t="s">
        <v>16</v>
      </c>
      <c r="E5" s="6" t="s">
        <v>17</v>
      </c>
      <c r="F5" s="6" t="s">
        <v>18</v>
      </c>
    </row>
    <row r="6" customFormat="false" ht="64.9" hidden="false" customHeight="false" outlineLevel="0" collapsed="false">
      <c r="A6" s="7" t="s">
        <v>19</v>
      </c>
      <c r="B6" s="7" t="s">
        <v>20</v>
      </c>
      <c r="C6" s="7" t="s">
        <v>21</v>
      </c>
      <c r="D6" s="7" t="s">
        <v>22</v>
      </c>
      <c r="E6" s="7" t="s">
        <v>23</v>
      </c>
      <c r="F6" s="7" t="s">
        <v>18</v>
      </c>
    </row>
    <row r="7" customFormat="false" ht="64.9" hidden="false" customHeight="false" outlineLevel="0" collapsed="false">
      <c r="A7" s="8" t="s">
        <v>24</v>
      </c>
      <c r="B7" s="8" t="s">
        <v>25</v>
      </c>
      <c r="C7" s="8" t="s">
        <v>26</v>
      </c>
      <c r="D7" s="8" t="s">
        <v>27</v>
      </c>
      <c r="E7" s="8" t="s">
        <v>28</v>
      </c>
      <c r="F7" s="8" t="s">
        <v>18</v>
      </c>
    </row>
    <row r="8" customFormat="false" ht="77.6" hidden="false" customHeight="false" outlineLevel="0" collapsed="false">
      <c r="A8" s="7" t="s">
        <v>29</v>
      </c>
      <c r="B8" s="7" t="s">
        <v>20</v>
      </c>
      <c r="C8" s="7" t="s">
        <v>30</v>
      </c>
      <c r="D8" s="7" t="s">
        <v>31</v>
      </c>
      <c r="E8" s="7" t="s">
        <v>32</v>
      </c>
      <c r="F8" s="7" t="s">
        <v>33</v>
      </c>
    </row>
    <row r="9" customFormat="false" ht="39.55" hidden="false" customHeight="false" outlineLevel="0" collapsed="false">
      <c r="A9" s="7" t="s">
        <v>34</v>
      </c>
      <c r="B9" s="7" t="s">
        <v>20</v>
      </c>
      <c r="C9" s="7" t="s">
        <v>35</v>
      </c>
      <c r="D9" s="7" t="s">
        <v>36</v>
      </c>
      <c r="E9" s="7" t="s">
        <v>37</v>
      </c>
      <c r="F9" s="7" t="s">
        <v>38</v>
      </c>
    </row>
    <row r="10" customFormat="false" ht="64.9" hidden="false" customHeight="false" outlineLevel="0" collapsed="false">
      <c r="A10" s="9" t="s">
        <v>39</v>
      </c>
      <c r="B10" s="9" t="s">
        <v>40</v>
      </c>
      <c r="C10" s="9" t="s">
        <v>41</v>
      </c>
      <c r="D10" s="9" t="s">
        <v>42</v>
      </c>
      <c r="E10" s="9" t="s">
        <v>43</v>
      </c>
      <c r="F10" s="9" t="s">
        <v>44</v>
      </c>
    </row>
    <row r="11" customFormat="false" ht="52.2" hidden="false" customHeight="false" outlineLevel="0" collapsed="false">
      <c r="A11" s="9" t="s">
        <v>45</v>
      </c>
      <c r="B11" s="9" t="s">
        <v>40</v>
      </c>
      <c r="C11" s="9" t="s">
        <v>46</v>
      </c>
      <c r="D11" s="9" t="s">
        <v>47</v>
      </c>
      <c r="E11" s="9" t="s">
        <v>48</v>
      </c>
      <c r="F11" s="9" t="s">
        <v>44</v>
      </c>
    </row>
    <row r="12" customFormat="false" ht="90.25" hidden="false" customHeight="false" outlineLevel="0" collapsed="false">
      <c r="A12" s="9" t="s">
        <v>49</v>
      </c>
      <c r="B12" s="9" t="s">
        <v>40</v>
      </c>
      <c r="C12" s="9" t="s">
        <v>50</v>
      </c>
      <c r="D12" s="9" t="s">
        <v>51</v>
      </c>
      <c r="E12" s="9" t="s">
        <v>52</v>
      </c>
      <c r="F12" s="9" t="s">
        <v>53</v>
      </c>
    </row>
    <row r="13" customFormat="false" ht="90.25" hidden="false" customHeight="false" outlineLevel="0" collapsed="false">
      <c r="A13" s="9" t="s">
        <v>54</v>
      </c>
      <c r="B13" s="9" t="s">
        <v>40</v>
      </c>
      <c r="C13" s="9" t="s">
        <v>55</v>
      </c>
      <c r="D13" s="9" t="s">
        <v>56</v>
      </c>
      <c r="E13" s="9" t="s">
        <v>48</v>
      </c>
      <c r="F13" s="9" t="s">
        <v>44</v>
      </c>
    </row>
    <row r="14" customFormat="false" ht="26.85" hidden="false" customHeight="false" outlineLevel="0" collapsed="false">
      <c r="A14" s="8" t="s">
        <v>57</v>
      </c>
      <c r="B14" s="8" t="s">
        <v>25</v>
      </c>
      <c r="C14" s="8" t="s">
        <v>58</v>
      </c>
      <c r="D14" s="8" t="s">
        <v>59</v>
      </c>
      <c r="E14" s="8" t="s">
        <v>60</v>
      </c>
      <c r="F14" s="8" t="s">
        <v>61</v>
      </c>
    </row>
    <row r="15" customFormat="false" ht="39.55" hidden="false" customHeight="false" outlineLevel="0" collapsed="false">
      <c r="A15" s="9" t="s">
        <v>62</v>
      </c>
      <c r="B15" s="9" t="s">
        <v>40</v>
      </c>
      <c r="C15" s="9" t="s">
        <v>63</v>
      </c>
      <c r="D15" s="9" t="s">
        <v>64</v>
      </c>
      <c r="E15" s="9" t="s">
        <v>48</v>
      </c>
      <c r="F15" s="9" t="s">
        <v>44</v>
      </c>
    </row>
    <row r="16" customFormat="false" ht="39.55" hidden="false" customHeight="false" outlineLevel="0" collapsed="false">
      <c r="A16" s="9" t="s">
        <v>65</v>
      </c>
      <c r="B16" s="9" t="s">
        <v>40</v>
      </c>
      <c r="C16" s="9" t="s">
        <v>66</v>
      </c>
      <c r="D16" s="9" t="s">
        <v>67</v>
      </c>
      <c r="E16" s="9" t="s">
        <v>48</v>
      </c>
      <c r="F16" s="9" t="s">
        <v>44</v>
      </c>
    </row>
    <row r="17" customFormat="false" ht="26.85" hidden="false" customHeight="false" outlineLevel="0" collapsed="false">
      <c r="A17" s="6" t="s">
        <v>68</v>
      </c>
      <c r="B17" s="6" t="s">
        <v>14</v>
      </c>
      <c r="C17" s="6" t="s">
        <v>69</v>
      </c>
      <c r="D17" s="6" t="s">
        <v>70</v>
      </c>
      <c r="E17" s="6" t="s">
        <v>71</v>
      </c>
      <c r="F17" s="6" t="s">
        <v>72</v>
      </c>
    </row>
    <row r="18" customFormat="false" ht="77.6" hidden="false" customHeight="false" outlineLevel="0" collapsed="false">
      <c r="A18" s="7" t="s">
        <v>73</v>
      </c>
      <c r="B18" s="7" t="s">
        <v>20</v>
      </c>
      <c r="C18" s="7" t="s">
        <v>74</v>
      </c>
      <c r="D18" s="7" t="s">
        <v>75</v>
      </c>
      <c r="E18" s="7" t="s">
        <v>76</v>
      </c>
      <c r="F18" s="7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4"/>
    <col collapsed="false" customWidth="true" hidden="false" outlineLevel="0" max="3" min="3" style="0" width="46"/>
    <col collapsed="false" customWidth="true" hidden="false" outlineLevel="0" max="4" min="4" style="0" width="42"/>
    <col collapsed="false" customWidth="true" hidden="false" outlineLevel="0" max="5" min="5" style="0" width="22"/>
  </cols>
  <sheetData>
    <row r="1" customFormat="false" ht="15" hidden="false" customHeight="false" outlineLevel="0" collapsed="false">
      <c r="A1" s="3" t="s">
        <v>78</v>
      </c>
    </row>
    <row r="2" customFormat="false" ht="15" hidden="false" customHeight="false" outlineLevel="0" collapsed="false">
      <c r="A2" s="4" t="s">
        <v>79</v>
      </c>
    </row>
    <row r="4" customFormat="false" ht="15" hidden="false" customHeight="false" outlineLevel="0" collapsed="false">
      <c r="A4" s="5" t="s">
        <v>80</v>
      </c>
      <c r="B4" s="5" t="s">
        <v>81</v>
      </c>
      <c r="C4" s="5" t="s">
        <v>82</v>
      </c>
      <c r="D4" s="5" t="s">
        <v>83</v>
      </c>
      <c r="E4" s="5" t="s">
        <v>12</v>
      </c>
    </row>
    <row r="5" customFormat="false" ht="15" hidden="false" customHeight="false" outlineLevel="0" collapsed="false">
      <c r="A5" s="10" t="s">
        <v>84</v>
      </c>
      <c r="B5" s="10" t="s">
        <v>85</v>
      </c>
      <c r="C5" s="10" t="s">
        <v>86</v>
      </c>
      <c r="D5" s="10" t="s">
        <v>87</v>
      </c>
      <c r="E5" s="10" t="s">
        <v>88</v>
      </c>
    </row>
    <row r="6" customFormat="false" ht="26.85" hidden="false" customHeight="false" outlineLevel="0" collapsed="false">
      <c r="A6" s="10" t="s">
        <v>89</v>
      </c>
      <c r="B6" s="10" t="s">
        <v>90</v>
      </c>
      <c r="C6" s="10" t="s">
        <v>91</v>
      </c>
      <c r="D6" s="10" t="s">
        <v>92</v>
      </c>
      <c r="E6" s="10" t="s">
        <v>88</v>
      </c>
    </row>
    <row r="7" customFormat="false" ht="26.85" hidden="false" customHeight="false" outlineLevel="0" collapsed="false">
      <c r="A7" s="10" t="s">
        <v>93</v>
      </c>
      <c r="B7" s="10" t="s">
        <v>94</v>
      </c>
      <c r="C7" s="10" t="s">
        <v>95</v>
      </c>
      <c r="D7" s="10" t="s">
        <v>96</v>
      </c>
      <c r="E7" s="10" t="s">
        <v>88</v>
      </c>
    </row>
    <row r="8" customFormat="false" ht="26.85" hidden="false" customHeight="false" outlineLevel="0" collapsed="false">
      <c r="A8" s="10" t="s">
        <v>97</v>
      </c>
      <c r="B8" s="10" t="s">
        <v>98</v>
      </c>
      <c r="C8" s="10" t="s">
        <v>99</v>
      </c>
      <c r="D8" s="10" t="s">
        <v>100</v>
      </c>
      <c r="E8" s="10" t="s">
        <v>88</v>
      </c>
    </row>
    <row r="9" customFormat="false" ht="39.55" hidden="false" customHeight="false" outlineLevel="0" collapsed="false">
      <c r="A9" s="10" t="s">
        <v>101</v>
      </c>
      <c r="B9" s="10" t="s">
        <v>102</v>
      </c>
      <c r="C9" s="10" t="s">
        <v>103</v>
      </c>
      <c r="D9" s="10" t="s">
        <v>104</v>
      </c>
      <c r="E9" s="10" t="s">
        <v>105</v>
      </c>
    </row>
    <row r="10" customFormat="false" ht="26.85" hidden="false" customHeight="false" outlineLevel="0" collapsed="false">
      <c r="A10" s="10" t="s">
        <v>106</v>
      </c>
      <c r="B10" s="10" t="s">
        <v>107</v>
      </c>
      <c r="C10" s="10" t="s">
        <v>108</v>
      </c>
      <c r="D10" s="10" t="s">
        <v>109</v>
      </c>
      <c r="E10" s="10" t="s">
        <v>88</v>
      </c>
    </row>
    <row r="11" customFormat="false" ht="26.85" hidden="false" customHeight="false" outlineLevel="0" collapsed="false">
      <c r="A11" s="10" t="s">
        <v>110</v>
      </c>
      <c r="B11" s="10" t="s">
        <v>111</v>
      </c>
      <c r="C11" s="10" t="s">
        <v>112</v>
      </c>
      <c r="D11" s="10" t="s">
        <v>113</v>
      </c>
      <c r="E11" s="10" t="s">
        <v>114</v>
      </c>
    </row>
    <row r="12" customFormat="false" ht="26.85" hidden="false" customHeight="false" outlineLevel="0" collapsed="false">
      <c r="A12" s="10" t="s">
        <v>115</v>
      </c>
      <c r="B12" s="10" t="s">
        <v>116</v>
      </c>
      <c r="C12" s="10" t="s">
        <v>117</v>
      </c>
      <c r="D12" s="10" t="s">
        <v>118</v>
      </c>
      <c r="E12" s="10" t="s">
        <v>88</v>
      </c>
    </row>
    <row r="13" customFormat="false" ht="26.85" hidden="false" customHeight="false" outlineLevel="0" collapsed="false">
      <c r="A13" s="10" t="s">
        <v>119</v>
      </c>
      <c r="B13" s="10" t="s">
        <v>120</v>
      </c>
      <c r="C13" s="10" t="s">
        <v>121</v>
      </c>
      <c r="D13" s="10" t="s">
        <v>122</v>
      </c>
      <c r="E13" s="10" t="s">
        <v>88</v>
      </c>
    </row>
    <row r="14" customFormat="false" ht="26.85" hidden="false" customHeight="false" outlineLevel="0" collapsed="false">
      <c r="A14" s="10" t="s">
        <v>123</v>
      </c>
      <c r="B14" s="10" t="s">
        <v>124</v>
      </c>
      <c r="C14" s="10" t="s">
        <v>125</v>
      </c>
      <c r="D14" s="10" t="s">
        <v>126</v>
      </c>
      <c r="E14" s="10" t="s">
        <v>88</v>
      </c>
    </row>
    <row r="15" customFormat="false" ht="26.85" hidden="false" customHeight="false" outlineLevel="0" collapsed="false">
      <c r="A15" s="10" t="s">
        <v>127</v>
      </c>
      <c r="B15" s="10" t="s">
        <v>128</v>
      </c>
      <c r="C15" s="10" t="s">
        <v>129</v>
      </c>
      <c r="D15" s="10" t="s">
        <v>130</v>
      </c>
      <c r="E15" s="10" t="s">
        <v>88</v>
      </c>
    </row>
    <row r="16" customFormat="false" ht="15" hidden="false" customHeight="false" outlineLevel="0" collapsed="false">
      <c r="A16" s="10" t="s">
        <v>131</v>
      </c>
      <c r="B16" s="10" t="s">
        <v>132</v>
      </c>
      <c r="C16" s="10" t="s">
        <v>133</v>
      </c>
      <c r="D16" s="10" t="s">
        <v>134</v>
      </c>
      <c r="E16" s="10" t="s">
        <v>88</v>
      </c>
    </row>
    <row r="17" customFormat="false" ht="26.85" hidden="false" customHeight="false" outlineLevel="0" collapsed="false">
      <c r="A17" s="10" t="s">
        <v>135</v>
      </c>
      <c r="B17" s="10" t="s">
        <v>136</v>
      </c>
      <c r="C17" s="10" t="s">
        <v>137</v>
      </c>
      <c r="D17" s="10" t="s">
        <v>138</v>
      </c>
      <c r="E17" s="10" t="s">
        <v>88</v>
      </c>
    </row>
    <row r="18" customFormat="false" ht="15" hidden="false" customHeight="false" outlineLevel="0" collapsed="false">
      <c r="A18" s="10" t="s">
        <v>139</v>
      </c>
      <c r="B18" s="10" t="s">
        <v>140</v>
      </c>
      <c r="C18" s="10" t="s">
        <v>141</v>
      </c>
      <c r="D18" s="10" t="s">
        <v>142</v>
      </c>
      <c r="E18" s="10" t="s">
        <v>88</v>
      </c>
    </row>
    <row r="19" customFormat="false" ht="26.85" hidden="false" customHeight="false" outlineLevel="0" collapsed="false">
      <c r="A19" s="10" t="s">
        <v>143</v>
      </c>
      <c r="B19" s="10" t="s">
        <v>144</v>
      </c>
      <c r="C19" s="10" t="s">
        <v>145</v>
      </c>
      <c r="D19" s="10" t="s">
        <v>146</v>
      </c>
      <c r="E19" s="10" t="s">
        <v>88</v>
      </c>
    </row>
    <row r="20" customFormat="false" ht="15" hidden="false" customHeight="false" outlineLevel="0" collapsed="false">
      <c r="A20" s="10" t="s">
        <v>147</v>
      </c>
      <c r="B20" s="10" t="s">
        <v>148</v>
      </c>
      <c r="C20" s="10" t="s">
        <v>149</v>
      </c>
      <c r="D20" s="10" t="s">
        <v>150</v>
      </c>
      <c r="E20" s="10" t="s">
        <v>88</v>
      </c>
    </row>
    <row r="21" customFormat="false" ht="15" hidden="false" customHeight="false" outlineLevel="0" collapsed="false">
      <c r="A21" s="7" t="s">
        <v>151</v>
      </c>
      <c r="B21" s="7" t="s">
        <v>152</v>
      </c>
      <c r="C21" s="7" t="s">
        <v>153</v>
      </c>
      <c r="D21" s="7" t="s">
        <v>154</v>
      </c>
      <c r="E21" s="7" t="s">
        <v>155</v>
      </c>
    </row>
    <row r="22" customFormat="false" ht="26.85" hidden="false" customHeight="false" outlineLevel="0" collapsed="false">
      <c r="A22" s="10" t="s">
        <v>156</v>
      </c>
      <c r="B22" s="10" t="s">
        <v>157</v>
      </c>
      <c r="C22" s="10" t="s">
        <v>158</v>
      </c>
      <c r="D22" s="10" t="s">
        <v>159</v>
      </c>
      <c r="E22" s="10" t="s">
        <v>88</v>
      </c>
    </row>
    <row r="23" customFormat="false" ht="26.85" hidden="false" customHeight="false" outlineLevel="0" collapsed="false">
      <c r="A23" s="10" t="s">
        <v>160</v>
      </c>
      <c r="B23" s="10" t="s">
        <v>161</v>
      </c>
      <c r="C23" s="10" t="s">
        <v>162</v>
      </c>
      <c r="D23" s="10" t="s">
        <v>163</v>
      </c>
      <c r="E23" s="10" t="s">
        <v>88</v>
      </c>
    </row>
    <row r="24" customFormat="false" ht="15" hidden="false" customHeight="false" outlineLevel="0" collapsed="false">
      <c r="A24" s="10" t="s">
        <v>164</v>
      </c>
      <c r="B24" s="10" t="s">
        <v>165</v>
      </c>
      <c r="C24" s="10" t="s">
        <v>166</v>
      </c>
      <c r="D24" s="10" t="s">
        <v>167</v>
      </c>
      <c r="E24" s="10" t="s">
        <v>88</v>
      </c>
    </row>
    <row r="25" customFormat="false" ht="15" hidden="false" customHeight="false" outlineLevel="0" collapsed="false">
      <c r="A25" s="10" t="s">
        <v>168</v>
      </c>
      <c r="B25" s="10" t="s">
        <v>169</v>
      </c>
      <c r="C25" s="10" t="s">
        <v>170</v>
      </c>
      <c r="D25" s="10" t="s">
        <v>171</v>
      </c>
      <c r="E25" s="10" t="s">
        <v>88</v>
      </c>
    </row>
    <row r="26" customFormat="false" ht="26.85" hidden="false" customHeight="false" outlineLevel="0" collapsed="false">
      <c r="A26" s="10" t="s">
        <v>172</v>
      </c>
      <c r="B26" s="10" t="s">
        <v>173</v>
      </c>
      <c r="C26" s="10" t="s">
        <v>174</v>
      </c>
      <c r="D26" s="10" t="s">
        <v>175</v>
      </c>
      <c r="E26" s="10" t="s">
        <v>176</v>
      </c>
    </row>
    <row r="27" customFormat="false" ht="15" hidden="false" customHeight="false" outlineLevel="0" collapsed="false">
      <c r="A27" s="7" t="s">
        <v>177</v>
      </c>
      <c r="B27" s="7" t="s">
        <v>178</v>
      </c>
      <c r="C27" s="7" t="s">
        <v>179</v>
      </c>
      <c r="D27" s="7" t="s">
        <v>180</v>
      </c>
      <c r="E27" s="7" t="s">
        <v>155</v>
      </c>
    </row>
    <row r="28" customFormat="false" ht="26.85" hidden="false" customHeight="false" outlineLevel="0" collapsed="false">
      <c r="A28" s="10" t="s">
        <v>181</v>
      </c>
      <c r="B28" s="10" t="s">
        <v>182</v>
      </c>
      <c r="C28" s="10" t="s">
        <v>183</v>
      </c>
      <c r="D28" s="10" t="s">
        <v>184</v>
      </c>
      <c r="E28" s="10" t="s">
        <v>88</v>
      </c>
    </row>
    <row r="29" customFormat="false" ht="15" hidden="false" customHeight="false" outlineLevel="0" collapsed="false">
      <c r="A29" s="10" t="s">
        <v>185</v>
      </c>
      <c r="B29" s="10" t="s">
        <v>186</v>
      </c>
      <c r="C29" s="10" t="s">
        <v>187</v>
      </c>
      <c r="D29" s="10" t="s">
        <v>188</v>
      </c>
      <c r="E29" s="10" t="s">
        <v>88</v>
      </c>
    </row>
    <row r="30" customFormat="false" ht="26.85" hidden="false" customHeight="false" outlineLevel="0" collapsed="false">
      <c r="A30" s="10" t="s">
        <v>189</v>
      </c>
      <c r="B30" s="10" t="s">
        <v>190</v>
      </c>
      <c r="C30" s="10" t="s">
        <v>191</v>
      </c>
      <c r="D30" s="10" t="s">
        <v>192</v>
      </c>
      <c r="E30" s="10" t="s">
        <v>88</v>
      </c>
    </row>
    <row r="31" customFormat="false" ht="15" hidden="false" customHeight="false" outlineLevel="0" collapsed="false">
      <c r="A31" s="10" t="s">
        <v>193</v>
      </c>
      <c r="B31" s="10" t="s">
        <v>194</v>
      </c>
      <c r="C31" s="10" t="s">
        <v>195</v>
      </c>
      <c r="D31" s="10" t="s">
        <v>196</v>
      </c>
      <c r="E31" s="10" t="s">
        <v>88</v>
      </c>
    </row>
    <row r="32" customFormat="false" ht="26.85" hidden="false" customHeight="false" outlineLevel="0" collapsed="false">
      <c r="A32" s="7" t="s">
        <v>197</v>
      </c>
      <c r="B32" s="7" t="s">
        <v>198</v>
      </c>
      <c r="C32" s="7" t="s">
        <v>199</v>
      </c>
      <c r="D32" s="7" t="s">
        <v>200</v>
      </c>
      <c r="E32" s="7" t="s">
        <v>155</v>
      </c>
    </row>
    <row r="33" customFormat="false" ht="26.85" hidden="false" customHeight="false" outlineLevel="0" collapsed="false">
      <c r="A33" s="10" t="s">
        <v>201</v>
      </c>
      <c r="B33" s="10" t="s">
        <v>202</v>
      </c>
      <c r="C33" s="10" t="s">
        <v>203</v>
      </c>
      <c r="D33" s="10" t="s">
        <v>204</v>
      </c>
      <c r="E33" s="10" t="s">
        <v>205</v>
      </c>
    </row>
    <row r="34" customFormat="false" ht="26.85" hidden="false" customHeight="false" outlineLevel="0" collapsed="false">
      <c r="A34" s="10" t="s">
        <v>206</v>
      </c>
      <c r="B34" s="10" t="s">
        <v>207</v>
      </c>
      <c r="C34" s="10" t="s">
        <v>208</v>
      </c>
      <c r="D34" s="10" t="s">
        <v>209</v>
      </c>
      <c r="E34" s="10" t="s">
        <v>88</v>
      </c>
    </row>
    <row r="35" customFormat="false" ht="15" hidden="false" customHeight="false" outlineLevel="0" collapsed="false">
      <c r="A35" s="10" t="s">
        <v>210</v>
      </c>
      <c r="B35" s="10" t="s">
        <v>211</v>
      </c>
      <c r="C35" s="10" t="s">
        <v>212</v>
      </c>
      <c r="D35" s="10" t="s">
        <v>213</v>
      </c>
      <c r="E35" s="10" t="s">
        <v>88</v>
      </c>
    </row>
    <row r="36" customFormat="false" ht="15" hidden="false" customHeight="false" outlineLevel="0" collapsed="false">
      <c r="A36" s="10" t="s">
        <v>214</v>
      </c>
      <c r="B36" s="10" t="s">
        <v>215</v>
      </c>
      <c r="C36" s="10" t="s">
        <v>216</v>
      </c>
      <c r="D36" s="10" t="s">
        <v>34</v>
      </c>
      <c r="E36" s="10" t="s">
        <v>88</v>
      </c>
    </row>
    <row r="37" customFormat="false" ht="26.85" hidden="false" customHeight="false" outlineLevel="0" collapsed="false">
      <c r="A37" s="7" t="s">
        <v>217</v>
      </c>
      <c r="B37" s="7" t="s">
        <v>218</v>
      </c>
      <c r="C37" s="7" t="s">
        <v>219</v>
      </c>
      <c r="D37" s="7" t="s">
        <v>220</v>
      </c>
      <c r="E37" s="7" t="s">
        <v>221</v>
      </c>
    </row>
    <row r="39" customFormat="false" ht="15" hidden="false" customHeight="false" outlineLevel="0" collapsed="false">
      <c r="A39" s="11"/>
      <c r="B39" s="11" t="s">
        <v>222</v>
      </c>
      <c r="C39" s="11" t="n">
        <f aca="false">COUNTIF(E5:E37,"Atendida*")</f>
        <v>29</v>
      </c>
      <c r="D39" s="11" t="s">
        <v>223</v>
      </c>
      <c r="E39" s="11" t="n">
        <f aca="false">COUNTIF(E5:E37,"Pendente*")</f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5" min="4" style="0" width="10"/>
    <col collapsed="false" customWidth="true" hidden="false" outlineLevel="0" max="6" min="6" style="0" width="90"/>
  </cols>
  <sheetData>
    <row r="1" customFormat="false" ht="15" hidden="false" customHeight="false" outlineLevel="0" collapsed="false">
      <c r="A1" s="3" t="s">
        <v>224</v>
      </c>
    </row>
    <row r="2" customFormat="false" ht="15" hidden="false" customHeight="false" outlineLevel="0" collapsed="false">
      <c r="A2" s="4" t="s">
        <v>225</v>
      </c>
    </row>
    <row r="4" customFormat="false" ht="39.55" hidden="false" customHeight="false" outlineLevel="0" collapsed="false">
      <c r="A4" s="5" t="s">
        <v>226</v>
      </c>
      <c r="B4" s="5" t="s">
        <v>227</v>
      </c>
      <c r="C4" s="5" t="s">
        <v>228</v>
      </c>
      <c r="D4" s="5" t="s">
        <v>229</v>
      </c>
      <c r="E4" s="5" t="s">
        <v>230</v>
      </c>
      <c r="F4" s="5" t="s">
        <v>231</v>
      </c>
    </row>
    <row r="5" customFormat="false" ht="15" hidden="false" customHeight="false" outlineLevel="0" collapsed="false">
      <c r="A5" s="10" t="s">
        <v>232</v>
      </c>
      <c r="B5" s="10" t="s">
        <v>233</v>
      </c>
      <c r="C5" s="10" t="s">
        <v>234</v>
      </c>
      <c r="D5" s="10" t="s">
        <v>235</v>
      </c>
      <c r="E5" s="10" t="s">
        <v>236</v>
      </c>
      <c r="F5" s="10" t="s">
        <v>237</v>
      </c>
    </row>
    <row r="6" customFormat="false" ht="15" hidden="false" customHeight="false" outlineLevel="0" collapsed="false">
      <c r="A6" s="10" t="s">
        <v>232</v>
      </c>
      <c r="B6" s="10" t="s">
        <v>238</v>
      </c>
      <c r="C6" s="10" t="s">
        <v>239</v>
      </c>
      <c r="D6" s="10" t="s">
        <v>240</v>
      </c>
      <c r="E6" s="10" t="s">
        <v>240</v>
      </c>
      <c r="F6" s="10" t="s">
        <v>241</v>
      </c>
    </row>
    <row r="7" customFormat="false" ht="26.85" hidden="false" customHeight="false" outlineLevel="0" collapsed="false">
      <c r="A7" s="10" t="s">
        <v>232</v>
      </c>
      <c r="B7" s="10" t="s">
        <v>242</v>
      </c>
      <c r="C7" s="10" t="s">
        <v>243</v>
      </c>
      <c r="D7" s="10" t="s">
        <v>240</v>
      </c>
      <c r="E7" s="10" t="s">
        <v>240</v>
      </c>
      <c r="F7" s="10" t="s">
        <v>244</v>
      </c>
    </row>
    <row r="8" customFormat="false" ht="26.85" hidden="false" customHeight="false" outlineLevel="0" collapsed="false">
      <c r="A8" s="10" t="s">
        <v>232</v>
      </c>
      <c r="B8" s="10" t="s">
        <v>245</v>
      </c>
      <c r="C8" s="10" t="s">
        <v>246</v>
      </c>
      <c r="D8" s="10" t="s">
        <v>240</v>
      </c>
      <c r="E8" s="10" t="s">
        <v>240</v>
      </c>
      <c r="F8" s="10" t="s">
        <v>247</v>
      </c>
    </row>
    <row r="9" customFormat="false" ht="15" hidden="false" customHeight="false" outlineLevel="0" collapsed="false">
      <c r="A9" s="10" t="s">
        <v>232</v>
      </c>
      <c r="B9" s="10" t="s">
        <v>248</v>
      </c>
      <c r="C9" s="10" t="s">
        <v>249</v>
      </c>
      <c r="D9" s="10" t="s">
        <v>240</v>
      </c>
      <c r="E9" s="10" t="s">
        <v>240</v>
      </c>
      <c r="F9" s="10" t="s">
        <v>250</v>
      </c>
    </row>
    <row r="10" customFormat="false" ht="15" hidden="false" customHeight="false" outlineLevel="0" collapsed="false">
      <c r="A10" s="10" t="s">
        <v>232</v>
      </c>
      <c r="B10" s="10" t="s">
        <v>251</v>
      </c>
      <c r="C10" s="10" t="s">
        <v>252</v>
      </c>
      <c r="D10" s="10" t="s">
        <v>240</v>
      </c>
      <c r="E10" s="10" t="s">
        <v>240</v>
      </c>
      <c r="F10" s="10" t="s">
        <v>253</v>
      </c>
    </row>
    <row r="11" customFormat="false" ht="26.85" hidden="false" customHeight="false" outlineLevel="0" collapsed="false">
      <c r="A11" s="10" t="s">
        <v>232</v>
      </c>
      <c r="B11" s="10" t="s">
        <v>254</v>
      </c>
      <c r="C11" s="10" t="s">
        <v>255</v>
      </c>
      <c r="D11" s="10" t="s">
        <v>240</v>
      </c>
      <c r="E11" s="10" t="s">
        <v>240</v>
      </c>
      <c r="F11" s="10" t="s">
        <v>256</v>
      </c>
    </row>
    <row r="12" customFormat="false" ht="26.85" hidden="false" customHeight="false" outlineLevel="0" collapsed="false">
      <c r="A12" s="10" t="s">
        <v>232</v>
      </c>
      <c r="B12" s="10" t="s">
        <v>257</v>
      </c>
      <c r="C12" s="10" t="s">
        <v>255</v>
      </c>
      <c r="D12" s="10" t="s">
        <v>240</v>
      </c>
      <c r="E12" s="10" t="s">
        <v>240</v>
      </c>
      <c r="F12" s="10" t="s">
        <v>258</v>
      </c>
    </row>
    <row r="13" customFormat="false" ht="26.85" hidden="false" customHeight="false" outlineLevel="0" collapsed="false">
      <c r="A13" s="10" t="s">
        <v>232</v>
      </c>
      <c r="B13" s="10" t="s">
        <v>259</v>
      </c>
      <c r="C13" s="10" t="s">
        <v>260</v>
      </c>
      <c r="D13" s="10" t="s">
        <v>240</v>
      </c>
      <c r="E13" s="10" t="s">
        <v>240</v>
      </c>
      <c r="F13" s="10" t="s">
        <v>261</v>
      </c>
    </row>
    <row r="14" customFormat="false" ht="15" hidden="false" customHeight="false" outlineLevel="0" collapsed="false">
      <c r="A14" s="10" t="s">
        <v>232</v>
      </c>
      <c r="B14" s="10" t="s">
        <v>262</v>
      </c>
      <c r="C14" s="10" t="s">
        <v>263</v>
      </c>
      <c r="D14" s="10" t="s">
        <v>235</v>
      </c>
      <c r="E14" s="10" t="s">
        <v>236</v>
      </c>
      <c r="F14" s="10" t="s">
        <v>264</v>
      </c>
    </row>
    <row r="15" customFormat="false" ht="15" hidden="false" customHeight="false" outlineLevel="0" collapsed="false">
      <c r="A15" s="10" t="s">
        <v>232</v>
      </c>
      <c r="B15" s="10" t="s">
        <v>265</v>
      </c>
      <c r="C15" s="10" t="s">
        <v>266</v>
      </c>
      <c r="D15" s="10" t="s">
        <v>240</v>
      </c>
      <c r="E15" s="10" t="s">
        <v>240</v>
      </c>
      <c r="F15" s="10" t="s">
        <v>267</v>
      </c>
    </row>
    <row r="16" customFormat="false" ht="15" hidden="false" customHeight="false" outlineLevel="0" collapsed="false">
      <c r="A16" s="10" t="s">
        <v>232</v>
      </c>
      <c r="B16" s="10" t="s">
        <v>268</v>
      </c>
      <c r="C16" s="10" t="s">
        <v>269</v>
      </c>
      <c r="D16" s="10" t="s">
        <v>240</v>
      </c>
      <c r="E16" s="10" t="s">
        <v>240</v>
      </c>
      <c r="F16" s="10" t="s">
        <v>270</v>
      </c>
    </row>
    <row r="17" customFormat="false" ht="15" hidden="false" customHeight="false" outlineLevel="0" collapsed="false">
      <c r="A17" s="10" t="s">
        <v>232</v>
      </c>
      <c r="B17" s="10" t="s">
        <v>251</v>
      </c>
      <c r="C17" s="10" t="s">
        <v>271</v>
      </c>
      <c r="D17" s="10" t="s">
        <v>240</v>
      </c>
      <c r="E17" s="10" t="s">
        <v>240</v>
      </c>
      <c r="F17" s="10" t="s">
        <v>272</v>
      </c>
    </row>
    <row r="18" customFormat="false" ht="26.85" hidden="false" customHeight="false" outlineLevel="0" collapsed="false">
      <c r="A18" s="10" t="s">
        <v>232</v>
      </c>
      <c r="B18" s="10" t="s">
        <v>273</v>
      </c>
      <c r="C18" s="10" t="s">
        <v>274</v>
      </c>
      <c r="D18" s="10" t="s">
        <v>240</v>
      </c>
      <c r="E18" s="10" t="s">
        <v>240</v>
      </c>
      <c r="F18" s="10" t="s">
        <v>275</v>
      </c>
    </row>
    <row r="19" customFormat="false" ht="26.85" hidden="false" customHeight="false" outlineLevel="0" collapsed="false">
      <c r="A19" s="10" t="s">
        <v>232</v>
      </c>
      <c r="B19" s="10" t="s">
        <v>254</v>
      </c>
      <c r="C19" s="10" t="s">
        <v>276</v>
      </c>
      <c r="D19" s="10" t="s">
        <v>235</v>
      </c>
      <c r="E19" s="10" t="s">
        <v>236</v>
      </c>
      <c r="F19" s="10" t="s">
        <v>277</v>
      </c>
    </row>
    <row r="20" customFormat="false" ht="26.85" hidden="false" customHeight="false" outlineLevel="0" collapsed="false">
      <c r="A20" s="10" t="s">
        <v>232</v>
      </c>
      <c r="B20" s="10" t="s">
        <v>238</v>
      </c>
      <c r="C20" s="10" t="s">
        <v>278</v>
      </c>
      <c r="D20" s="10" t="s">
        <v>240</v>
      </c>
      <c r="E20" s="10" t="s">
        <v>240</v>
      </c>
      <c r="F20" s="10" t="s">
        <v>279</v>
      </c>
    </row>
    <row r="21" customFormat="false" ht="39.55" hidden="false" customHeight="false" outlineLevel="0" collapsed="false">
      <c r="A21" s="10" t="s">
        <v>232</v>
      </c>
      <c r="B21" s="10" t="s">
        <v>280</v>
      </c>
      <c r="C21" s="10" t="s">
        <v>281</v>
      </c>
      <c r="D21" s="10" t="s">
        <v>240</v>
      </c>
      <c r="E21" s="10" t="s">
        <v>240</v>
      </c>
      <c r="F21" s="10" t="s">
        <v>282</v>
      </c>
    </row>
    <row r="22" customFormat="false" ht="39.55" hidden="false" customHeight="false" outlineLevel="0" collapsed="false">
      <c r="A22" s="10" t="s">
        <v>232</v>
      </c>
      <c r="B22" s="10" t="s">
        <v>283</v>
      </c>
      <c r="C22" s="10" t="s">
        <v>284</v>
      </c>
      <c r="D22" s="10" t="s">
        <v>240</v>
      </c>
      <c r="E22" s="10" t="s">
        <v>240</v>
      </c>
      <c r="F22" s="10" t="s">
        <v>285</v>
      </c>
    </row>
    <row r="23" customFormat="false" ht="26.85" hidden="false" customHeight="false" outlineLevel="0" collapsed="false">
      <c r="A23" s="10" t="s">
        <v>232</v>
      </c>
      <c r="B23" s="10" t="s">
        <v>286</v>
      </c>
      <c r="C23" s="10" t="s">
        <v>287</v>
      </c>
      <c r="D23" s="10" t="s">
        <v>240</v>
      </c>
      <c r="E23" s="10" t="s">
        <v>240</v>
      </c>
      <c r="F23" s="10" t="s">
        <v>288</v>
      </c>
    </row>
    <row r="24" customFormat="false" ht="26.85" hidden="false" customHeight="false" outlineLevel="0" collapsed="false">
      <c r="A24" s="10" t="s">
        <v>232</v>
      </c>
      <c r="B24" s="10" t="s">
        <v>289</v>
      </c>
      <c r="C24" s="10" t="s">
        <v>290</v>
      </c>
      <c r="D24" s="10" t="s">
        <v>240</v>
      </c>
      <c r="E24" s="10" t="s">
        <v>240</v>
      </c>
      <c r="F24" s="10" t="s">
        <v>291</v>
      </c>
    </row>
    <row r="25" customFormat="false" ht="15" hidden="false" customHeight="false" outlineLevel="0" collapsed="false">
      <c r="A25" s="10" t="s">
        <v>232</v>
      </c>
      <c r="B25" s="10" t="s">
        <v>292</v>
      </c>
      <c r="C25" s="10" t="s">
        <v>293</v>
      </c>
      <c r="D25" s="10" t="s">
        <v>240</v>
      </c>
      <c r="E25" s="10" t="s">
        <v>240</v>
      </c>
      <c r="F25" s="10" t="s">
        <v>294</v>
      </c>
    </row>
    <row r="26" customFormat="false" ht="26.85" hidden="false" customHeight="false" outlineLevel="0" collapsed="false">
      <c r="A26" s="10" t="s">
        <v>232</v>
      </c>
      <c r="B26" s="10" t="s">
        <v>251</v>
      </c>
      <c r="C26" s="10" t="s">
        <v>295</v>
      </c>
      <c r="D26" s="10" t="s">
        <v>240</v>
      </c>
      <c r="E26" s="10" t="s">
        <v>240</v>
      </c>
      <c r="F26" s="10" t="s">
        <v>296</v>
      </c>
    </row>
    <row r="27" customFormat="false" ht="26.85" hidden="false" customHeight="false" outlineLevel="0" collapsed="false">
      <c r="A27" s="10" t="s">
        <v>232</v>
      </c>
      <c r="B27" s="10" t="s">
        <v>297</v>
      </c>
      <c r="C27" s="10" t="s">
        <v>298</v>
      </c>
      <c r="D27" s="10" t="s">
        <v>240</v>
      </c>
      <c r="E27" s="10" t="s">
        <v>240</v>
      </c>
      <c r="F27" s="10" t="s">
        <v>299</v>
      </c>
    </row>
    <row r="28" customFormat="false" ht="15" hidden="false" customHeight="false" outlineLevel="0" collapsed="false">
      <c r="A28" s="10" t="s">
        <v>232</v>
      </c>
      <c r="B28" s="10" t="s">
        <v>300</v>
      </c>
      <c r="C28" s="10" t="s">
        <v>269</v>
      </c>
      <c r="D28" s="10" t="s">
        <v>240</v>
      </c>
      <c r="E28" s="10" t="s">
        <v>240</v>
      </c>
      <c r="F28" s="10" t="s">
        <v>301</v>
      </c>
    </row>
    <row r="29" customFormat="false" ht="15" hidden="false" customHeight="false" outlineLevel="0" collapsed="false">
      <c r="A29" s="10" t="s">
        <v>232</v>
      </c>
      <c r="B29" s="10" t="s">
        <v>286</v>
      </c>
      <c r="C29" s="10" t="s">
        <v>302</v>
      </c>
      <c r="D29" s="10" t="s">
        <v>235</v>
      </c>
      <c r="E29" s="10" t="s">
        <v>236</v>
      </c>
      <c r="F29" s="10" t="s">
        <v>303</v>
      </c>
    </row>
    <row r="30" customFormat="false" ht="26.85" hidden="false" customHeight="false" outlineLevel="0" collapsed="false">
      <c r="A30" s="10" t="s">
        <v>232</v>
      </c>
      <c r="B30" s="10" t="s">
        <v>304</v>
      </c>
      <c r="C30" s="10" t="s">
        <v>305</v>
      </c>
      <c r="D30" s="10" t="s">
        <v>235</v>
      </c>
      <c r="E30" s="10" t="s">
        <v>236</v>
      </c>
      <c r="F30" s="10" t="s">
        <v>306</v>
      </c>
    </row>
    <row r="31" customFormat="false" ht="26.85" hidden="false" customHeight="false" outlineLevel="0" collapsed="false">
      <c r="A31" s="10" t="s">
        <v>232</v>
      </c>
      <c r="B31" s="10" t="s">
        <v>307</v>
      </c>
      <c r="C31" s="10" t="s">
        <v>308</v>
      </c>
      <c r="D31" s="10" t="s">
        <v>240</v>
      </c>
      <c r="E31" s="10" t="s">
        <v>240</v>
      </c>
      <c r="F31" s="10" t="s">
        <v>309</v>
      </c>
    </row>
    <row r="32" customFormat="false" ht="15" hidden="false" customHeight="false" outlineLevel="0" collapsed="false">
      <c r="A32" s="10" t="s">
        <v>232</v>
      </c>
      <c r="B32" s="10" t="s">
        <v>310</v>
      </c>
      <c r="C32" s="10" t="s">
        <v>311</v>
      </c>
      <c r="D32" s="10" t="s">
        <v>240</v>
      </c>
      <c r="E32" s="10" t="s">
        <v>236</v>
      </c>
      <c r="F32" s="10" t="s">
        <v>312</v>
      </c>
    </row>
    <row r="33" customFormat="false" ht="15" hidden="false" customHeight="false" outlineLevel="0" collapsed="false">
      <c r="A33" s="10" t="s">
        <v>232</v>
      </c>
      <c r="B33" s="10" t="s">
        <v>257</v>
      </c>
      <c r="C33" s="10" t="s">
        <v>278</v>
      </c>
      <c r="D33" s="10" t="s">
        <v>240</v>
      </c>
      <c r="E33" s="10" t="s">
        <v>240</v>
      </c>
      <c r="F33" s="10" t="s">
        <v>313</v>
      </c>
    </row>
    <row r="34" customFormat="false" ht="15" hidden="false" customHeight="false" outlineLevel="0" collapsed="false">
      <c r="A34" s="10" t="s">
        <v>232</v>
      </c>
      <c r="B34" s="10" t="s">
        <v>314</v>
      </c>
      <c r="C34" s="10" t="s">
        <v>315</v>
      </c>
      <c r="D34" s="10" t="s">
        <v>240</v>
      </c>
      <c r="E34" s="10" t="s">
        <v>240</v>
      </c>
      <c r="F34" s="10" t="s">
        <v>316</v>
      </c>
    </row>
    <row r="35" customFormat="false" ht="26.85" hidden="false" customHeight="false" outlineLevel="0" collapsed="false">
      <c r="A35" s="10" t="s">
        <v>232</v>
      </c>
      <c r="B35" s="10" t="s">
        <v>300</v>
      </c>
      <c r="C35" s="10" t="s">
        <v>317</v>
      </c>
      <c r="D35" s="10" t="s">
        <v>240</v>
      </c>
      <c r="E35" s="10" t="s">
        <v>240</v>
      </c>
      <c r="F35" s="10" t="s">
        <v>318</v>
      </c>
    </row>
    <row r="36" customFormat="false" ht="26.85" hidden="false" customHeight="false" outlineLevel="0" collapsed="false">
      <c r="A36" s="10" t="s">
        <v>232</v>
      </c>
      <c r="B36" s="10" t="s">
        <v>319</v>
      </c>
      <c r="C36" s="10" t="s">
        <v>320</v>
      </c>
      <c r="D36" s="10" t="s">
        <v>240</v>
      </c>
      <c r="E36" s="10" t="s">
        <v>240</v>
      </c>
      <c r="F36" s="10" t="s">
        <v>321</v>
      </c>
    </row>
    <row r="37" customFormat="false" ht="26.85" hidden="false" customHeight="false" outlineLevel="0" collapsed="false">
      <c r="A37" s="10" t="s">
        <v>232</v>
      </c>
      <c r="B37" s="10" t="s">
        <v>322</v>
      </c>
      <c r="C37" s="10" t="s">
        <v>323</v>
      </c>
      <c r="D37" s="10" t="s">
        <v>240</v>
      </c>
      <c r="E37" s="10" t="s">
        <v>240</v>
      </c>
      <c r="F37" s="10" t="s">
        <v>324</v>
      </c>
    </row>
    <row r="38" customFormat="false" ht="15" hidden="false" customHeight="false" outlineLevel="0" collapsed="false">
      <c r="A38" s="10" t="s">
        <v>232</v>
      </c>
      <c r="B38" s="10" t="s">
        <v>325</v>
      </c>
      <c r="C38" s="10" t="s">
        <v>326</v>
      </c>
      <c r="D38" s="10" t="s">
        <v>240</v>
      </c>
      <c r="E38" s="10" t="s">
        <v>240</v>
      </c>
      <c r="F38" s="10" t="s">
        <v>327</v>
      </c>
    </row>
    <row r="39" customFormat="false" ht="26.85" hidden="false" customHeight="false" outlineLevel="0" collapsed="false">
      <c r="A39" s="10" t="s">
        <v>232</v>
      </c>
      <c r="B39" s="10" t="s">
        <v>328</v>
      </c>
      <c r="C39" s="10" t="s">
        <v>329</v>
      </c>
      <c r="D39" s="10" t="s">
        <v>240</v>
      </c>
      <c r="E39" s="10" t="s">
        <v>240</v>
      </c>
      <c r="F39" s="10" t="s">
        <v>330</v>
      </c>
    </row>
    <row r="40" customFormat="false" ht="26.85" hidden="false" customHeight="false" outlineLevel="0" collapsed="false">
      <c r="A40" s="10" t="s">
        <v>232</v>
      </c>
      <c r="B40" s="10" t="s">
        <v>331</v>
      </c>
      <c r="C40" s="10" t="s">
        <v>332</v>
      </c>
      <c r="D40" s="10" t="s">
        <v>240</v>
      </c>
      <c r="E40" s="10" t="s">
        <v>240</v>
      </c>
      <c r="F40" s="10" t="s">
        <v>333</v>
      </c>
    </row>
    <row r="41" customFormat="false" ht="26.85" hidden="false" customHeight="false" outlineLevel="0" collapsed="false">
      <c r="A41" s="10" t="s">
        <v>232</v>
      </c>
      <c r="B41" s="10" t="s">
        <v>334</v>
      </c>
      <c r="C41" s="10" t="s">
        <v>335</v>
      </c>
      <c r="D41" s="10" t="s">
        <v>240</v>
      </c>
      <c r="E41" s="10" t="s">
        <v>240</v>
      </c>
      <c r="F41" s="10" t="s">
        <v>336</v>
      </c>
    </row>
    <row r="42" customFormat="false" ht="26.85" hidden="false" customHeight="false" outlineLevel="0" collapsed="false">
      <c r="A42" s="10" t="s">
        <v>232</v>
      </c>
      <c r="B42" s="10" t="s">
        <v>337</v>
      </c>
      <c r="C42" s="10" t="s">
        <v>338</v>
      </c>
      <c r="D42" s="10" t="s">
        <v>240</v>
      </c>
      <c r="E42" s="10" t="s">
        <v>240</v>
      </c>
      <c r="F42" s="10" t="s">
        <v>339</v>
      </c>
    </row>
    <row r="43" customFormat="false" ht="26.85" hidden="false" customHeight="false" outlineLevel="0" collapsed="false">
      <c r="A43" s="10" t="s">
        <v>232</v>
      </c>
      <c r="B43" s="10" t="s">
        <v>340</v>
      </c>
      <c r="C43" s="10" t="s">
        <v>341</v>
      </c>
      <c r="D43" s="10" t="s">
        <v>240</v>
      </c>
      <c r="E43" s="10" t="s">
        <v>240</v>
      </c>
      <c r="F43" s="10" t="s">
        <v>342</v>
      </c>
    </row>
    <row r="44" customFormat="false" ht="15" hidden="false" customHeight="false" outlineLevel="0" collapsed="false">
      <c r="A44" s="10" t="s">
        <v>232</v>
      </c>
      <c r="B44" s="10" t="s">
        <v>343</v>
      </c>
      <c r="C44" s="10" t="s">
        <v>344</v>
      </c>
      <c r="D44" s="10" t="s">
        <v>240</v>
      </c>
      <c r="E44" s="10" t="s">
        <v>240</v>
      </c>
      <c r="F44" s="10" t="s">
        <v>345</v>
      </c>
    </row>
    <row r="45" customFormat="false" ht="15" hidden="false" customHeight="false" outlineLevel="0" collapsed="false">
      <c r="A45" s="10" t="s">
        <v>232</v>
      </c>
      <c r="B45" s="10" t="s">
        <v>346</v>
      </c>
      <c r="C45" s="10" t="s">
        <v>347</v>
      </c>
      <c r="D45" s="10" t="s">
        <v>235</v>
      </c>
      <c r="E45" s="10" t="s">
        <v>236</v>
      </c>
      <c r="F45" s="10" t="s">
        <v>348</v>
      </c>
    </row>
    <row r="46" customFormat="false" ht="26.85" hidden="false" customHeight="false" outlineLevel="0" collapsed="false">
      <c r="A46" s="10" t="s">
        <v>232</v>
      </c>
      <c r="B46" s="10" t="s">
        <v>349</v>
      </c>
      <c r="C46" s="10" t="s">
        <v>350</v>
      </c>
      <c r="D46" s="10" t="s">
        <v>240</v>
      </c>
      <c r="E46" s="10" t="s">
        <v>240</v>
      </c>
      <c r="F46" s="10" t="s">
        <v>351</v>
      </c>
    </row>
    <row r="47" customFormat="false" ht="15" hidden="false" customHeight="false" outlineLevel="0" collapsed="false">
      <c r="A47" s="10" t="s">
        <v>232</v>
      </c>
      <c r="B47" s="10" t="s">
        <v>238</v>
      </c>
      <c r="C47" s="10" t="s">
        <v>352</v>
      </c>
      <c r="D47" s="10" t="s">
        <v>240</v>
      </c>
      <c r="E47" s="10" t="s">
        <v>240</v>
      </c>
      <c r="F47" s="10" t="s">
        <v>353</v>
      </c>
    </row>
    <row r="48" customFormat="false" ht="26.85" hidden="false" customHeight="false" outlineLevel="0" collapsed="false">
      <c r="A48" s="10" t="s">
        <v>232</v>
      </c>
      <c r="B48" s="10" t="s">
        <v>354</v>
      </c>
      <c r="C48" s="10" t="s">
        <v>355</v>
      </c>
      <c r="D48" s="10" t="s">
        <v>240</v>
      </c>
      <c r="E48" s="10" t="s">
        <v>240</v>
      </c>
      <c r="F48" s="10" t="s">
        <v>356</v>
      </c>
    </row>
    <row r="49" customFormat="false" ht="15" hidden="false" customHeight="false" outlineLevel="0" collapsed="false">
      <c r="A49" s="10" t="s">
        <v>232</v>
      </c>
      <c r="B49" s="10" t="s">
        <v>233</v>
      </c>
      <c r="C49" s="10" t="s">
        <v>357</v>
      </c>
      <c r="D49" s="10" t="s">
        <v>235</v>
      </c>
      <c r="E49" s="10" t="s">
        <v>236</v>
      </c>
      <c r="F49" s="10" t="s">
        <v>358</v>
      </c>
    </row>
    <row r="50" customFormat="false" ht="26.85" hidden="false" customHeight="false" outlineLevel="0" collapsed="false">
      <c r="A50" s="10" t="s">
        <v>232</v>
      </c>
      <c r="B50" s="10" t="s">
        <v>359</v>
      </c>
      <c r="C50" s="10" t="s">
        <v>360</v>
      </c>
      <c r="D50" s="10" t="s">
        <v>240</v>
      </c>
      <c r="E50" s="10" t="s">
        <v>240</v>
      </c>
      <c r="F50" s="10" t="s">
        <v>361</v>
      </c>
    </row>
    <row r="51" customFormat="false" ht="26.85" hidden="false" customHeight="false" outlineLevel="0" collapsed="false">
      <c r="A51" s="10" t="s">
        <v>232</v>
      </c>
      <c r="B51" s="10" t="s">
        <v>362</v>
      </c>
      <c r="C51" s="10" t="s">
        <v>363</v>
      </c>
      <c r="D51" s="10" t="s">
        <v>240</v>
      </c>
      <c r="E51" s="10" t="s">
        <v>240</v>
      </c>
      <c r="F51" s="10" t="s">
        <v>364</v>
      </c>
    </row>
    <row r="52" customFormat="false" ht="26.85" hidden="false" customHeight="false" outlineLevel="0" collapsed="false">
      <c r="A52" s="10" t="s">
        <v>232</v>
      </c>
      <c r="B52" s="10" t="s">
        <v>365</v>
      </c>
      <c r="C52" s="10" t="s">
        <v>366</v>
      </c>
      <c r="D52" s="10" t="s">
        <v>240</v>
      </c>
      <c r="E52" s="10" t="s">
        <v>240</v>
      </c>
      <c r="F52" s="10" t="s">
        <v>367</v>
      </c>
    </row>
    <row r="53" customFormat="false" ht="15" hidden="false" customHeight="false" outlineLevel="0" collapsed="false">
      <c r="A53" s="10" t="s">
        <v>232</v>
      </c>
      <c r="B53" s="10" t="s">
        <v>368</v>
      </c>
      <c r="C53" s="10" t="s">
        <v>369</v>
      </c>
      <c r="D53" s="10" t="s">
        <v>240</v>
      </c>
      <c r="E53" s="10" t="s">
        <v>240</v>
      </c>
      <c r="F53" s="10" t="s">
        <v>370</v>
      </c>
    </row>
    <row r="54" customFormat="false" ht="15" hidden="false" customHeight="false" outlineLevel="0" collapsed="false">
      <c r="A54" s="10" t="s">
        <v>232</v>
      </c>
      <c r="B54" s="10" t="s">
        <v>254</v>
      </c>
      <c r="C54" s="10" t="s">
        <v>371</v>
      </c>
      <c r="D54" s="10" t="s">
        <v>240</v>
      </c>
      <c r="E54" s="10" t="s">
        <v>240</v>
      </c>
      <c r="F54" s="10" t="s">
        <v>372</v>
      </c>
    </row>
    <row r="55" customFormat="false" ht="15" hidden="false" customHeight="false" outlineLevel="0" collapsed="false">
      <c r="A55" s="10" t="s">
        <v>232</v>
      </c>
      <c r="B55" s="10" t="s">
        <v>238</v>
      </c>
      <c r="C55" s="10" t="s">
        <v>373</v>
      </c>
      <c r="D55" s="10" t="s">
        <v>240</v>
      </c>
      <c r="E55" s="10" t="s">
        <v>240</v>
      </c>
      <c r="F55" s="10" t="s">
        <v>374</v>
      </c>
    </row>
    <row r="56" customFormat="false" ht="26.85" hidden="false" customHeight="false" outlineLevel="0" collapsed="false">
      <c r="A56" s="10" t="s">
        <v>232</v>
      </c>
      <c r="B56" s="10" t="s">
        <v>259</v>
      </c>
      <c r="C56" s="10" t="s">
        <v>375</v>
      </c>
      <c r="D56" s="10" t="s">
        <v>240</v>
      </c>
      <c r="E56" s="10" t="s">
        <v>240</v>
      </c>
      <c r="F56" s="10" t="s">
        <v>376</v>
      </c>
    </row>
    <row r="57" customFormat="false" ht="15" hidden="false" customHeight="false" outlineLevel="0" collapsed="false">
      <c r="A57" s="10" t="s">
        <v>232</v>
      </c>
      <c r="B57" s="10" t="s">
        <v>268</v>
      </c>
      <c r="C57" s="10" t="s">
        <v>377</v>
      </c>
      <c r="D57" s="10" t="s">
        <v>240</v>
      </c>
      <c r="E57" s="10" t="s">
        <v>240</v>
      </c>
      <c r="F57" s="10" t="s">
        <v>378</v>
      </c>
    </row>
    <row r="58" customFormat="false" ht="26.85" hidden="false" customHeight="false" outlineLevel="0" collapsed="false">
      <c r="A58" s="10" t="s">
        <v>232</v>
      </c>
      <c r="B58" s="10" t="s">
        <v>379</v>
      </c>
      <c r="C58" s="10" t="s">
        <v>380</v>
      </c>
      <c r="D58" s="10" t="s">
        <v>240</v>
      </c>
      <c r="E58" s="10" t="s">
        <v>240</v>
      </c>
      <c r="F58" s="10" t="s">
        <v>381</v>
      </c>
    </row>
    <row r="59" customFormat="false" ht="15" hidden="false" customHeight="false" outlineLevel="0" collapsed="false">
      <c r="A59" s="10" t="s">
        <v>232</v>
      </c>
      <c r="B59" s="10" t="s">
        <v>382</v>
      </c>
      <c r="C59" s="10" t="s">
        <v>383</v>
      </c>
      <c r="D59" s="10" t="s">
        <v>235</v>
      </c>
      <c r="E59" s="10" t="s">
        <v>236</v>
      </c>
      <c r="F59" s="10" t="s">
        <v>384</v>
      </c>
    </row>
    <row r="60" customFormat="false" ht="15" hidden="false" customHeight="false" outlineLevel="0" collapsed="false">
      <c r="A60" s="10" t="s">
        <v>232</v>
      </c>
      <c r="B60" s="10" t="s">
        <v>382</v>
      </c>
      <c r="C60" s="10" t="s">
        <v>383</v>
      </c>
      <c r="D60" s="10" t="s">
        <v>235</v>
      </c>
      <c r="E60" s="10" t="s">
        <v>236</v>
      </c>
      <c r="F60" s="10" t="s">
        <v>385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40"/>
  </cols>
  <sheetData>
    <row r="1" customFormat="false" ht="15" hidden="false" customHeight="false" outlineLevel="0" collapsed="false">
      <c r="A1" s="3" t="s">
        <v>386</v>
      </c>
    </row>
    <row r="2" customFormat="false" ht="15" hidden="false" customHeight="false" outlineLevel="0" collapsed="false">
      <c r="A2" s="4" t="s">
        <v>387</v>
      </c>
    </row>
    <row r="4" customFormat="false" ht="26.85" hidden="false" customHeight="false" outlineLevel="0" collapsed="false">
      <c r="A4" s="5" t="s">
        <v>388</v>
      </c>
      <c r="B4" s="5" t="s">
        <v>389</v>
      </c>
      <c r="C4" s="5" t="s">
        <v>390</v>
      </c>
      <c r="D4" s="5" t="s">
        <v>391</v>
      </c>
    </row>
    <row r="5" customFormat="false" ht="15" hidden="false" customHeight="false" outlineLevel="0" collapsed="false">
      <c r="A5" s="10" t="s">
        <v>392</v>
      </c>
      <c r="B5" s="10" t="s">
        <v>393</v>
      </c>
      <c r="C5" s="10" t="n">
        <v>5</v>
      </c>
      <c r="D5" s="10" t="s">
        <v>394</v>
      </c>
    </row>
    <row r="6" customFormat="false" ht="15" hidden="false" customHeight="false" outlineLevel="0" collapsed="false">
      <c r="A6" s="10" t="s">
        <v>395</v>
      </c>
      <c r="B6" s="10" t="s">
        <v>396</v>
      </c>
      <c r="C6" s="10" t="n">
        <v>7</v>
      </c>
      <c r="D6" s="10" t="s">
        <v>394</v>
      </c>
    </row>
    <row r="7" customFormat="false" ht="15" hidden="false" customHeight="false" outlineLevel="0" collapsed="false">
      <c r="A7" s="10" t="s">
        <v>397</v>
      </c>
      <c r="B7" s="10" t="s">
        <v>398</v>
      </c>
      <c r="C7" s="10" t="n">
        <v>6</v>
      </c>
      <c r="D7" s="10" t="s">
        <v>394</v>
      </c>
    </row>
    <row r="8" customFormat="false" ht="15" hidden="false" customHeight="false" outlineLevel="0" collapsed="false">
      <c r="A8" s="10" t="s">
        <v>399</v>
      </c>
      <c r="B8" s="10" t="s">
        <v>400</v>
      </c>
      <c r="C8" s="10" t="n">
        <v>15</v>
      </c>
      <c r="D8" s="10" t="s">
        <v>394</v>
      </c>
    </row>
    <row r="9" customFormat="false" ht="15" hidden="false" customHeight="false" outlineLevel="0" collapsed="false">
      <c r="A9" s="10" t="s">
        <v>401</v>
      </c>
      <c r="B9" s="10" t="s">
        <v>402</v>
      </c>
      <c r="C9" s="10" t="n">
        <v>4</v>
      </c>
      <c r="D9" s="10" t="s">
        <v>394</v>
      </c>
    </row>
    <row r="10" customFormat="false" ht="15" hidden="false" customHeight="false" outlineLevel="0" collapsed="false">
      <c r="A10" s="10" t="s">
        <v>403</v>
      </c>
      <c r="B10" s="10" t="s">
        <v>404</v>
      </c>
      <c r="C10" s="10" t="n">
        <v>6</v>
      </c>
      <c r="D10" s="10" t="s">
        <v>394</v>
      </c>
    </row>
    <row r="11" customFormat="false" ht="15" hidden="false" customHeight="false" outlineLevel="0" collapsed="false">
      <c r="A11" s="10" t="s">
        <v>405</v>
      </c>
      <c r="B11" s="10" t="s">
        <v>406</v>
      </c>
      <c r="C11" s="10" t="n">
        <v>6</v>
      </c>
      <c r="D11" s="10" t="s">
        <v>394</v>
      </c>
    </row>
    <row r="12" customFormat="false" ht="15" hidden="false" customHeight="false" outlineLevel="0" collapsed="false">
      <c r="A12" s="10" t="s">
        <v>407</v>
      </c>
      <c r="B12" s="10" t="s">
        <v>408</v>
      </c>
      <c r="C12" s="10" t="n">
        <v>6</v>
      </c>
      <c r="D12" s="10" t="s">
        <v>394</v>
      </c>
    </row>
    <row r="13" customFormat="false" ht="15" hidden="false" customHeight="false" outlineLevel="0" collapsed="false">
      <c r="A13" s="10" t="s">
        <v>409</v>
      </c>
      <c r="B13" s="10" t="s">
        <v>410</v>
      </c>
      <c r="C13" s="10" t="n">
        <v>2</v>
      </c>
      <c r="D13" s="10" t="s">
        <v>394</v>
      </c>
    </row>
    <row r="14" customFormat="false" ht="15" hidden="false" customHeight="false" outlineLevel="0" collapsed="false">
      <c r="A14" s="10" t="s">
        <v>411</v>
      </c>
      <c r="B14" s="10" t="s">
        <v>412</v>
      </c>
      <c r="C14" s="10" t="n">
        <v>11</v>
      </c>
      <c r="D14" s="10" t="s">
        <v>394</v>
      </c>
    </row>
    <row r="15" customFormat="false" ht="15" hidden="false" customHeight="false" outlineLevel="0" collapsed="false">
      <c r="A15" s="10" t="s">
        <v>413</v>
      </c>
      <c r="B15" s="10" t="s">
        <v>414</v>
      </c>
      <c r="C15" s="10" t="n">
        <v>5</v>
      </c>
      <c r="D15" s="10" t="s">
        <v>394</v>
      </c>
    </row>
    <row r="16" customFormat="false" ht="15" hidden="false" customHeight="false" outlineLevel="0" collapsed="false">
      <c r="A16" s="10" t="s">
        <v>415</v>
      </c>
      <c r="B16" s="10" t="s">
        <v>416</v>
      </c>
      <c r="C16" s="10" t="n">
        <v>4</v>
      </c>
      <c r="D16" s="10" t="s">
        <v>394</v>
      </c>
    </row>
    <row r="17" customFormat="false" ht="15" hidden="false" customHeight="false" outlineLevel="0" collapsed="false">
      <c r="A17" s="10" t="s">
        <v>417</v>
      </c>
      <c r="B17" s="10" t="s">
        <v>418</v>
      </c>
      <c r="C17" s="10" t="n">
        <v>5</v>
      </c>
      <c r="D17" s="10" t="s">
        <v>394</v>
      </c>
    </row>
    <row r="18" customFormat="false" ht="15" hidden="false" customHeight="false" outlineLevel="0" collapsed="false">
      <c r="A18" s="10" t="s">
        <v>419</v>
      </c>
      <c r="B18" s="10" t="s">
        <v>420</v>
      </c>
      <c r="C18" s="10" t="n">
        <v>1</v>
      </c>
      <c r="D18" s="10" t="s">
        <v>394</v>
      </c>
    </row>
    <row r="19" customFormat="false" ht="15" hidden="false" customHeight="false" outlineLevel="0" collapsed="false">
      <c r="A19" s="10" t="s">
        <v>421</v>
      </c>
      <c r="B19" s="10" t="s">
        <v>422</v>
      </c>
      <c r="C19" s="10" t="n">
        <v>1</v>
      </c>
      <c r="D19" s="10" t="s">
        <v>394</v>
      </c>
    </row>
    <row r="20" customFormat="false" ht="15" hidden="false" customHeight="false" outlineLevel="0" collapsed="false">
      <c r="A20" s="10" t="s">
        <v>423</v>
      </c>
      <c r="B20" s="10" t="s">
        <v>424</v>
      </c>
      <c r="C20" s="10" t="n">
        <v>1</v>
      </c>
      <c r="D20" s="10" t="s">
        <v>394</v>
      </c>
    </row>
    <row r="21" customFormat="false" ht="15" hidden="false" customHeight="false" outlineLevel="0" collapsed="false">
      <c r="A21" s="10" t="s">
        <v>425</v>
      </c>
      <c r="B21" s="10" t="s">
        <v>426</v>
      </c>
      <c r="C21" s="10" t="n">
        <v>1</v>
      </c>
      <c r="D21" s="10" t="s">
        <v>427</v>
      </c>
    </row>
    <row r="22" customFormat="false" ht="15" hidden="false" customHeight="false" outlineLevel="0" collapsed="false">
      <c r="A22" s="10" t="s">
        <v>428</v>
      </c>
      <c r="B22" s="10" t="s">
        <v>429</v>
      </c>
      <c r="C22" s="10" t="n">
        <v>4</v>
      </c>
      <c r="D22" s="10" t="s">
        <v>394</v>
      </c>
    </row>
    <row r="23" customFormat="false" ht="15" hidden="false" customHeight="false" outlineLevel="0" collapsed="false">
      <c r="A23" s="10" t="s">
        <v>430</v>
      </c>
      <c r="B23" s="10" t="s">
        <v>431</v>
      </c>
      <c r="C23" s="10" t="n">
        <v>2</v>
      </c>
      <c r="D23" s="10" t="s">
        <v>394</v>
      </c>
    </row>
    <row r="24" customFormat="false" ht="15" hidden="false" customHeight="false" outlineLevel="0" collapsed="false">
      <c r="A24" s="10" t="s">
        <v>432</v>
      </c>
      <c r="B24" s="10" t="s">
        <v>433</v>
      </c>
      <c r="C24" s="10" t="n">
        <v>1</v>
      </c>
      <c r="D24" s="10" t="s">
        <v>394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26"/>
    <col collapsed="false" customWidth="true" hidden="false" outlineLevel="0" max="4" min="4" style="0" width="90"/>
  </cols>
  <sheetData>
    <row r="1" customFormat="false" ht="15" hidden="false" customHeight="false" outlineLevel="0" collapsed="false">
      <c r="A1" s="3" t="s">
        <v>434</v>
      </c>
    </row>
    <row r="2" customFormat="false" ht="15" hidden="false" customHeight="false" outlineLevel="0" collapsed="false">
      <c r="A2" s="4" t="s">
        <v>435</v>
      </c>
    </row>
    <row r="4" customFormat="false" ht="15" hidden="false" customHeight="false" outlineLevel="0" collapsed="false">
      <c r="A4" s="5" t="s">
        <v>436</v>
      </c>
      <c r="B4" s="5" t="s">
        <v>228</v>
      </c>
      <c r="C4" s="5" t="s">
        <v>12</v>
      </c>
      <c r="D4" s="5" t="s">
        <v>231</v>
      </c>
    </row>
    <row r="5" customFormat="false" ht="39.55" hidden="false" customHeight="false" outlineLevel="0" collapsed="false">
      <c r="A5" s="10" t="s">
        <v>437</v>
      </c>
      <c r="B5" s="10" t="s">
        <v>438</v>
      </c>
      <c r="C5" s="10" t="s">
        <v>439</v>
      </c>
      <c r="D5" s="10" t="s">
        <v>440</v>
      </c>
    </row>
    <row r="6" customFormat="false" ht="39.55" hidden="false" customHeight="false" outlineLevel="0" collapsed="false">
      <c r="A6" s="10" t="s">
        <v>400</v>
      </c>
      <c r="B6" s="10" t="s">
        <v>438</v>
      </c>
      <c r="C6" s="10" t="s">
        <v>439</v>
      </c>
      <c r="D6" s="10" t="s">
        <v>440</v>
      </c>
    </row>
    <row r="7" customFormat="false" ht="39.55" hidden="false" customHeight="false" outlineLevel="0" collapsed="false">
      <c r="A7" s="10" t="s">
        <v>441</v>
      </c>
      <c r="B7" s="10" t="s">
        <v>438</v>
      </c>
      <c r="C7" s="10" t="s">
        <v>439</v>
      </c>
      <c r="D7" s="10" t="s">
        <v>440</v>
      </c>
    </row>
    <row r="8" customFormat="false" ht="39.55" hidden="false" customHeight="false" outlineLevel="0" collapsed="false">
      <c r="A8" s="10" t="s">
        <v>442</v>
      </c>
      <c r="B8" s="10" t="s">
        <v>438</v>
      </c>
      <c r="C8" s="10" t="s">
        <v>439</v>
      </c>
      <c r="D8" s="10" t="s">
        <v>440</v>
      </c>
    </row>
    <row r="9" customFormat="false" ht="15" hidden="false" customHeight="false" outlineLevel="0" collapsed="false">
      <c r="A9" s="10" t="s">
        <v>443</v>
      </c>
      <c r="B9" s="10" t="s">
        <v>444</v>
      </c>
      <c r="C9" s="10" t="s">
        <v>445</v>
      </c>
      <c r="D9" s="10" t="s">
        <v>446</v>
      </c>
    </row>
    <row r="10" customFormat="false" ht="39.55" hidden="false" customHeight="false" outlineLevel="0" collapsed="false">
      <c r="A10" s="10" t="s">
        <v>447</v>
      </c>
      <c r="B10" s="10" t="s">
        <v>444</v>
      </c>
      <c r="C10" s="10" t="s">
        <v>445</v>
      </c>
      <c r="D10" s="10" t="s">
        <v>448</v>
      </c>
    </row>
    <row r="11" customFormat="false" ht="39.55" hidden="false" customHeight="false" outlineLevel="0" collapsed="false">
      <c r="A11" s="10" t="s">
        <v>449</v>
      </c>
      <c r="B11" s="10" t="s">
        <v>450</v>
      </c>
      <c r="C11" s="10" t="s">
        <v>445</v>
      </c>
      <c r="D11" s="10" t="s">
        <v>451</v>
      </c>
    </row>
    <row r="12" customFormat="false" ht="39.55" hidden="false" customHeight="false" outlineLevel="0" collapsed="false">
      <c r="A12" s="10" t="s">
        <v>452</v>
      </c>
      <c r="B12" s="10" t="s">
        <v>450</v>
      </c>
      <c r="C12" s="10" t="s">
        <v>445</v>
      </c>
      <c r="D12" s="10" t="s">
        <v>451</v>
      </c>
    </row>
    <row r="13" customFormat="false" ht="26.85" hidden="false" customHeight="false" outlineLevel="0" collapsed="false">
      <c r="A13" s="10" t="s">
        <v>453</v>
      </c>
      <c r="B13" s="10" t="s">
        <v>438</v>
      </c>
      <c r="C13" s="10" t="s">
        <v>439</v>
      </c>
      <c r="D13" s="10" t="s">
        <v>454</v>
      </c>
    </row>
    <row r="14" customFormat="false" ht="26.85" hidden="false" customHeight="false" outlineLevel="0" collapsed="false">
      <c r="A14" s="10" t="s">
        <v>402</v>
      </c>
      <c r="B14" s="10" t="s">
        <v>438</v>
      </c>
      <c r="C14" s="10" t="s">
        <v>439</v>
      </c>
      <c r="D14" s="10" t="s">
        <v>455</v>
      </c>
    </row>
    <row r="15" customFormat="false" ht="26.85" hidden="false" customHeight="false" outlineLevel="0" collapsed="false">
      <c r="A15" s="10" t="s">
        <v>456</v>
      </c>
      <c r="B15" s="10" t="s">
        <v>457</v>
      </c>
      <c r="C15" s="10" t="s">
        <v>439</v>
      </c>
      <c r="D15" s="10" t="s">
        <v>458</v>
      </c>
    </row>
    <row r="16" customFormat="false" ht="26.85" hidden="false" customHeight="false" outlineLevel="0" collapsed="false">
      <c r="A16" s="10" t="s">
        <v>400</v>
      </c>
      <c r="B16" s="10" t="s">
        <v>457</v>
      </c>
      <c r="C16" s="10" t="s">
        <v>439</v>
      </c>
      <c r="D16" s="10" t="s">
        <v>459</v>
      </c>
    </row>
    <row r="17" customFormat="false" ht="26.85" hidden="false" customHeight="false" outlineLevel="0" collapsed="false">
      <c r="A17" s="10" t="s">
        <v>460</v>
      </c>
      <c r="B17" s="10" t="s">
        <v>438</v>
      </c>
      <c r="C17" s="10" t="s">
        <v>439</v>
      </c>
      <c r="D17" s="10" t="s">
        <v>461</v>
      </c>
    </row>
    <row r="18" customFormat="false" ht="26.85" hidden="false" customHeight="false" outlineLevel="0" collapsed="false">
      <c r="A18" s="10" t="s">
        <v>462</v>
      </c>
      <c r="B18" s="10" t="s">
        <v>438</v>
      </c>
      <c r="C18" s="10" t="s">
        <v>439</v>
      </c>
      <c r="D18" s="10" t="s">
        <v>461</v>
      </c>
    </row>
    <row r="19" customFormat="false" ht="26.85" hidden="false" customHeight="false" outlineLevel="0" collapsed="false">
      <c r="A19" s="10" t="s">
        <v>463</v>
      </c>
      <c r="B19" s="10" t="s">
        <v>438</v>
      </c>
      <c r="C19" s="10" t="s">
        <v>439</v>
      </c>
      <c r="D19" s="10" t="s">
        <v>461</v>
      </c>
    </row>
    <row r="20" customFormat="false" ht="26.85" hidden="false" customHeight="false" outlineLevel="0" collapsed="false">
      <c r="A20" s="10" t="s">
        <v>464</v>
      </c>
      <c r="B20" s="10" t="s">
        <v>438</v>
      </c>
      <c r="C20" s="10" t="s">
        <v>439</v>
      </c>
      <c r="D20" s="10" t="s">
        <v>461</v>
      </c>
    </row>
    <row r="21" customFormat="false" ht="26.85" hidden="false" customHeight="false" outlineLevel="0" collapsed="false">
      <c r="A21" s="10" t="s">
        <v>465</v>
      </c>
      <c r="B21" s="10" t="s">
        <v>466</v>
      </c>
      <c r="C21" s="10" t="s">
        <v>439</v>
      </c>
      <c r="D21" s="10" t="s">
        <v>467</v>
      </c>
    </row>
    <row r="22" customFormat="false" ht="26.85" hidden="false" customHeight="false" outlineLevel="0" collapsed="false">
      <c r="A22" s="10" t="s">
        <v>468</v>
      </c>
      <c r="B22" s="10" t="s">
        <v>466</v>
      </c>
      <c r="C22" s="10" t="s">
        <v>439</v>
      </c>
      <c r="D22" s="10" t="s">
        <v>467</v>
      </c>
    </row>
    <row r="23" customFormat="false" ht="26.85" hidden="false" customHeight="false" outlineLevel="0" collapsed="false">
      <c r="A23" s="10" t="s">
        <v>469</v>
      </c>
      <c r="B23" s="10" t="s">
        <v>466</v>
      </c>
      <c r="C23" s="10" t="s">
        <v>439</v>
      </c>
      <c r="D23" s="10" t="s">
        <v>470</v>
      </c>
    </row>
    <row r="24" customFormat="false" ht="26.85" hidden="false" customHeight="false" outlineLevel="0" collapsed="false">
      <c r="A24" s="10" t="s">
        <v>471</v>
      </c>
      <c r="B24" s="10" t="s">
        <v>466</v>
      </c>
      <c r="C24" s="10" t="s">
        <v>439</v>
      </c>
      <c r="D24" s="10" t="s">
        <v>472</v>
      </c>
    </row>
    <row r="25" customFormat="false" ht="26.85" hidden="false" customHeight="false" outlineLevel="0" collapsed="false">
      <c r="A25" s="10" t="s">
        <v>406</v>
      </c>
      <c r="B25" s="10" t="s">
        <v>473</v>
      </c>
      <c r="C25" s="10" t="s">
        <v>439</v>
      </c>
      <c r="D25" s="10" t="s">
        <v>474</v>
      </c>
    </row>
    <row r="26" customFormat="false" ht="26.85" hidden="false" customHeight="false" outlineLevel="0" collapsed="false">
      <c r="A26" s="10" t="s">
        <v>475</v>
      </c>
      <c r="B26" s="10" t="s">
        <v>473</v>
      </c>
      <c r="C26" s="10" t="s">
        <v>439</v>
      </c>
      <c r="D26" s="10" t="s">
        <v>476</v>
      </c>
    </row>
    <row r="27" customFormat="false" ht="26.85" hidden="false" customHeight="false" outlineLevel="0" collapsed="false">
      <c r="A27" s="10" t="s">
        <v>404</v>
      </c>
      <c r="B27" s="10" t="s">
        <v>477</v>
      </c>
      <c r="C27" s="10" t="s">
        <v>439</v>
      </c>
      <c r="D27" s="10" t="s">
        <v>478</v>
      </c>
    </row>
    <row r="28" customFormat="false" ht="26.85" hidden="false" customHeight="false" outlineLevel="0" collapsed="false">
      <c r="A28" s="10" t="s">
        <v>479</v>
      </c>
      <c r="B28" s="10" t="s">
        <v>477</v>
      </c>
      <c r="C28" s="10" t="s">
        <v>439</v>
      </c>
      <c r="D28" s="10" t="s">
        <v>478</v>
      </c>
    </row>
    <row r="29" customFormat="false" ht="26.85" hidden="false" customHeight="false" outlineLevel="0" collapsed="false">
      <c r="A29" s="10" t="s">
        <v>480</v>
      </c>
      <c r="B29" s="10" t="s">
        <v>473</v>
      </c>
      <c r="C29" s="10" t="s">
        <v>439</v>
      </c>
      <c r="D29" s="10" t="s">
        <v>481</v>
      </c>
    </row>
    <row r="30" customFormat="false" ht="26.85" hidden="false" customHeight="false" outlineLevel="0" collapsed="false">
      <c r="A30" s="10" t="s">
        <v>482</v>
      </c>
      <c r="B30" s="10" t="s">
        <v>473</v>
      </c>
      <c r="C30" s="10" t="s">
        <v>439</v>
      </c>
      <c r="D30" s="10" t="s">
        <v>481</v>
      </c>
    </row>
    <row r="31" customFormat="false" ht="26.85" hidden="false" customHeight="false" outlineLevel="0" collapsed="false">
      <c r="A31" s="10" t="s">
        <v>483</v>
      </c>
      <c r="B31" s="10" t="s">
        <v>484</v>
      </c>
      <c r="C31" s="10" t="s">
        <v>439</v>
      </c>
      <c r="D31" s="10" t="s">
        <v>485</v>
      </c>
    </row>
    <row r="32" customFormat="false" ht="26.85" hidden="false" customHeight="false" outlineLevel="0" collapsed="false">
      <c r="A32" s="10" t="s">
        <v>486</v>
      </c>
      <c r="B32" s="10" t="s">
        <v>484</v>
      </c>
      <c r="C32" s="10" t="s">
        <v>439</v>
      </c>
      <c r="D32" s="10" t="s">
        <v>485</v>
      </c>
    </row>
    <row r="33" customFormat="false" ht="26.85" hidden="false" customHeight="false" outlineLevel="0" collapsed="false">
      <c r="A33" s="10" t="s">
        <v>487</v>
      </c>
      <c r="B33" s="10" t="s">
        <v>438</v>
      </c>
      <c r="C33" s="10" t="s">
        <v>439</v>
      </c>
      <c r="D33" s="10" t="s">
        <v>488</v>
      </c>
    </row>
    <row r="34" customFormat="false" ht="39.55" hidden="false" customHeight="false" outlineLevel="0" collapsed="false">
      <c r="A34" s="10" t="s">
        <v>404</v>
      </c>
      <c r="B34" s="10" t="s">
        <v>473</v>
      </c>
      <c r="C34" s="10" t="s">
        <v>439</v>
      </c>
      <c r="D34" s="10" t="s">
        <v>489</v>
      </c>
    </row>
    <row r="35" customFormat="false" ht="26.85" hidden="false" customHeight="false" outlineLevel="0" collapsed="false">
      <c r="A35" s="10" t="s">
        <v>490</v>
      </c>
      <c r="B35" s="10" t="s">
        <v>438</v>
      </c>
      <c r="C35" s="10" t="s">
        <v>439</v>
      </c>
      <c r="D35" s="10" t="s">
        <v>491</v>
      </c>
    </row>
    <row r="36" customFormat="false" ht="26.85" hidden="false" customHeight="false" outlineLevel="0" collapsed="false">
      <c r="A36" s="10" t="s">
        <v>492</v>
      </c>
      <c r="B36" s="10" t="s">
        <v>438</v>
      </c>
      <c r="C36" s="10" t="s">
        <v>439</v>
      </c>
      <c r="D36" s="10" t="s">
        <v>493</v>
      </c>
    </row>
    <row r="37" customFormat="false" ht="26.85" hidden="false" customHeight="false" outlineLevel="0" collapsed="false">
      <c r="A37" s="10" t="s">
        <v>494</v>
      </c>
      <c r="B37" s="10" t="s">
        <v>438</v>
      </c>
      <c r="C37" s="10" t="s">
        <v>439</v>
      </c>
      <c r="D37" s="10" t="s">
        <v>493</v>
      </c>
    </row>
    <row r="38" customFormat="false" ht="26.85" hidden="false" customHeight="false" outlineLevel="0" collapsed="false">
      <c r="A38" s="10" t="s">
        <v>495</v>
      </c>
      <c r="B38" s="10" t="s">
        <v>438</v>
      </c>
      <c r="C38" s="10" t="s">
        <v>439</v>
      </c>
      <c r="D38" s="10" t="s">
        <v>496</v>
      </c>
    </row>
    <row r="39" customFormat="false" ht="39.55" hidden="false" customHeight="false" outlineLevel="0" collapsed="false">
      <c r="A39" s="10" t="s">
        <v>497</v>
      </c>
      <c r="B39" s="10" t="s">
        <v>343</v>
      </c>
      <c r="C39" s="10" t="s">
        <v>445</v>
      </c>
      <c r="D39" s="10" t="s">
        <v>498</v>
      </c>
    </row>
    <row r="40" customFormat="false" ht="26.85" hidden="false" customHeight="false" outlineLevel="0" collapsed="false">
      <c r="A40" s="10" t="s">
        <v>499</v>
      </c>
      <c r="B40" s="10" t="s">
        <v>438</v>
      </c>
      <c r="C40" s="10" t="s">
        <v>439</v>
      </c>
      <c r="D40" s="10" t="s">
        <v>500</v>
      </c>
    </row>
    <row r="41" customFormat="false" ht="26.85" hidden="false" customHeight="false" outlineLevel="0" collapsed="false">
      <c r="A41" s="10" t="s">
        <v>497</v>
      </c>
      <c r="B41" s="10" t="s">
        <v>501</v>
      </c>
      <c r="C41" s="10" t="s">
        <v>445</v>
      </c>
      <c r="D41" s="10" t="s">
        <v>502</v>
      </c>
    </row>
    <row r="42" customFormat="false" ht="26.85" hidden="false" customHeight="false" outlineLevel="0" collapsed="false">
      <c r="A42" s="10" t="s">
        <v>503</v>
      </c>
      <c r="B42" s="10" t="s">
        <v>484</v>
      </c>
      <c r="C42" s="10" t="s">
        <v>439</v>
      </c>
      <c r="D42" s="10" t="s">
        <v>504</v>
      </c>
    </row>
    <row r="43" customFormat="false" ht="26.85" hidden="false" customHeight="false" outlineLevel="0" collapsed="false">
      <c r="A43" s="10" t="s">
        <v>412</v>
      </c>
      <c r="B43" s="10" t="s">
        <v>466</v>
      </c>
      <c r="C43" s="10" t="s">
        <v>439</v>
      </c>
      <c r="D43" s="10" t="s">
        <v>505</v>
      </c>
    </row>
    <row r="44" customFormat="false" ht="39.55" hidden="false" customHeight="false" outlineLevel="0" collapsed="false">
      <c r="A44" s="10" t="s">
        <v>506</v>
      </c>
      <c r="B44" s="10" t="s">
        <v>507</v>
      </c>
      <c r="C44" s="10" t="s">
        <v>445</v>
      </c>
      <c r="D44" s="10" t="s">
        <v>508</v>
      </c>
    </row>
    <row r="45" customFormat="false" ht="39.55" hidden="false" customHeight="false" outlineLevel="0" collapsed="false">
      <c r="A45" s="10" t="s">
        <v>509</v>
      </c>
      <c r="B45" s="10" t="s">
        <v>507</v>
      </c>
      <c r="C45" s="10" t="s">
        <v>439</v>
      </c>
      <c r="D45" s="10" t="s">
        <v>508</v>
      </c>
    </row>
    <row r="46" customFormat="false" ht="39.55" hidden="false" customHeight="false" outlineLevel="0" collapsed="false">
      <c r="A46" s="10" t="s">
        <v>412</v>
      </c>
      <c r="B46" s="10" t="s">
        <v>507</v>
      </c>
      <c r="C46" s="10" t="s">
        <v>439</v>
      </c>
      <c r="D46" s="10" t="s">
        <v>508</v>
      </c>
    </row>
    <row r="47" customFormat="false" ht="26.85" hidden="false" customHeight="false" outlineLevel="0" collapsed="false">
      <c r="A47" s="10" t="s">
        <v>510</v>
      </c>
      <c r="B47" s="10" t="s">
        <v>444</v>
      </c>
      <c r="C47" s="10" t="s">
        <v>439</v>
      </c>
      <c r="D47" s="10" t="s">
        <v>511</v>
      </c>
    </row>
    <row r="48" customFormat="false" ht="26.85" hidden="false" customHeight="false" outlineLevel="0" collapsed="false">
      <c r="A48" s="10" t="s">
        <v>512</v>
      </c>
      <c r="B48" s="10" t="s">
        <v>513</v>
      </c>
      <c r="C48" s="10" t="s">
        <v>445</v>
      </c>
      <c r="D48" s="10" t="s">
        <v>514</v>
      </c>
    </row>
    <row r="49" customFormat="false" ht="26.85" hidden="false" customHeight="false" outlineLevel="0" collapsed="false">
      <c r="A49" s="10" t="s">
        <v>515</v>
      </c>
      <c r="B49" s="10" t="s">
        <v>513</v>
      </c>
      <c r="C49" s="10" t="s">
        <v>445</v>
      </c>
      <c r="D49" s="10" t="s">
        <v>514</v>
      </c>
    </row>
    <row r="50" customFormat="false" ht="26.85" hidden="false" customHeight="false" outlineLevel="0" collapsed="false">
      <c r="A50" s="10" t="s">
        <v>516</v>
      </c>
      <c r="B50" s="10" t="s">
        <v>517</v>
      </c>
      <c r="C50" s="10" t="s">
        <v>445</v>
      </c>
      <c r="D50" s="10" t="s">
        <v>518</v>
      </c>
    </row>
    <row r="51" customFormat="false" ht="39.55" hidden="false" customHeight="false" outlineLevel="0" collapsed="false">
      <c r="A51" s="10" t="s">
        <v>519</v>
      </c>
      <c r="B51" s="10" t="s">
        <v>520</v>
      </c>
      <c r="C51" s="10" t="s">
        <v>445</v>
      </c>
      <c r="D51" s="10" t="s">
        <v>521</v>
      </c>
    </row>
    <row r="52" customFormat="false" ht="39.55" hidden="false" customHeight="false" outlineLevel="0" collapsed="false">
      <c r="A52" s="10" t="s">
        <v>522</v>
      </c>
      <c r="B52" s="10" t="s">
        <v>520</v>
      </c>
      <c r="C52" s="10" t="s">
        <v>439</v>
      </c>
      <c r="D52" s="10" t="s">
        <v>521</v>
      </c>
    </row>
    <row r="53" customFormat="false" ht="26.85" hidden="false" customHeight="false" outlineLevel="0" collapsed="false">
      <c r="A53" s="10" t="s">
        <v>516</v>
      </c>
      <c r="B53" s="10" t="s">
        <v>523</v>
      </c>
      <c r="C53" s="10" t="s">
        <v>524</v>
      </c>
      <c r="D53" s="10" t="s">
        <v>525</v>
      </c>
    </row>
    <row r="54" customFormat="false" ht="39.55" hidden="false" customHeight="false" outlineLevel="0" collapsed="false">
      <c r="A54" s="10" t="s">
        <v>519</v>
      </c>
      <c r="B54" s="10" t="s">
        <v>526</v>
      </c>
      <c r="C54" s="10" t="s">
        <v>445</v>
      </c>
      <c r="D54" s="10" t="s">
        <v>527</v>
      </c>
    </row>
    <row r="55" customFormat="false" ht="26.85" hidden="false" customHeight="false" outlineLevel="0" collapsed="false">
      <c r="A55" s="10" t="s">
        <v>414</v>
      </c>
      <c r="B55" s="10" t="s">
        <v>528</v>
      </c>
      <c r="C55" s="10" t="s">
        <v>445</v>
      </c>
      <c r="D55" s="10" t="s">
        <v>529</v>
      </c>
    </row>
    <row r="56" customFormat="false" ht="39.55" hidden="false" customHeight="false" outlineLevel="0" collapsed="false">
      <c r="A56" s="10" t="s">
        <v>416</v>
      </c>
      <c r="B56" s="10" t="s">
        <v>530</v>
      </c>
      <c r="C56" s="10" t="s">
        <v>524</v>
      </c>
      <c r="D56" s="10" t="s">
        <v>531</v>
      </c>
    </row>
    <row r="57" customFormat="false" ht="26.85" hidden="false" customHeight="false" outlineLevel="0" collapsed="false">
      <c r="A57" s="10" t="s">
        <v>393</v>
      </c>
      <c r="B57" s="10" t="s">
        <v>473</v>
      </c>
      <c r="C57" s="10" t="s">
        <v>439</v>
      </c>
      <c r="D57" s="10" t="s">
        <v>532</v>
      </c>
    </row>
    <row r="58" customFormat="false" ht="26.85" hidden="false" customHeight="false" outlineLevel="0" collapsed="false">
      <c r="A58" s="10" t="s">
        <v>533</v>
      </c>
      <c r="B58" s="10" t="s">
        <v>473</v>
      </c>
      <c r="C58" s="10" t="s">
        <v>439</v>
      </c>
      <c r="D58" s="10" t="s">
        <v>474</v>
      </c>
    </row>
    <row r="59" customFormat="false" ht="26.85" hidden="false" customHeight="false" outlineLevel="0" collapsed="false">
      <c r="A59" s="10" t="s">
        <v>534</v>
      </c>
      <c r="B59" s="10" t="s">
        <v>438</v>
      </c>
      <c r="C59" s="10" t="s">
        <v>439</v>
      </c>
      <c r="D59" s="10" t="s">
        <v>455</v>
      </c>
    </row>
    <row r="60" customFormat="false" ht="26.85" hidden="false" customHeight="false" outlineLevel="0" collapsed="false">
      <c r="A60" s="10" t="s">
        <v>535</v>
      </c>
      <c r="B60" s="10" t="s">
        <v>466</v>
      </c>
      <c r="C60" s="10" t="s">
        <v>439</v>
      </c>
      <c r="D60" s="10" t="s">
        <v>472</v>
      </c>
    </row>
    <row r="61" customFormat="false" ht="26.85" hidden="false" customHeight="false" outlineLevel="0" collapsed="false">
      <c r="A61" s="10" t="s">
        <v>420</v>
      </c>
      <c r="B61" s="10" t="s">
        <v>536</v>
      </c>
      <c r="C61" s="10" t="s">
        <v>524</v>
      </c>
      <c r="D61" s="10" t="s">
        <v>537</v>
      </c>
    </row>
    <row r="62" customFormat="false" ht="15" hidden="false" customHeight="false" outlineLevel="0" collapsed="false">
      <c r="A62" s="10" t="s">
        <v>422</v>
      </c>
      <c r="B62" s="10" t="s">
        <v>346</v>
      </c>
      <c r="C62" s="10" t="s">
        <v>524</v>
      </c>
      <c r="D62" s="10" t="s">
        <v>538</v>
      </c>
    </row>
    <row r="63" customFormat="false" ht="26.85" hidden="false" customHeight="false" outlineLevel="0" collapsed="false">
      <c r="A63" s="10" t="s">
        <v>424</v>
      </c>
      <c r="B63" s="10" t="s">
        <v>536</v>
      </c>
      <c r="C63" s="10" t="s">
        <v>524</v>
      </c>
      <c r="D63" s="10" t="s">
        <v>539</v>
      </c>
    </row>
    <row r="64" customFormat="false" ht="39.55" hidden="false" customHeight="false" outlineLevel="0" collapsed="false">
      <c r="A64" s="10" t="s">
        <v>540</v>
      </c>
      <c r="B64" s="10" t="s">
        <v>541</v>
      </c>
      <c r="C64" s="10" t="s">
        <v>439</v>
      </c>
      <c r="D64" s="10" t="s">
        <v>542</v>
      </c>
    </row>
    <row r="65" customFormat="false" ht="39.55" hidden="false" customHeight="false" outlineLevel="0" collapsed="false">
      <c r="A65" s="10" t="s">
        <v>543</v>
      </c>
      <c r="B65" s="10" t="s">
        <v>541</v>
      </c>
      <c r="C65" s="10" t="s">
        <v>439</v>
      </c>
      <c r="D65" s="10" t="s">
        <v>542</v>
      </c>
    </row>
    <row r="66" customFormat="false" ht="39.55" hidden="false" customHeight="false" outlineLevel="0" collapsed="false">
      <c r="A66" s="10" t="s">
        <v>408</v>
      </c>
      <c r="B66" s="10" t="s">
        <v>541</v>
      </c>
      <c r="C66" s="10" t="s">
        <v>439</v>
      </c>
      <c r="D66" s="10" t="s">
        <v>542</v>
      </c>
    </row>
    <row r="67" customFormat="false" ht="39.55" hidden="false" customHeight="false" outlineLevel="0" collapsed="false">
      <c r="A67" s="10" t="s">
        <v>410</v>
      </c>
      <c r="B67" s="10" t="s">
        <v>541</v>
      </c>
      <c r="C67" s="10" t="s">
        <v>439</v>
      </c>
      <c r="D67" s="10" t="s">
        <v>542</v>
      </c>
    </row>
    <row r="68" customFormat="false" ht="39.55" hidden="false" customHeight="false" outlineLevel="0" collapsed="false">
      <c r="A68" s="10" t="s">
        <v>544</v>
      </c>
      <c r="B68" s="10" t="s">
        <v>438</v>
      </c>
      <c r="C68" s="10" t="s">
        <v>439</v>
      </c>
      <c r="D68" s="10" t="s">
        <v>545</v>
      </c>
    </row>
    <row r="69" customFormat="false" ht="39.55" hidden="false" customHeight="false" outlineLevel="0" collapsed="false">
      <c r="A69" s="10" t="s">
        <v>546</v>
      </c>
      <c r="B69" s="10" t="s">
        <v>438</v>
      </c>
      <c r="C69" s="10" t="s">
        <v>439</v>
      </c>
      <c r="D69" s="10" t="s">
        <v>545</v>
      </c>
    </row>
    <row r="70" customFormat="false" ht="39.55" hidden="false" customHeight="false" outlineLevel="0" collapsed="false">
      <c r="A70" s="10" t="s">
        <v>465</v>
      </c>
      <c r="B70" s="10" t="s">
        <v>438</v>
      </c>
      <c r="C70" s="10" t="s">
        <v>439</v>
      </c>
      <c r="D70" s="10" t="s">
        <v>545</v>
      </c>
    </row>
    <row r="71" customFormat="false" ht="39.55" hidden="false" customHeight="false" outlineLevel="0" collapsed="false">
      <c r="A71" s="10" t="s">
        <v>431</v>
      </c>
      <c r="B71" s="10" t="s">
        <v>438</v>
      </c>
      <c r="C71" s="10" t="s">
        <v>439</v>
      </c>
      <c r="D71" s="10" t="s">
        <v>545</v>
      </c>
    </row>
    <row r="72" customFormat="false" ht="39.55" hidden="false" customHeight="false" outlineLevel="0" collapsed="false">
      <c r="A72" s="10" t="s">
        <v>408</v>
      </c>
      <c r="B72" s="10" t="s">
        <v>438</v>
      </c>
      <c r="C72" s="10" t="s">
        <v>439</v>
      </c>
      <c r="D72" s="10" t="s">
        <v>545</v>
      </c>
    </row>
    <row r="73" customFormat="false" ht="39.55" hidden="false" customHeight="false" outlineLevel="0" collapsed="false">
      <c r="A73" s="10" t="s">
        <v>412</v>
      </c>
      <c r="B73" s="10" t="s">
        <v>438</v>
      </c>
      <c r="C73" s="10" t="s">
        <v>439</v>
      </c>
      <c r="D73" s="10" t="s">
        <v>545</v>
      </c>
    </row>
    <row r="74" customFormat="false" ht="39.55" hidden="false" customHeight="false" outlineLevel="0" collapsed="false">
      <c r="A74" s="10" t="s">
        <v>547</v>
      </c>
      <c r="B74" s="10" t="s">
        <v>438</v>
      </c>
      <c r="C74" s="10" t="s">
        <v>439</v>
      </c>
      <c r="D74" s="10" t="s">
        <v>545</v>
      </c>
    </row>
    <row r="75" customFormat="false" ht="26.85" hidden="false" customHeight="false" outlineLevel="0" collapsed="false">
      <c r="A75" s="10" t="s">
        <v>429</v>
      </c>
      <c r="B75" s="10" t="s">
        <v>548</v>
      </c>
      <c r="C75" s="10" t="s">
        <v>445</v>
      </c>
      <c r="D75" s="10" t="s">
        <v>549</v>
      </c>
    </row>
    <row r="76" customFormat="false" ht="26.85" hidden="false" customHeight="false" outlineLevel="0" collapsed="false">
      <c r="A76" s="10" t="s">
        <v>550</v>
      </c>
      <c r="B76" s="10" t="s">
        <v>513</v>
      </c>
      <c r="C76" s="10" t="s">
        <v>445</v>
      </c>
      <c r="D76" s="10" t="s">
        <v>551</v>
      </c>
    </row>
    <row r="77" customFormat="false" ht="26.85" hidden="false" customHeight="false" outlineLevel="0" collapsed="false">
      <c r="A77" s="10" t="s">
        <v>552</v>
      </c>
      <c r="B77" s="10" t="s">
        <v>553</v>
      </c>
      <c r="C77" s="10" t="s">
        <v>524</v>
      </c>
      <c r="D77" s="10" t="s">
        <v>554</v>
      </c>
    </row>
    <row r="78" customFormat="false" ht="26.85" hidden="false" customHeight="false" outlineLevel="0" collapsed="false">
      <c r="A78" s="10" t="s">
        <v>555</v>
      </c>
      <c r="B78" s="10" t="s">
        <v>553</v>
      </c>
      <c r="C78" s="10" t="s">
        <v>445</v>
      </c>
      <c r="D78" s="10" t="s">
        <v>554</v>
      </c>
    </row>
    <row r="79" customFormat="false" ht="26.85" hidden="false" customHeight="false" outlineLevel="0" collapsed="false">
      <c r="A79" s="10" t="s">
        <v>556</v>
      </c>
      <c r="B79" s="10" t="s">
        <v>553</v>
      </c>
      <c r="C79" s="10" t="s">
        <v>445</v>
      </c>
      <c r="D79" s="10" t="s">
        <v>554</v>
      </c>
    </row>
    <row r="80" customFormat="false" ht="15" hidden="false" customHeight="false" outlineLevel="0" collapsed="false">
      <c r="A80" s="10" t="s">
        <v>557</v>
      </c>
      <c r="B80" s="10" t="s">
        <v>558</v>
      </c>
      <c r="C80" s="10" t="s">
        <v>524</v>
      </c>
      <c r="D80" s="10" t="s">
        <v>559</v>
      </c>
    </row>
    <row r="81" customFormat="false" ht="26.85" hidden="false" customHeight="false" outlineLevel="0" collapsed="false">
      <c r="A81" s="10" t="s">
        <v>560</v>
      </c>
      <c r="B81" s="10" t="s">
        <v>561</v>
      </c>
      <c r="C81" s="10" t="s">
        <v>445</v>
      </c>
      <c r="D81" s="10" t="s">
        <v>562</v>
      </c>
    </row>
    <row r="82" customFormat="false" ht="26.85" hidden="false" customHeight="false" outlineLevel="0" collapsed="false">
      <c r="A82" s="10" t="s">
        <v>563</v>
      </c>
      <c r="B82" s="10" t="s">
        <v>561</v>
      </c>
      <c r="C82" s="10" t="s">
        <v>445</v>
      </c>
      <c r="D82" s="10" t="s">
        <v>562</v>
      </c>
    </row>
    <row r="83" customFormat="false" ht="39.55" hidden="false" customHeight="false" outlineLevel="0" collapsed="false">
      <c r="A83" s="10" t="s">
        <v>564</v>
      </c>
      <c r="B83" s="10" t="s">
        <v>565</v>
      </c>
      <c r="C83" s="10" t="s">
        <v>524</v>
      </c>
      <c r="D83" s="10" t="s">
        <v>566</v>
      </c>
    </row>
    <row r="84" customFormat="false" ht="39.55" hidden="false" customHeight="false" outlineLevel="0" collapsed="false">
      <c r="A84" s="10" t="s">
        <v>567</v>
      </c>
      <c r="B84" s="10" t="s">
        <v>568</v>
      </c>
      <c r="C84" s="10" t="s">
        <v>445</v>
      </c>
      <c r="D84" s="10" t="s">
        <v>569</v>
      </c>
    </row>
    <row r="85" customFormat="false" ht="39.55" hidden="false" customHeight="false" outlineLevel="0" collapsed="false">
      <c r="A85" s="10" t="s">
        <v>414</v>
      </c>
      <c r="B85" s="10" t="s">
        <v>568</v>
      </c>
      <c r="C85" s="10" t="s">
        <v>445</v>
      </c>
      <c r="D85" s="10" t="s">
        <v>569</v>
      </c>
    </row>
    <row r="86" customFormat="false" ht="15" hidden="false" customHeight="false" outlineLevel="0" collapsed="false">
      <c r="A86" s="10" t="s">
        <v>570</v>
      </c>
      <c r="B86" s="10" t="s">
        <v>571</v>
      </c>
      <c r="C86" s="10" t="s">
        <v>524</v>
      </c>
      <c r="D86" s="10" t="s">
        <v>572</v>
      </c>
    </row>
    <row r="87" customFormat="false" ht="39.55" hidden="false" customHeight="false" outlineLevel="0" collapsed="false">
      <c r="A87" s="10" t="s">
        <v>573</v>
      </c>
      <c r="B87" s="10" t="s">
        <v>574</v>
      </c>
      <c r="C87" s="10" t="s">
        <v>524</v>
      </c>
      <c r="D87" s="10" t="s">
        <v>575</v>
      </c>
    </row>
    <row r="88" customFormat="false" ht="39.55" hidden="false" customHeight="false" outlineLevel="0" collapsed="false">
      <c r="A88" s="10" t="s">
        <v>576</v>
      </c>
      <c r="B88" s="10" t="s">
        <v>574</v>
      </c>
      <c r="C88" s="10" t="s">
        <v>524</v>
      </c>
      <c r="D88" s="10" t="s">
        <v>575</v>
      </c>
    </row>
    <row r="89" customFormat="false" ht="39.55" hidden="false" customHeight="false" outlineLevel="0" collapsed="false">
      <c r="A89" s="10" t="s">
        <v>416</v>
      </c>
      <c r="B89" s="10" t="s">
        <v>574</v>
      </c>
      <c r="C89" s="10" t="s">
        <v>524</v>
      </c>
      <c r="D89" s="10" t="s">
        <v>575</v>
      </c>
    </row>
    <row r="90" customFormat="false" ht="39.55" hidden="false" customHeight="false" outlineLevel="0" collapsed="false">
      <c r="A90" s="10" t="s">
        <v>465</v>
      </c>
      <c r="B90" s="10" t="s">
        <v>577</v>
      </c>
      <c r="C90" s="10" t="s">
        <v>524</v>
      </c>
      <c r="D90" s="10" t="s">
        <v>578</v>
      </c>
    </row>
    <row r="91" customFormat="false" ht="39.55" hidden="false" customHeight="false" outlineLevel="0" collapsed="false">
      <c r="A91" s="10" t="s">
        <v>579</v>
      </c>
      <c r="B91" s="10" t="s">
        <v>577</v>
      </c>
      <c r="C91" s="10" t="s">
        <v>524</v>
      </c>
      <c r="D91" s="10" t="s">
        <v>578</v>
      </c>
    </row>
    <row r="92" customFormat="false" ht="39.55" hidden="false" customHeight="false" outlineLevel="0" collapsed="false">
      <c r="A92" s="10" t="s">
        <v>580</v>
      </c>
      <c r="B92" s="10" t="s">
        <v>577</v>
      </c>
      <c r="C92" s="10" t="s">
        <v>524</v>
      </c>
      <c r="D92" s="10" t="s">
        <v>578</v>
      </c>
    </row>
    <row r="93" customFormat="false" ht="39.55" hidden="false" customHeight="false" outlineLevel="0" collapsed="false">
      <c r="A93" s="10" t="s">
        <v>429</v>
      </c>
      <c r="B93" s="10" t="s">
        <v>577</v>
      </c>
      <c r="C93" s="10" t="s">
        <v>445</v>
      </c>
      <c r="D93" s="10" t="s">
        <v>578</v>
      </c>
    </row>
    <row r="94" customFormat="false" ht="39.55" hidden="false" customHeight="false" outlineLevel="0" collapsed="false">
      <c r="A94" s="10" t="s">
        <v>581</v>
      </c>
      <c r="B94" s="10" t="s">
        <v>582</v>
      </c>
      <c r="C94" s="10" t="s">
        <v>524</v>
      </c>
      <c r="D94" s="10" t="s">
        <v>583</v>
      </c>
    </row>
    <row r="95" customFormat="false" ht="39.55" hidden="false" customHeight="false" outlineLevel="0" collapsed="false">
      <c r="A95" s="10" t="s">
        <v>584</v>
      </c>
      <c r="B95" s="10" t="s">
        <v>582</v>
      </c>
      <c r="C95" s="10" t="s">
        <v>524</v>
      </c>
      <c r="D95" s="10" t="s">
        <v>583</v>
      </c>
    </row>
    <row r="96" customFormat="false" ht="39.55" hidden="false" customHeight="false" outlineLevel="0" collapsed="false">
      <c r="A96" s="10" t="s">
        <v>585</v>
      </c>
      <c r="B96" s="10" t="s">
        <v>586</v>
      </c>
      <c r="C96" s="10" t="s">
        <v>439</v>
      </c>
      <c r="D96" s="10" t="s">
        <v>587</v>
      </c>
    </row>
    <row r="97" customFormat="false" ht="39.55" hidden="false" customHeight="false" outlineLevel="0" collapsed="false">
      <c r="A97" s="10" t="s">
        <v>495</v>
      </c>
      <c r="B97" s="10" t="s">
        <v>588</v>
      </c>
      <c r="C97" s="10" t="s">
        <v>524</v>
      </c>
      <c r="D97" s="10" t="s">
        <v>589</v>
      </c>
    </row>
    <row r="98" customFormat="false" ht="39.55" hidden="false" customHeight="false" outlineLevel="0" collapsed="false">
      <c r="A98" s="10" t="s">
        <v>590</v>
      </c>
      <c r="B98" s="10" t="s">
        <v>591</v>
      </c>
      <c r="C98" s="10" t="s">
        <v>524</v>
      </c>
      <c r="D98" s="10" t="s">
        <v>592</v>
      </c>
    </row>
    <row r="99" customFormat="false" ht="39.55" hidden="false" customHeight="false" outlineLevel="0" collapsed="false">
      <c r="A99" s="10" t="s">
        <v>593</v>
      </c>
      <c r="B99" s="10" t="s">
        <v>591</v>
      </c>
      <c r="C99" s="10" t="s">
        <v>524</v>
      </c>
      <c r="D99" s="10" t="s">
        <v>592</v>
      </c>
    </row>
    <row r="100" customFormat="false" ht="39.55" hidden="false" customHeight="false" outlineLevel="0" collapsed="false">
      <c r="A100" s="10" t="s">
        <v>594</v>
      </c>
      <c r="B100" s="10" t="s">
        <v>591</v>
      </c>
      <c r="C100" s="10" t="s">
        <v>445</v>
      </c>
      <c r="D100" s="10" t="s">
        <v>592</v>
      </c>
    </row>
    <row r="101" customFormat="false" ht="39.55" hidden="false" customHeight="false" outlineLevel="0" collapsed="false">
      <c r="A101" s="10" t="s">
        <v>595</v>
      </c>
      <c r="B101" s="10" t="s">
        <v>591</v>
      </c>
      <c r="C101" s="10" t="s">
        <v>445</v>
      </c>
      <c r="D101" s="10" t="s">
        <v>592</v>
      </c>
    </row>
    <row r="102" customFormat="false" ht="26.85" hidden="false" customHeight="false" outlineLevel="0" collapsed="false">
      <c r="A102" s="10" t="s">
        <v>596</v>
      </c>
      <c r="B102" s="10" t="s">
        <v>438</v>
      </c>
      <c r="C102" s="10" t="s">
        <v>439</v>
      </c>
      <c r="D102" s="10" t="s">
        <v>491</v>
      </c>
    </row>
    <row r="103" customFormat="false" ht="26.85" hidden="false" customHeight="false" outlineLevel="0" collapsed="false">
      <c r="A103" s="10" t="s">
        <v>492</v>
      </c>
      <c r="B103" s="10" t="s">
        <v>473</v>
      </c>
      <c r="C103" s="10" t="s">
        <v>439</v>
      </c>
      <c r="D103" s="10" t="s">
        <v>597</v>
      </c>
    </row>
    <row r="104" customFormat="false" ht="26.85" hidden="false" customHeight="false" outlineLevel="0" collapsed="false">
      <c r="A104" s="10" t="s">
        <v>598</v>
      </c>
      <c r="B104" s="10" t="s">
        <v>473</v>
      </c>
      <c r="C104" s="10" t="s">
        <v>439</v>
      </c>
      <c r="D104" s="10" t="s">
        <v>597</v>
      </c>
    </row>
    <row r="105" customFormat="false" ht="26.85" hidden="false" customHeight="false" outlineLevel="0" collapsed="false">
      <c r="A105" s="10" t="s">
        <v>599</v>
      </c>
      <c r="B105" s="10" t="s">
        <v>473</v>
      </c>
      <c r="C105" s="10" t="s">
        <v>439</v>
      </c>
      <c r="D105" s="10" t="s">
        <v>600</v>
      </c>
    </row>
    <row r="106" customFormat="false" ht="26.85" hidden="false" customHeight="false" outlineLevel="0" collapsed="false">
      <c r="A106" s="10" t="s">
        <v>494</v>
      </c>
      <c r="B106" s="10" t="s">
        <v>473</v>
      </c>
      <c r="C106" s="10" t="s">
        <v>439</v>
      </c>
      <c r="D106" s="10" t="s">
        <v>600</v>
      </c>
    </row>
    <row r="107" customFormat="false" ht="39.55" hidden="false" customHeight="false" outlineLevel="0" collapsed="false">
      <c r="A107" s="10" t="s">
        <v>601</v>
      </c>
      <c r="B107" s="10" t="s">
        <v>588</v>
      </c>
      <c r="C107" s="10" t="s">
        <v>524</v>
      </c>
      <c r="D107" s="10" t="s">
        <v>602</v>
      </c>
    </row>
    <row r="108" customFormat="false" ht="39.55" hidden="false" customHeight="false" outlineLevel="0" collapsed="false">
      <c r="A108" s="10" t="s">
        <v>603</v>
      </c>
      <c r="B108" s="10" t="s">
        <v>588</v>
      </c>
      <c r="C108" s="10" t="s">
        <v>524</v>
      </c>
      <c r="D108" s="10" t="s">
        <v>602</v>
      </c>
    </row>
    <row r="109" customFormat="false" ht="39.55" hidden="false" customHeight="false" outlineLevel="0" collapsed="false">
      <c r="A109" s="10" t="s">
        <v>604</v>
      </c>
      <c r="B109" s="10" t="s">
        <v>588</v>
      </c>
      <c r="C109" s="10" t="s">
        <v>524</v>
      </c>
      <c r="D109" s="10" t="s">
        <v>602</v>
      </c>
    </row>
    <row r="110" customFormat="false" ht="26.85" hidden="false" customHeight="false" outlineLevel="0" collapsed="false">
      <c r="A110" s="10" t="s">
        <v>416</v>
      </c>
      <c r="B110" s="10" t="s">
        <v>605</v>
      </c>
      <c r="C110" s="10" t="s">
        <v>524</v>
      </c>
      <c r="D110" s="10" t="s">
        <v>606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70"/>
    <col collapsed="false" customWidth="true" hidden="false" outlineLevel="0" max="3" min="3" style="0" width="18"/>
  </cols>
  <sheetData>
    <row r="1" customFormat="false" ht="15" hidden="false" customHeight="false" outlineLevel="0" collapsed="false">
      <c r="A1" s="3" t="s">
        <v>607</v>
      </c>
    </row>
    <row r="2" customFormat="false" ht="15" hidden="false" customHeight="false" outlineLevel="0" collapsed="false">
      <c r="A2" s="4" t="s">
        <v>608</v>
      </c>
    </row>
    <row r="4" customFormat="false" ht="15" hidden="false" customHeight="false" outlineLevel="0" collapsed="false">
      <c r="A4" s="5" t="s">
        <v>609</v>
      </c>
      <c r="B4" s="5" t="s">
        <v>610</v>
      </c>
      <c r="C4" s="5" t="s">
        <v>611</v>
      </c>
    </row>
    <row r="5" customFormat="false" ht="39.55" hidden="false" customHeight="false" outlineLevel="0" collapsed="false">
      <c r="A5" s="10" t="s">
        <v>612</v>
      </c>
      <c r="B5" s="10" t="s">
        <v>613</v>
      </c>
      <c r="C5" s="10" t="s">
        <v>614</v>
      </c>
    </row>
    <row r="6" customFormat="false" ht="15" hidden="false" customHeight="false" outlineLevel="0" collapsed="false">
      <c r="A6" s="10" t="s">
        <v>615</v>
      </c>
      <c r="B6" s="10" t="s">
        <v>616</v>
      </c>
      <c r="C6" s="10" t="s">
        <v>614</v>
      </c>
    </row>
    <row r="7" customFormat="false" ht="15" hidden="false" customHeight="false" outlineLevel="0" collapsed="false">
      <c r="A7" s="10" t="s">
        <v>617</v>
      </c>
      <c r="B7" s="10" t="s">
        <v>618</v>
      </c>
      <c r="C7" s="10" t="s">
        <v>614</v>
      </c>
    </row>
    <row r="8" customFormat="false" ht="15" hidden="false" customHeight="false" outlineLevel="0" collapsed="false">
      <c r="A8" s="10" t="s">
        <v>619</v>
      </c>
      <c r="B8" s="10" t="s">
        <v>620</v>
      </c>
      <c r="C8" s="10" t="s">
        <v>614</v>
      </c>
    </row>
    <row r="9" customFormat="false" ht="15" hidden="false" customHeight="false" outlineLevel="0" collapsed="false">
      <c r="A9" s="10" t="s">
        <v>621</v>
      </c>
      <c r="B9" s="10" t="s">
        <v>622</v>
      </c>
      <c r="C9" s="10" t="s">
        <v>614</v>
      </c>
    </row>
    <row r="10" customFormat="false" ht="15" hidden="false" customHeight="false" outlineLevel="0" collapsed="false">
      <c r="A10" s="10" t="s">
        <v>623</v>
      </c>
      <c r="B10" s="10" t="s">
        <v>624</v>
      </c>
      <c r="C10" s="10" t="s">
        <v>614</v>
      </c>
    </row>
    <row r="11" customFormat="false" ht="15" hidden="false" customHeight="false" outlineLevel="0" collapsed="false">
      <c r="A11" s="10" t="s">
        <v>625</v>
      </c>
      <c r="B11" s="10" t="s">
        <v>626</v>
      </c>
      <c r="C11" s="10" t="s">
        <v>614</v>
      </c>
    </row>
    <row r="12" customFormat="false" ht="15" hidden="false" customHeight="false" outlineLevel="0" collapsed="false">
      <c r="A12" s="10" t="s">
        <v>627</v>
      </c>
      <c r="B12" s="10" t="s">
        <v>628</v>
      </c>
      <c r="C12" s="10" t="s">
        <v>614</v>
      </c>
    </row>
    <row r="13" customFormat="false" ht="15" hidden="false" customHeight="false" outlineLevel="0" collapsed="false">
      <c r="A13" s="10" t="s">
        <v>629</v>
      </c>
      <c r="B13" s="10" t="s">
        <v>630</v>
      </c>
      <c r="C13" s="10" t="s">
        <v>614</v>
      </c>
    </row>
    <row r="14" customFormat="false" ht="15" hidden="false" customHeight="false" outlineLevel="0" collapsed="false">
      <c r="A14" s="10" t="s">
        <v>631</v>
      </c>
      <c r="B14" s="10" t="s">
        <v>632</v>
      </c>
      <c r="C14" s="10" t="s">
        <v>614</v>
      </c>
    </row>
    <row r="15" customFormat="false" ht="52.2" hidden="false" customHeight="false" outlineLevel="0" collapsed="false">
      <c r="A15" s="10" t="s">
        <v>633</v>
      </c>
      <c r="B15" s="10" t="s">
        <v>634</v>
      </c>
      <c r="C15" s="10" t="s">
        <v>635</v>
      </c>
    </row>
    <row r="16" customFormat="false" ht="15" hidden="false" customHeight="false" outlineLevel="0" collapsed="false">
      <c r="A16" s="10" t="s">
        <v>636</v>
      </c>
      <c r="B16" s="10" t="s">
        <v>637</v>
      </c>
      <c r="C16" s="10" t="s">
        <v>638</v>
      </c>
    </row>
    <row r="17" customFormat="false" ht="15" hidden="false" customHeight="false" outlineLevel="0" collapsed="false">
      <c r="A17" s="10" t="s">
        <v>639</v>
      </c>
      <c r="B17" s="10" t="s">
        <v>640</v>
      </c>
      <c r="C17" s="10" t="s">
        <v>641</v>
      </c>
    </row>
    <row r="18" customFormat="false" ht="15" hidden="false" customHeight="false" outlineLevel="0" collapsed="false">
      <c r="A18" s="10" t="s">
        <v>642</v>
      </c>
      <c r="B18" s="10" t="s">
        <v>643</v>
      </c>
      <c r="C18" s="10" t="s">
        <v>394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4"/>
    <col collapsed="false" customWidth="true" hidden="false" outlineLevel="0" max="5" min="5" style="0" width="10"/>
    <col collapsed="false" customWidth="true" hidden="false" outlineLevel="0" max="6" min="6" style="0" width="60"/>
  </cols>
  <sheetData>
    <row r="1" customFormat="false" ht="15" hidden="false" customHeight="false" outlineLevel="0" collapsed="false">
      <c r="A1" s="3" t="s">
        <v>644</v>
      </c>
    </row>
    <row r="2" customFormat="false" ht="15" hidden="false" customHeight="false" outlineLevel="0" collapsed="false">
      <c r="A2" s="4" t="s">
        <v>645</v>
      </c>
    </row>
    <row r="4" customFormat="false" ht="15" hidden="false" customHeight="false" outlineLevel="0" collapsed="false">
      <c r="A4" s="5" t="s">
        <v>646</v>
      </c>
      <c r="B4" s="5" t="s">
        <v>647</v>
      </c>
      <c r="C4" s="5" t="s">
        <v>648</v>
      </c>
      <c r="D4" s="5" t="s">
        <v>649</v>
      </c>
      <c r="E4" s="5" t="s">
        <v>650</v>
      </c>
      <c r="F4" s="5" t="s">
        <v>651</v>
      </c>
    </row>
    <row r="5" customFormat="false" ht="15" hidden="false" customHeight="false" outlineLevel="0" collapsed="false">
      <c r="A5" s="10" t="s">
        <v>652</v>
      </c>
      <c r="B5" s="12" t="n">
        <v>44367780</v>
      </c>
      <c r="C5" s="12" t="n">
        <v>42628210</v>
      </c>
      <c r="D5" s="13" t="n">
        <f aca="false">B5-C5</f>
        <v>1739570</v>
      </c>
      <c r="E5" s="14" t="n">
        <f aca="false">IF(C5=0,0,D5/C5)</f>
        <v>0.0408079532309708</v>
      </c>
      <c r="F5" s="10" t="s">
        <v>653</v>
      </c>
    </row>
    <row r="6" customFormat="false" ht="15" hidden="false" customHeight="false" outlineLevel="0" collapsed="false">
      <c r="A6" s="10" t="s">
        <v>654</v>
      </c>
      <c r="B6" s="12" t="n">
        <v>20376889</v>
      </c>
      <c r="C6" s="12" t="n">
        <v>19519468</v>
      </c>
      <c r="D6" s="13" t="n">
        <f aca="false">B6-C6</f>
        <v>857421</v>
      </c>
      <c r="E6" s="14" t="n">
        <f aca="false">IF(C6=0,0,D6/C6)</f>
        <v>0.0439264533234205</v>
      </c>
      <c r="F6" s="10" t="s">
        <v>655</v>
      </c>
    </row>
    <row r="7" customFormat="false" ht="15" hidden="false" customHeight="false" outlineLevel="0" collapsed="false">
      <c r="A7" s="10" t="s">
        <v>656</v>
      </c>
      <c r="B7" s="12" t="n">
        <v>14124196</v>
      </c>
      <c r="C7" s="12" t="n">
        <v>13568773</v>
      </c>
      <c r="D7" s="13" t="n">
        <f aca="false">B7-C7</f>
        <v>555423</v>
      </c>
      <c r="E7" s="14" t="n">
        <f aca="false">IF(C7=0,0,D7/C7)</f>
        <v>0.0409339149531059</v>
      </c>
      <c r="F7" s="10"/>
    </row>
    <row r="8" customFormat="false" ht="15" hidden="false" customHeight="false" outlineLevel="0" collapsed="false">
      <c r="A8" s="10" t="s">
        <v>657</v>
      </c>
      <c r="B8" s="12" t="n">
        <v>10778490</v>
      </c>
      <c r="C8" s="12" t="n">
        <v>10493767</v>
      </c>
      <c r="D8" s="13" t="n">
        <f aca="false">B8-C8</f>
        <v>284723</v>
      </c>
      <c r="E8" s="14" t="n">
        <f aca="false">IF(C8=0,0,D8/C8)</f>
        <v>0.0271325826083236</v>
      </c>
      <c r="F8" s="10"/>
    </row>
    <row r="9" customFormat="false" ht="15" hidden="false" customHeight="false" outlineLevel="0" collapsed="false">
      <c r="A9" s="10" t="s">
        <v>658</v>
      </c>
      <c r="B9" s="12" t="n">
        <v>4942969</v>
      </c>
      <c r="C9" s="12" t="n">
        <v>4343203</v>
      </c>
      <c r="D9" s="13" t="n">
        <f aca="false">B9-C9</f>
        <v>599766</v>
      </c>
      <c r="E9" s="14" t="n">
        <f aca="false">IF(C9=0,0,D9/C9)</f>
        <v>0.138093015684508</v>
      </c>
      <c r="F9" s="10" t="s">
        <v>659</v>
      </c>
    </row>
    <row r="10" customFormat="false" ht="15" hidden="false" customHeight="false" outlineLevel="0" collapsed="false">
      <c r="A10" s="10" t="s">
        <v>660</v>
      </c>
      <c r="B10" s="12" t="n">
        <v>8091246</v>
      </c>
      <c r="C10" s="12" t="n">
        <v>8088893</v>
      </c>
      <c r="D10" s="13" t="n">
        <f aca="false">B10-C10</f>
        <v>2353</v>
      </c>
      <c r="E10" s="14" t="n">
        <f aca="false">IF(C10=0,0,D10/C10)</f>
        <v>0.000290892709299035</v>
      </c>
      <c r="F10" s="10"/>
    </row>
    <row r="11" customFormat="false" ht="15" hidden="false" customHeight="false" outlineLevel="0" collapsed="false">
      <c r="A11" s="10" t="s">
        <v>661</v>
      </c>
      <c r="B11" s="12" t="n">
        <v>2348694</v>
      </c>
      <c r="C11" s="12" t="n">
        <v>2327339</v>
      </c>
      <c r="D11" s="13" t="n">
        <f aca="false">B11-C11</f>
        <v>21355</v>
      </c>
      <c r="E11" s="14" t="n">
        <f aca="false">IF(C11=0,0,D11/C11)</f>
        <v>0.00917571526967064</v>
      </c>
      <c r="F11" s="10"/>
    </row>
    <row r="12" customFormat="false" ht="15" hidden="false" customHeight="false" outlineLevel="0" collapsed="false">
      <c r="A12" s="10" t="s">
        <v>662</v>
      </c>
      <c r="B12" s="12" t="n">
        <v>81099930</v>
      </c>
      <c r="C12" s="12" t="n">
        <v>77129194</v>
      </c>
      <c r="D12" s="13" t="n">
        <f aca="false">B12-C12</f>
        <v>3970736</v>
      </c>
      <c r="E12" s="14" t="n">
        <f aca="false">IF(C12=0,0,D12/C12)</f>
        <v>0.0514816218616261</v>
      </c>
      <c r="F12" s="10"/>
    </row>
    <row r="13" customFormat="false" ht="15" hidden="false" customHeight="false" outlineLevel="0" collapsed="false">
      <c r="A13" s="10" t="s">
        <v>663</v>
      </c>
      <c r="B13" s="12" t="n">
        <v>29623619</v>
      </c>
      <c r="C13" s="12" t="n">
        <v>25209768</v>
      </c>
      <c r="D13" s="13" t="n">
        <f aca="false">B13-C13</f>
        <v>4413851</v>
      </c>
      <c r="E13" s="14" t="n">
        <f aca="false">IF(C13=0,0,D13/C13)</f>
        <v>0.175084951198282</v>
      </c>
      <c r="F13" s="10" t="s">
        <v>664</v>
      </c>
    </row>
    <row r="14" customFormat="false" ht="15" hidden="false" customHeight="false" outlineLevel="0" collapsed="false">
      <c r="A14" s="10" t="s">
        <v>665</v>
      </c>
      <c r="B14" s="12" t="n">
        <v>12859523</v>
      </c>
      <c r="C14" s="12" t="n">
        <v>11138706</v>
      </c>
      <c r="D14" s="13" t="n">
        <f aca="false">B14-C14</f>
        <v>1720817</v>
      </c>
      <c r="E14" s="14" t="n">
        <f aca="false">IF(C14=0,0,D14/C14)</f>
        <v>0.154489848282197</v>
      </c>
      <c r="F14" s="10"/>
    </row>
    <row r="15" customFormat="false" ht="15" hidden="false" customHeight="false" outlineLevel="0" collapsed="false">
      <c r="A15" s="10" t="s">
        <v>666</v>
      </c>
      <c r="B15" s="12" t="n">
        <v>2402307</v>
      </c>
      <c r="C15" s="12" t="n">
        <v>730965</v>
      </c>
      <c r="D15" s="13" t="n">
        <f aca="false">B15-C15</f>
        <v>1671342</v>
      </c>
      <c r="E15" s="14" t="n">
        <f aca="false">IF(C15=0,0,D15/C15)</f>
        <v>2.2864870411032</v>
      </c>
      <c r="F15" s="10" t="s">
        <v>667</v>
      </c>
    </row>
    <row r="16" customFormat="false" ht="15" hidden="false" customHeight="false" outlineLevel="0" collapsed="false">
      <c r="A16" s="10" t="s">
        <v>668</v>
      </c>
      <c r="B16" s="12" t="n">
        <v>1990647</v>
      </c>
      <c r="C16" s="12" t="n">
        <v>1726197</v>
      </c>
      <c r="D16" s="13" t="n">
        <f aca="false">B16-C16</f>
        <v>264450</v>
      </c>
      <c r="E16" s="14" t="n">
        <f aca="false">IF(C16=0,0,D16/C16)</f>
        <v>0.153198041706711</v>
      </c>
      <c r="F16" s="10"/>
    </row>
    <row r="17" customFormat="false" ht="15" hidden="false" customHeight="false" outlineLevel="0" collapsed="false">
      <c r="A17" s="10" t="s">
        <v>669</v>
      </c>
      <c r="B17" s="12" t="n">
        <v>3402844</v>
      </c>
      <c r="C17" s="12" t="n">
        <v>4936756</v>
      </c>
      <c r="D17" s="13" t="n">
        <f aca="false">B17-C17</f>
        <v>-1533912</v>
      </c>
      <c r="E17" s="14" t="n">
        <f aca="false">IF(C17=0,0,D17/C17)</f>
        <v>-0.310712540785893</v>
      </c>
      <c r="F17" s="10" t="s">
        <v>670</v>
      </c>
    </row>
    <row r="18" customFormat="false" ht="15" hidden="false" customHeight="false" outlineLevel="0" collapsed="false">
      <c r="A18" s="10" t="s">
        <v>671</v>
      </c>
      <c r="B18" s="12" t="n">
        <v>29055727</v>
      </c>
      <c r="C18" s="12" t="n">
        <v>28788338</v>
      </c>
      <c r="D18" s="13" t="n">
        <f aca="false">B18-C18</f>
        <v>267389</v>
      </c>
      <c r="E18" s="14" t="n">
        <f aca="false">IF(C18=0,0,D18/C18)</f>
        <v>0.00928810131380283</v>
      </c>
      <c r="F18" s="10"/>
    </row>
    <row r="19" customFormat="false" ht="15" hidden="false" customHeight="false" outlineLevel="0" collapsed="false">
      <c r="A19" s="10" t="s">
        <v>672</v>
      </c>
      <c r="B19" s="12" t="n">
        <v>4412650</v>
      </c>
      <c r="C19" s="12" t="n">
        <v>2485694</v>
      </c>
      <c r="D19" s="13" t="n">
        <f aca="false">B19-C19</f>
        <v>1926956</v>
      </c>
      <c r="E19" s="14" t="n">
        <f aca="false">IF(C19=0,0,D19/C19)</f>
        <v>0.775218510403936</v>
      </c>
      <c r="F19" s="10" t="s">
        <v>673</v>
      </c>
    </row>
    <row r="20" customFormat="false" ht="15" hidden="false" customHeight="false" outlineLevel="0" collapsed="false">
      <c r="A20" s="10" t="s">
        <v>674</v>
      </c>
      <c r="B20" s="12" t="n">
        <v>2905082</v>
      </c>
      <c r="C20" s="12" t="n">
        <v>3547055</v>
      </c>
      <c r="D20" s="13" t="n">
        <f aca="false">B20-C20</f>
        <v>-641973</v>
      </c>
      <c r="E20" s="14" t="n">
        <f aca="false">IF(C20=0,0,D20/C20)</f>
        <v>-0.18098760802976</v>
      </c>
      <c r="F20" s="10" t="s">
        <v>675</v>
      </c>
    </row>
    <row r="21" customFormat="false" ht="15" hidden="false" customHeight="false" outlineLevel="0" collapsed="false">
      <c r="A21" s="10" t="s">
        <v>676</v>
      </c>
      <c r="B21" s="12" t="n">
        <v>23504510</v>
      </c>
      <c r="C21" s="12" t="n">
        <v>21795029</v>
      </c>
      <c r="D21" s="13" t="n">
        <f aca="false">B21-C21</f>
        <v>1709481</v>
      </c>
      <c r="E21" s="14" t="n">
        <f aca="false">IF(C21=0,0,D21/C21)</f>
        <v>0.0784344448451984</v>
      </c>
      <c r="F21" s="10"/>
    </row>
    <row r="23" customFormat="false" ht="15" hidden="false" customHeight="false" outlineLevel="0" collapsed="false">
      <c r="A23" s="11" t="s">
        <v>677</v>
      </c>
      <c r="B23" s="15" t="n">
        <f aca="false">B7/B5</f>
        <v>0.318343536683602</v>
      </c>
      <c r="C23" s="15" t="n">
        <f aca="false">C7/C5</f>
        <v>0.318305014449352</v>
      </c>
      <c r="D23" s="15" t="n">
        <f aca="false">B23-C23</f>
        <v>3.85222342506597E-005</v>
      </c>
      <c r="E23" s="11"/>
      <c r="F23" s="11" t="s">
        <v>678</v>
      </c>
    </row>
    <row r="24" customFormat="false" ht="15" hidden="false" customHeight="false" outlineLevel="0" collapsed="false">
      <c r="A24" s="11" t="s">
        <v>679</v>
      </c>
      <c r="B24" s="15" t="n">
        <f aca="false">B8/B5</f>
        <v>0.242935075859103</v>
      </c>
      <c r="C24" s="15" t="n">
        <f aca="false">C8/C5</f>
        <v>0.246169543595661</v>
      </c>
      <c r="D24" s="15" t="n">
        <f aca="false">B24-C24</f>
        <v>-0.00323446773655803</v>
      </c>
      <c r="E24" s="11"/>
      <c r="F24" s="11"/>
    </row>
    <row r="25" customFormat="false" ht="15" hidden="false" customHeight="false" outlineLevel="0" collapsed="false">
      <c r="A25" s="11" t="s">
        <v>680</v>
      </c>
      <c r="B25" s="15" t="n">
        <f aca="false">B11/B10</f>
        <v>0.290275935251505</v>
      </c>
      <c r="C25" s="15" t="n">
        <f aca="false">C11/C10</f>
        <v>0.287720334537742</v>
      </c>
      <c r="D25" s="15" t="n">
        <f aca="false">B25-C25</f>
        <v>0.0025556007137631</v>
      </c>
      <c r="E25" s="11"/>
      <c r="F25" s="11"/>
    </row>
    <row r="26" customFormat="false" ht="26.85" hidden="false" customHeight="false" outlineLevel="0" collapsed="false">
      <c r="A26" s="11" t="s">
        <v>681</v>
      </c>
      <c r="B26" s="16" t="n">
        <f aca="false">B15-B16</f>
        <v>411660</v>
      </c>
      <c r="C26" s="16" t="n">
        <f aca="false">C15-C16</f>
        <v>-995232</v>
      </c>
      <c r="D26" s="16" t="n">
        <f aca="false">B26-C26</f>
        <v>1406892</v>
      </c>
      <c r="E26" s="11"/>
      <c r="F26" s="11" t="s">
        <v>682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60"/>
    <col collapsed="false" customWidth="true" hidden="false" outlineLevel="0" max="4" min="3" style="0" width="30"/>
  </cols>
  <sheetData>
    <row r="1" customFormat="false" ht="15" hidden="false" customHeight="false" outlineLevel="0" collapsed="false">
      <c r="A1" s="3" t="s">
        <v>683</v>
      </c>
    </row>
    <row r="2" customFormat="false" ht="15" hidden="false" customHeight="false" outlineLevel="0" collapsed="false">
      <c r="A2" s="4" t="s">
        <v>684</v>
      </c>
    </row>
    <row r="4" customFormat="false" ht="15" hidden="false" customHeight="false" outlineLevel="0" collapsed="false">
      <c r="A4" s="5" t="s">
        <v>685</v>
      </c>
      <c r="B4" s="5" t="s">
        <v>686</v>
      </c>
      <c r="C4" s="5" t="s">
        <v>687</v>
      </c>
      <c r="D4" s="5" t="s">
        <v>688</v>
      </c>
    </row>
    <row r="5" customFormat="false" ht="26.85" hidden="false" customHeight="false" outlineLevel="0" collapsed="false">
      <c r="A5" s="10" t="s">
        <v>689</v>
      </c>
      <c r="B5" s="10" t="s">
        <v>690</v>
      </c>
      <c r="C5" s="10" t="s">
        <v>691</v>
      </c>
      <c r="D5" s="10" t="s">
        <v>692</v>
      </c>
    </row>
    <row r="6" customFormat="false" ht="15" hidden="false" customHeight="false" outlineLevel="0" collapsed="false">
      <c r="A6" s="10" t="s">
        <v>693</v>
      </c>
      <c r="B6" s="10" t="s">
        <v>694</v>
      </c>
      <c r="C6" s="10" t="s">
        <v>695</v>
      </c>
      <c r="D6" s="10" t="s">
        <v>696</v>
      </c>
    </row>
    <row r="7" customFormat="false" ht="26.85" hidden="false" customHeight="false" outlineLevel="0" collapsed="false">
      <c r="A7" s="10" t="s">
        <v>697</v>
      </c>
      <c r="B7" s="10" t="s">
        <v>698</v>
      </c>
      <c r="C7" s="10" t="s">
        <v>699</v>
      </c>
      <c r="D7" s="10" t="s">
        <v>700</v>
      </c>
    </row>
    <row r="8" customFormat="false" ht="15" hidden="false" customHeight="false" outlineLevel="0" collapsed="false">
      <c r="A8" s="10" t="s">
        <v>701</v>
      </c>
      <c r="B8" s="10" t="s">
        <v>702</v>
      </c>
      <c r="C8" s="10" t="s">
        <v>699</v>
      </c>
      <c r="D8" s="10" t="s">
        <v>703</v>
      </c>
    </row>
    <row r="9" customFormat="false" ht="26.85" hidden="false" customHeight="false" outlineLevel="0" collapsed="false">
      <c r="A9" s="10" t="s">
        <v>704</v>
      </c>
      <c r="B9" s="10" t="s">
        <v>705</v>
      </c>
      <c r="C9" s="10" t="s">
        <v>706</v>
      </c>
      <c r="D9" s="10" t="s">
        <v>707</v>
      </c>
    </row>
    <row r="10" customFormat="false" ht="15" hidden="false" customHeight="false" outlineLevel="0" collapsed="false">
      <c r="A10" s="10" t="s">
        <v>708</v>
      </c>
      <c r="B10" s="10" t="s">
        <v>709</v>
      </c>
      <c r="C10" s="10" t="s">
        <v>710</v>
      </c>
      <c r="D10" s="10" t="s">
        <v>61</v>
      </c>
    </row>
    <row r="11" customFormat="false" ht="26.85" hidden="false" customHeight="false" outlineLevel="0" collapsed="false">
      <c r="A11" s="10" t="s">
        <v>711</v>
      </c>
      <c r="B11" s="10" t="s">
        <v>712</v>
      </c>
      <c r="C11" s="10" t="s">
        <v>713</v>
      </c>
      <c r="D11" s="10" t="s">
        <v>714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50"/>
    <col collapsed="false" customWidth="true" hidden="false" outlineLevel="0" max="4" min="4" style="0" width="40"/>
  </cols>
  <sheetData>
    <row r="1" customFormat="false" ht="15" hidden="false" customHeight="false" outlineLevel="0" collapsed="false">
      <c r="A1" s="3" t="s">
        <v>715</v>
      </c>
    </row>
    <row r="2" customFormat="false" ht="15" hidden="false" customHeight="false" outlineLevel="0" collapsed="false">
      <c r="A2" s="4" t="s">
        <v>716</v>
      </c>
    </row>
    <row r="4" customFormat="false" ht="15" hidden="false" customHeight="false" outlineLevel="0" collapsed="false">
      <c r="A4" s="5" t="s">
        <v>717</v>
      </c>
      <c r="B4" s="5" t="s">
        <v>718</v>
      </c>
      <c r="C4" s="5" t="s">
        <v>719</v>
      </c>
      <c r="D4" s="5" t="s">
        <v>720</v>
      </c>
    </row>
    <row r="5" customFormat="false" ht="39.55" hidden="false" customHeight="false" outlineLevel="0" collapsed="false">
      <c r="A5" s="10" t="n">
        <v>1</v>
      </c>
      <c r="B5" s="10" t="s">
        <v>721</v>
      </c>
      <c r="C5" s="10" t="s">
        <v>722</v>
      </c>
      <c r="D5" s="10" t="s">
        <v>723</v>
      </c>
    </row>
    <row r="6" customFormat="false" ht="26.85" hidden="false" customHeight="false" outlineLevel="0" collapsed="false">
      <c r="A6" s="10" t="n">
        <v>2</v>
      </c>
      <c r="B6" s="10" t="s">
        <v>724</v>
      </c>
      <c r="C6" s="10" t="s">
        <v>725</v>
      </c>
      <c r="D6" s="10" t="s">
        <v>726</v>
      </c>
    </row>
    <row r="7" customFormat="false" ht="26.85" hidden="false" customHeight="false" outlineLevel="0" collapsed="false">
      <c r="A7" s="10" t="n">
        <v>3</v>
      </c>
      <c r="B7" s="10" t="s">
        <v>727</v>
      </c>
      <c r="C7" s="10" t="s">
        <v>728</v>
      </c>
      <c r="D7" s="10" t="s">
        <v>729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2026-10-24T00:09:30Z</dcterms:created>
  <dc:creator>openpyxl</dc:creator>
  <dc:description/>
  <dc:language>en-US</dc:language>
  <cp:lastModifiedBy/>
  <dcterms:modified xsi:type="dcterms:W3CDTF">2026-10-24T00:09:30Z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