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_ME" sheetId="1" state="visible" r:id="rId3"/>
    <sheet name="Inventario_Pasta" sheetId="2" state="visible" r:id="rId4"/>
    <sheet name="Fontes_Centrais" sheetId="3" state="visible" r:id="rId5"/>
    <sheet name="Divergencias" sheetId="4" state="visible" r:id="rId6"/>
    <sheet name="Quadro_Reaproveitamento" sheetId="5" state="visible" r:id="rId7"/>
    <sheet name="Matriz_Cobertura" sheetId="6" state="visible" r:id="rId8"/>
    <sheet name="Mapa_Normativo" sheetId="7" state="visible" r:id="rId9"/>
    <sheet name="Conferencia_DF25" sheetId="8" state="visible" r:id="rId10"/>
    <sheet name="Base_Reproducao" sheetId="9" state="visible" r:id="rId11"/>
    <sheet name="Decisoes" sheetId="10" state="visible" r:id="rId12"/>
    <sheet name="Pendencias" sheetId="11" state="visible" r:id="rId13"/>
    <sheet name="Registro_Revisao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<sst xmlns="http://schemas.openxmlformats.org/spreadsheetml/2006/main" count="1140" uniqueCount="804">
  <si>
    <t xml:space="preserve">CONTROLES DE EXECUÇÃO — BLOCO 01 — Dossiê de auditoria didático CPFL Energia S.A. (CPFE3), exercício 2025 (consolidado)</t>
  </si>
  <si>
    <t xml:space="preserve">UnB · Auditoria 1 (CCA0024) · Turma 02 · 2026.2 · Matrícula 231020069 · Entrega 25/10/2026</t>
  </si>
  <si>
    <t xml:space="preserve">Finalidade: registrar o que foi efetivamente verificado em 22/10/2026 no início da execução (Bloco 01) e controlar a cobertura das exigências do enunciado.</t>
  </si>
  <si>
    <t xml:space="preserve">Natureza: trabalho ACADÊMICO. Nada aqui é opinião profissional, nem evidência obtida junto à companhia. Não houve contato com a CPFL, auditores ou terceiros.</t>
  </si>
  <si>
    <t xml:space="preserve">Legenda de estados: CONCLUÍDO = arquivo/verificação existe e foi conferido; EM ANDAMENTO = parcialmente produzido; PENDENTE = não iniciado; INSUMO = material preparatório (não é PT finalizado).</t>
  </si>
  <si>
    <t xml:space="preserve">Legenda de modalidades (enunciado, seção 2): PÚBLICA = Realizado com evidência pública; PLANEJADO = Planejado por falta de acesso; SIMULADO = Simulado para fins didáticos.</t>
  </si>
  <si>
    <t xml:space="preserve">Células em amarelo (aba Conferencia_DF25) são valores transcritos da fonte; as demais colunas numéricas são fórmulas.</t>
  </si>
  <si>
    <t xml:space="preserve">Abas: Inventario_Pasta · Fontes_Centrais · Divergencias · Quadro_Reaproveitamento · Matriz_Cobertura · Mapa_Normativo · Conferencia_DF25 · Base_Reproducao · Decisoes · Pendencias · Registro_Revisao</t>
  </si>
  <si>
    <t xml:space="preserve">Inventário da pasta 'MANDAR PARA O CLAUDE PRO' (ID 1_06Wv8XzYPxV3vQ8TDlXiCpXa6rFI3WV) — 23 itens confirmados em 22/10/2026</t>
  </si>
  <si>
    <t xml:space="preserve">Preparador: Matrícula 231020069 (preparação assistida por IA, Claude) | Data: 22/10/2026 | Revisão: ____ (campo em branco — sem revisão de terceiros simulada)</t>
  </si>
  <si>
    <t xml:space="preserve">Contagem: 23 arquivos diretamente na pasta (igual à informada no prompt inicial). Nenhum item ausente. 'Não lido nesta sessão' significa que a leitura está agendada para o bloco indicado — não significa arquivo ilegível.</t>
  </si>
  <si>
    <t xml:space="preserve">Nº</t>
  </si>
  <si>
    <t xml:space="preserve">Arquivo (nome exato no Drive)</t>
  </si>
  <si>
    <t xml:space="preserve">ID Drive</t>
  </si>
  <si>
    <t xml:space="preserve">Bytes (Drive)</t>
  </si>
  <si>
    <t xml:space="preserve">Grupo</t>
  </si>
  <si>
    <t xml:space="preserve">Situação de leitura</t>
  </si>
  <si>
    <t xml:space="preserve">Observação / conferência</t>
  </si>
  <si>
    <t xml:space="preserve">00_CONTROLE_PROJETO_Auditoria1_CPFL.md</t>
  </si>
  <si>
    <t xml:space="preserve">1KgcxrqRlx6AJ9Xdu0dzhLx_mwOsmtZhY</t>
  </si>
  <si>
    <t xml:space="preserve">A</t>
  </si>
  <si>
    <t xml:space="preserve">Lido integralmente</t>
  </si>
  <si>
    <t xml:space="preserve">Tamanho = registro etapa 5. Contém transcrição 129.669 (correto 129.659) — ver DV01.</t>
  </si>
  <si>
    <t xml:space="preserve">CPFL_Etapa5_Estado_Continuidade.md</t>
  </si>
  <si>
    <t xml:space="preserve">1ebK6uZDk6rgobxtKiUQLddxwKCr_AARc</t>
  </si>
  <si>
    <t xml:space="preserve">Pendências P01–P11 incorporadas.</t>
  </si>
  <si>
    <t xml:space="preserve">CPFL_Etapa5_Registro_Fontes_Continuidade.xlsx</t>
  </si>
  <si>
    <t xml:space="preserve">10y3Sc-qBLR1JliGhuFcGX5vfFU4b8AkW</t>
  </si>
  <si>
    <t xml:space="preserve">Lido (todas as abas)</t>
  </si>
  <si>
    <t xml:space="preserve">IDs F01–F20 e I01–I15 preservados; URLs/datas vazias mantidas como não comprovadas.</t>
  </si>
  <si>
    <t xml:space="preserve">5. CPFL_Etapa5_Relatorio_Metodologico.pdf</t>
  </si>
  <si>
    <t xml:space="preserve">1tou1wO49tWoAKy1VGl4NTnsNQEWVMLj2</t>
  </si>
  <si>
    <t xml:space="preserve">Não lido nesta sessão</t>
  </si>
  <si>
    <t xml:space="preserve">Leitura prevista no Bloco 03 (PT 230).</t>
  </si>
  <si>
    <t xml:space="preserve">PROMPTS CPFL.pdf</t>
  </si>
  <si>
    <t xml:space="preserve">1ktNnQ5Q60DCcfUCoMehSXG5mimi7QMJH</t>
  </si>
  <si>
    <t xml:space="preserve">Lido integralmente (13 blocos)</t>
  </si>
  <si>
    <t xml:space="preserve">Mesmo tamanho do 'CPFL_PROMPTS_GUIA_ADAPTADO_COMPLETO.pdf' do registro (123.025 bytes) — nome diferente; ver DV05.</t>
  </si>
  <si>
    <t xml:space="preserve">4. CPFL_Etapa4_Indice_27_Papeis_Trabalho.xlsx</t>
  </si>
  <si>
    <t xml:space="preserve">1uOFg2moAA2HfD809ZJKfLYcKiNX0nImR</t>
  </si>
  <si>
    <t xml:space="preserve">Controle mestre dos 27 PTs; todos 'não iniciados' como PT completo.</t>
  </si>
  <si>
    <t xml:space="preserve">4. CPFL_Etapa4_Relatorio_Metodologico.pdf</t>
  </si>
  <si>
    <t xml:space="preserve">1I8XMPA2MLzNlzVn7_5J71ozLUXvwmQ_1</t>
  </si>
  <si>
    <t xml:space="preserve">Leitura prevista no Bloco 03.</t>
  </si>
  <si>
    <t xml:space="preserve">2. CPFL_PT320_Planilha_Materialidade_2025.xlsx</t>
  </si>
  <si>
    <t xml:space="preserve">1Khcg57wpKS9j4yOQZ9otIQ-UW5gb6MNE</t>
  </si>
  <si>
    <t xml:space="preserve">B</t>
  </si>
  <si>
    <t xml:space="preserve">Tamanho = registro etapa 5. Insumo do Bloco 04.</t>
  </si>
  <si>
    <t xml:space="preserve">2. CPFL_PT320_Relatorio_Metodologico_Materialidade_2025.pdf</t>
  </si>
  <si>
    <t xml:space="preserve">1mUwv5Udl3yfvk9nHmm_9ibwHzqOHaveP</t>
  </si>
  <si>
    <t xml:space="preserve">Insumo do Bloco 04.</t>
  </si>
  <si>
    <t xml:space="preserve">3. CPFL_Etapa3_Matriz_Preliminar_Riscos_NBCTA315.xlsx</t>
  </si>
  <si>
    <t xml:space="preserve">1ghrj6Pvng3ck82Rfk5MFkGbl9I22KI96</t>
  </si>
  <si>
    <t xml:space="preserve">3. CPFL_Etapa3_Relatorio_Metodologico_NBCTA315.pdf</t>
  </si>
  <si>
    <t xml:space="preserve">1XaYk7J1WnR4MV4Ia8IC6ykJxSb9UZGEL</t>
  </si>
  <si>
    <t xml:space="preserve">CPFL_Base_Sintetica_500000.xlsx</t>
  </si>
  <si>
    <t xml:space="preserve">1zfZSGJNJMHkwQvQpEB-bIEyfNyZ_Omrr</t>
  </si>
  <si>
    <t xml:space="preserve">C</t>
  </si>
  <si>
    <t xml:space="preserve">Não baixável pelo conector (&gt;10 MB)</t>
  </si>
  <si>
    <t xml:space="preserve">Tamanho difere do registrado (35.830.106 bytes) — ver DV03. Base reproduzida pelo gerador (aba Base_Reproducao).</t>
  </si>
  <si>
    <t xml:space="preserve">CPFL_Base_Parametros.json</t>
  </si>
  <si>
    <t xml:space="preserve">1k7BhaHvNrWdSoF-_f8P_yyl59jZXxnN4</t>
  </si>
  <si>
    <t xml:space="preserve">Lido; comparado</t>
  </si>
  <si>
    <t xml:space="preserve">Idêntico aos parâmetros gerados na reexecução de 22/10/2026.</t>
  </si>
  <si>
    <t xml:space="preserve">build_cpfl.py</t>
  </si>
  <si>
    <t xml:space="preserve">1uH87nf9g4NVuE-ynswMy6afCG9SHu8Pw</t>
  </si>
  <si>
    <t xml:space="preserve">Baixado e reexecutado</t>
  </si>
  <si>
    <t xml:space="preserve">SHA-256 5c646bb1…b30b. Caminhos /mnt/data/ fixos (ajustar para reprodução — DV04).</t>
  </si>
  <si>
    <t xml:space="preserve">CPFL_LEIA_ME_Base.txt</t>
  </si>
  <si>
    <t xml:space="preserve">1NlIglzobj3BRXuaRfOmf3XP4FBxxR3LA</t>
  </si>
  <si>
    <t xml:space="preserve">Leitura no Bloco 07.</t>
  </si>
  <si>
    <t xml:space="preserve">CPFL_Ata_Metodologica_Base_Sintetica.pdf</t>
  </si>
  <si>
    <t xml:space="preserve">185gvmNVKsItnIaaLdpshcXzWqzuKLAiI</t>
  </si>
  <si>
    <t xml:space="preserve">Leitura no Bloco 06/07.</t>
  </si>
  <si>
    <t xml:space="preserve">1. CPFL_Relatorio_Validacao_Integral_Definitivo0.pdf</t>
  </si>
  <si>
    <t xml:space="preserve">1ZhCbkiN0PwQEldgQ9oeaTbKiT7uehdkX</t>
  </si>
  <si>
    <t xml:space="preserve">Nome real tem sufixo '0'; registro etapa 5 cita sem o sufixo (DV05). Ressalva: 5 IDs técnicos com vínculo não pareado.</t>
  </si>
  <si>
    <t xml:space="preserve">validacao_integral_cpfl.py</t>
  </si>
  <si>
    <t xml:space="preserve">1FtbYGE3qfviGeq-tjlKLU9Y_fspQIcW4</t>
  </si>
  <si>
    <t xml:space="preserve">CPFL_Gabarito_Erros.csv</t>
  </si>
  <si>
    <t xml:space="preserve">13tkuD6W0ENOYF1wFSZUYrjyfzhS_HDIo</t>
  </si>
  <si>
    <t xml:space="preserve">NÃO ABERTO (reservado)</t>
  </si>
  <si>
    <t xml:space="preserve">Histórico; não usar como verdade final.</t>
  </si>
  <si>
    <t xml:space="preserve">CPFL_Gabarito_Erros_CORRIGIDO.csv</t>
  </si>
  <si>
    <t xml:space="preserve">1x0U3uyVsVLj-4kFB6qywwyGhJ-be5U44</t>
  </si>
  <si>
    <t xml:space="preserve">Tamanho = registro etapa 5. Só será aberto após congelar os testes do PT 530.</t>
  </si>
  <si>
    <t xml:space="preserve">EXEMPLO 1 DE DOSSIE.pdf</t>
  </si>
  <si>
    <t xml:space="preserve">14-IeHTGqrrivjNc_Ykz9kktQteXCmvwK</t>
  </si>
  <si>
    <t xml:space="preserve">D</t>
  </si>
  <si>
    <t xml:space="preserve">Somente referência de forma (Bloco 03).</t>
  </si>
  <si>
    <t xml:space="preserve">EXEMPLO 2 DE DOSSIE.pdf</t>
  </si>
  <si>
    <t xml:space="preserve">1V-iHB05PUPbmgyOrGGt9d29q_t-WMy5R</t>
  </si>
  <si>
    <t xml:space="preserve">EXEMPLO 3 DE DOSSIE.pdf</t>
  </si>
  <si>
    <t xml:space="preserve">1fG4UIODlvV2W9X3rfkWw4Lp2kTv4Q31s</t>
  </si>
  <si>
    <t xml:space="preserve">Fontes centrais localizadas e conferidas no Bloco 01</t>
  </si>
  <si>
    <t xml:space="preserve">IDs F01–F20 do registro da etapa 5 foram preservados (coluna ID mostra a correspondência). Novos IDs FC10–FC13 não colidem com os anteriores. Fontes web: data de acesso real = 22/10/2026.</t>
  </si>
  <si>
    <t xml:space="preserve">ID</t>
  </si>
  <si>
    <t xml:space="preserve">Documento</t>
  </si>
  <si>
    <t xml:space="preserve">Pasta</t>
  </si>
  <si>
    <t xml:space="preserve">Bytes</t>
  </si>
  <si>
    <t xml:space="preserve">SHA-256 (calculado em 22/10/2026)</t>
  </si>
  <si>
    <t xml:space="preserve">Características verificadas</t>
  </si>
  <si>
    <t xml:space="preserve">Situação</t>
  </si>
  <si>
    <t xml:space="preserve">URL / data de acesso</t>
  </si>
  <si>
    <t xml:space="preserve">FC01 (=F01)</t>
  </si>
  <si>
    <t xml:space="preserve">DF25 CPFL.pdf — Demonstrações financeiras individuais e consolidadas 2025, relatório PwC</t>
  </si>
  <si>
    <t xml:space="preserve">1JcqtNdI-70DCaukfmVni-rR-nQbzW25h</t>
  </si>
  <si>
    <t xml:space="preserve">01_Demonstracoes_Contabeis_e_Auditoria</t>
  </si>
  <si>
    <t xml:space="preserve">0694f2b96a355d307eb446dd6201ec46ab79e64b221ae0411abc68bd488ba578</t>
  </si>
  <si>
    <t xml:space="preserve">115 páginas; criado 04/03/2026; envelope DocuSign CD19B0C1-…; BP em imagem (p. física 34 = impressa 2)</t>
  </si>
  <si>
    <t xml:space="preserve">Lido: texto integral + imagem da p. 34 a 300 dpi</t>
  </si>
  <si>
    <t xml:space="preserve">https://publicidadelegal.valor.com.br/valor/2026/03/20/CPFLENERGIA1588267020032026.pdf (publicação legal — URL registrada no controle; não reaberta nesta sessão)</t>
  </si>
  <si>
    <t xml:space="preserve">FC02 (=F02)</t>
  </si>
  <si>
    <t xml:space="preserve">DF24 CPFL.pdf — Demonstrações 2024</t>
  </si>
  <si>
    <t xml:space="preserve">1bFNl9hR-0EcwDhAVuIx0ZjBSwON2cA4h</t>
  </si>
  <si>
    <t xml:space="preserve">01</t>
  </si>
  <si>
    <t xml:space="preserve">pendente</t>
  </si>
  <si>
    <t xml:space="preserve">—</t>
  </si>
  <si>
    <t xml:space="preserve">Localizado; leitura no Bloco 02/09</t>
  </si>
  <si>
    <t xml:space="preserve">FC03 (=F03)</t>
  </si>
  <si>
    <t xml:space="preserve">ITR 1TRI 2025.pdf</t>
  </si>
  <si>
    <t xml:space="preserve">1ucrbjIVfI2Yw9MH817PKc9jODiXgh2rJ</t>
  </si>
  <si>
    <t xml:space="preserve">Localizado</t>
  </si>
  <si>
    <t xml:space="preserve">FC04 (=F04)</t>
  </si>
  <si>
    <t xml:space="preserve">ITR 2TRI 2025.pdf</t>
  </si>
  <si>
    <t xml:space="preserve">1WVl__lyr0WJYGawCUbE5iwJCeqruKRpi</t>
  </si>
  <si>
    <t xml:space="preserve">8.388.608 bytes = 8 MiB exatos — suspeita de truncamento mantida</t>
  </si>
  <si>
    <t xml:space="preserve">Localizado; integridade a testar</t>
  </si>
  <si>
    <t xml:space="preserve">FC05 (=F05)</t>
  </si>
  <si>
    <t xml:space="preserve">ITR 3TRI 2025.pdf</t>
  </si>
  <si>
    <t xml:space="preserve">1ZL8tqXqSvTjh1I9BscuJr13AGZqv9F6k</t>
  </si>
  <si>
    <t xml:space="preserve">FC06 (=F06)</t>
  </si>
  <si>
    <t xml:space="preserve">ITR 1TRI 2026.pdf</t>
  </si>
  <si>
    <t xml:space="preserve">1HDduR-9R4KXLWylYt_U3Mjpfy3akms-6</t>
  </si>
  <si>
    <t xml:space="preserve">Período de 2026 — uso apenas em PT 560/570</t>
  </si>
  <si>
    <t xml:space="preserve">FC07 (=F07)</t>
  </si>
  <si>
    <t xml:space="preserve">ITR 2TRI 2026.pdf</t>
  </si>
  <si>
    <t xml:space="preserve">1VW2PBbXed_SB5nzjefWYCzuIQwuej1Y_</t>
  </si>
  <si>
    <t xml:space="preserve">FC08 (=F08)</t>
  </si>
  <si>
    <t xml:space="preserve">REALESE DE RESULTADOS 4T25.pdf</t>
  </si>
  <si>
    <t xml:space="preserve">1z2mFdomivT14QRo0Sefg0CESGC4wxbDC</t>
  </si>
  <si>
    <t xml:space="preserve">Nome do arquivo com grafia 'REALESE'</t>
  </si>
  <si>
    <t xml:space="preserve">FC09 (=F18)</t>
  </si>
  <si>
    <t xml:space="preserve">CONSOLIDAÇÃO DAS NORMAS AUD 1.pdf</t>
  </si>
  <si>
    <t xml:space="preserve">1CbMTtLqFE4VuId0-Cl3r4wv-g-J4aXtJ</t>
  </si>
  <si>
    <t xml:space="preserve">07_Normas_e_Legislacao</t>
  </si>
  <si>
    <t xml:space="preserve">f2edf5fa9503cbc90f0d900c23d7ba75198bd6a04e2dcc2b1362bc8c38f02775</t>
  </si>
  <si>
    <t xml:space="preserve">756 páginas; contém EC, NBC TA 200–600 (versões vigentes para 2025); 2 erros de fluxo internos no PDF (p. 100 quase vazia)</t>
  </si>
  <si>
    <t xml:space="preserve">Texto extraído; páginas iniciais e vigências indexadas (aba Mapa_Normativo)</t>
  </si>
  <si>
    <t xml:space="preserve">Origem do download não registrada — conferir contra CFC (pendência P04)</t>
  </si>
  <si>
    <t xml:space="preserve">FC10</t>
  </si>
  <si>
    <t xml:space="preserve">Enunciado P2 (texto colado pelo aluno no prompt inicial, 22/10/2026)</t>
  </si>
  <si>
    <t xml:space="preserve">— (anexo da conversa)</t>
  </si>
  <si>
    <t xml:space="preserve">Arquivo 'Instruções P2.pdf' citado no guia NÃO foi localizado no Drive</t>
  </si>
  <si>
    <t xml:space="preserve">Fonte: atividade da disciplina (texto fornecido pelo aluno)</t>
  </si>
  <si>
    <t xml:space="preserve">FC11</t>
  </si>
  <si>
    <t xml:space="preserve">CFC — página 'NBC TA de Auditoria Independente'</t>
  </si>
  <si>
    <t xml:space="preserve">Web</t>
  </si>
  <si>
    <t xml:space="preserve">Lista de normas e DOU</t>
  </si>
  <si>
    <t xml:space="preserve">Acessada em 22/10/2026</t>
  </si>
  <si>
    <t xml:space="preserve">https://cfc.org.br/tecnica/normas-brasileiras-de-contabilidade/nbc-ta-de-auditoria-independente/</t>
  </si>
  <si>
    <t xml:space="preserve">FC12</t>
  </si>
  <si>
    <t xml:space="preserve">Notícia sobre NBC TA 240 (R2) e 570 (R1) — vigência</t>
  </si>
  <si>
    <t xml:space="preserve">Publicação DOU 25/09/2026; aplicação a exercícios iniciados a partir de 01/01/2027</t>
  </si>
  <si>
    <t xml:space="preserve">https://www.lrmconsultoria.com.br/noticias/tecnicas/2026/09/30/cfc-atualiza-normas-de-auditoria-sobre-fraude-e-continuidade-operacional.html (fonte secundária; confirmar no texto oficial CFC/DOU)</t>
  </si>
  <si>
    <t xml:space="preserve">FC13</t>
  </si>
  <si>
    <t xml:space="preserve">CVM Dados Abertos — diretório DFP</t>
  </si>
  <si>
    <t xml:space="preserve">dfp_cia_aberta_2025.zip (12M) modificado em 18/10/2026</t>
  </si>
  <si>
    <t xml:space="preserve">Diretório listado em 22/10/2026; arquivo NÃO baixado (bloqueio de rede do ambiente)</t>
  </si>
  <si>
    <t xml:space="preserve">https://dados.cvm.gov.br/dados/CIA_ABERTA/DOC/DFP/DADOS/</t>
  </si>
  <si>
    <t xml:space="preserve">Divergências identificadas (não corrigidas silenciosamente)</t>
  </si>
  <si>
    <t xml:space="preserve">Valor / trecho de origem</t>
  </si>
  <si>
    <t xml:space="preserve">Fonte confrontada (documento, página)</t>
  </si>
  <si>
    <t xml:space="preserve">Impacto</t>
  </si>
  <si>
    <t xml:space="preserve">Decisão / tratamento</t>
  </si>
  <si>
    <t xml:space="preserve">Estado</t>
  </si>
  <si>
    <t xml:space="preserve">DV01</t>
  </si>
  <si>
    <t xml:space="preserve">00_CONTROLE seção 4 — 'Investimentos em instrumentos patrimoniais' 2025 = 129.669</t>
  </si>
  <si>
    <t xml:space="preserve">DF25 CPFL.pdf, p. física 34 (impressa 2), BP consolidado: 129.659 (R$ mil)</t>
  </si>
  <si>
    <t xml:space="preserve">R$ 10 mil: explica integralmente a diferença de soma do ANC (64.483.626 x 64.483.616)</t>
  </si>
  <si>
    <t xml:space="preserve">Corrigir para 129.659 em todos os PTs; controle antigo preservado como histórico</t>
  </si>
  <si>
    <t xml:space="preserve">Resolvida (Conferencia_DF25)</t>
  </si>
  <si>
    <t xml:space="preserve">DV02</t>
  </si>
  <si>
    <t xml:space="preserve">PROMPTS CPFL.pdf — ativo total na 'página física 23' do DF25</t>
  </si>
  <si>
    <t xml:space="preserve">DF25 CPFL.pdf: BP na p. física 34 (impressa 2)</t>
  </si>
  <si>
    <t xml:space="preserve">Referência de página</t>
  </si>
  <si>
    <t xml:space="preserve">Usar p. física 34 / impressa 2</t>
  </si>
  <si>
    <t xml:space="preserve">Resolvida</t>
  </si>
  <si>
    <t xml:space="preserve">DV03</t>
  </si>
  <si>
    <t xml:space="preserve">Registro etapa 5 — Base xlsx com 35.830.106 bytes e SHA f9c284c0…</t>
  </si>
  <si>
    <t xml:space="preserve">Drive: 41.337.183 bytes (arquivo regravado após o hash?)</t>
  </si>
  <si>
    <t xml:space="preserve">Integridade do arquivo entregue</t>
  </si>
  <si>
    <t xml:space="preserve">Reexecução do gerador reproduz 35.830.104 bytes e parâmetros idênticos; propor que a base de entrega seja a reproduzida (D-B01-03)</t>
  </si>
  <si>
    <t xml:space="preserve">Aberta — decisão</t>
  </si>
  <si>
    <t xml:space="preserve">DV04</t>
  </si>
  <si>
    <t xml:space="preserve">build_cpfl.py grava em /mnt/data/ (caminho absoluto de outra sessão)</t>
  </si>
  <si>
    <t xml:space="preserve">Exigência de reprodução com caminhos relativos (guia, Bloco 07)</t>
  </si>
  <si>
    <t xml:space="preserve">Reprodutibilidade</t>
  </si>
  <si>
    <t xml:space="preserve">Manter original intacto; criar versão de reprodução com caminhos relativos e mesma lógica</t>
  </si>
  <si>
    <t xml:space="preserve">Aberta — Bloco 07</t>
  </si>
  <si>
    <t xml:space="preserve">DV05</t>
  </si>
  <si>
    <t xml:space="preserve">Nomes no registro etapa 5: 'CPFL_Relatorio_Validacao_Integral_Definitivo.pdf' e 'CPFL_PROMPTS_GUIA_ADAPTADO_COMPLETO.pdf'</t>
  </si>
  <si>
    <t xml:space="preserve">Drive: '1. CPFL_Relatorio_Validacao_Integral_Definitivo0.pdf' e 'PROMPTS CPFL.pdf' (mesmos tamanhos)</t>
  </si>
  <si>
    <t xml:space="preserve">Rastreabilidade</t>
  </si>
  <si>
    <t xml:space="preserve">Registrar ambos os nomes; usar nome do Drive</t>
  </si>
  <si>
    <t xml:space="preserve">DV06</t>
  </si>
  <si>
    <t xml:space="preserve">Guia: 'Instruções P2.pdf' (4 páginas) e 'Consolidado Normas Aud1.pdf'</t>
  </si>
  <si>
    <t xml:space="preserve">Drive: enunciado não localizado como PDF; normas = 'CONSOLIDAÇÃO DAS NORMAS AUD 1.pdf'</t>
  </si>
  <si>
    <t xml:space="preserve">Fonte do enunciado</t>
  </si>
  <si>
    <t xml:space="preserve">Usar o texto colado pelo aluno (FC10) como enunciado</t>
  </si>
  <si>
    <t xml:space="preserve">DV07</t>
  </si>
  <si>
    <t xml:space="preserve">Guia: pasta de produção '09_Elaboracao_do_trabalho_CPFL' já pressuposta</t>
  </si>
  <si>
    <t xml:space="preserve">Não existia no Drive em 22/10/2026</t>
  </si>
  <si>
    <t xml:space="preserve">Organização</t>
  </si>
  <si>
    <t xml:space="preserve">Criada nesta sessão com subpastas 00–07 e 99</t>
  </si>
  <si>
    <t xml:space="preserve">DV08</t>
  </si>
  <si>
    <t xml:space="preserve">Guia: cronograma '21/10 B01–03; 20/10 B04–06; 21/10 B07–08; 22/10…'</t>
  </si>
  <si>
    <t xml:space="preserve">Datas incoerentes (retroativas) e início real em 22/10</t>
  </si>
  <si>
    <t xml:space="preserve">Prazo</t>
  </si>
  <si>
    <t xml:space="preserve">Novo cronograma (aba Quadro_Reaproveitamento / ESTADO_DO_PROJETO)</t>
  </si>
  <si>
    <t xml:space="preserve">DV09</t>
  </si>
  <si>
    <t xml:space="preserve">CFC lista NBC TA 240 (R2) e NBC TA 570 (R1), DOU 25/09/2026</t>
  </si>
  <si>
    <t xml:space="preserve">Aplicáveis a exercícios iniciados a partir de 01/01/2027</t>
  </si>
  <si>
    <t xml:space="preserve">Versão normativa</t>
  </si>
  <si>
    <t xml:space="preserve">Para 2025 usar NBC TA 240 (R1) e NBC TA 570 (versão 2016), presentes no consolidado</t>
  </si>
  <si>
    <t xml:space="preserve">Resolvida (Mapa_Normativo)</t>
  </si>
  <si>
    <t xml:space="preserve">DV11</t>
  </si>
  <si>
    <t xml:space="preserve">00_CONTROLE seção 4 — 'IR/CS a compensar (circ.)' 2024 = 716.764</t>
  </si>
  <si>
    <t xml:space="preserve">DF25 p. física 34: 715.764 (R$ mil)</t>
  </si>
  <si>
    <t xml:space="preserve">R$ 1.000 mil no comparativo 2024 (circulante); R$ 1 mil remanescente = arredondamento da DF</t>
  </si>
  <si>
    <t xml:space="preserve">Corrigir para 715.764 em PT 510/520</t>
  </si>
  <si>
    <t xml:space="preserve">DV10</t>
  </si>
  <si>
    <t xml:space="preserve">00_CONTROLE: ativo NC 2024 — soma das linhas</t>
  </si>
  <si>
    <t xml:space="preserve">Soma = 60.577.646 vs total 60.577.648</t>
  </si>
  <si>
    <t xml:space="preserve">R$ 2 mil — arredondamento da própria DF</t>
  </si>
  <si>
    <t xml:space="preserve">Registrar como arredondamento de apresentação</t>
  </si>
  <si>
    <t xml:space="preserve">Quadro reaproveitar / verificar / completar / executar / não aplicável — por bloco e etapa</t>
  </si>
  <si>
    <t xml:space="preserve">Bloco/etapa</t>
  </si>
  <si>
    <t xml:space="preserve">Tema</t>
  </si>
  <si>
    <t xml:space="preserve">PTs</t>
  </si>
  <si>
    <t xml:space="preserve">Insumo existente</t>
  </si>
  <si>
    <t xml:space="preserve">Ação</t>
  </si>
  <si>
    <t xml:space="preserve">Justificativa / observação</t>
  </si>
  <si>
    <t xml:space="preserve">B01</t>
  </si>
  <si>
    <t xml:space="preserve">Início, requisitos, mapa normativo</t>
  </si>
  <si>
    <t xml:space="preserve">PT 230 (prep.)</t>
  </si>
  <si>
    <t xml:space="preserve">Controles etapa 5; índice etapa 4</t>
  </si>
  <si>
    <t xml:space="preserve">EXECUTAR + REAPROVEITAR</t>
  </si>
  <si>
    <t xml:space="preserve">Este arquivo; inventário, cobertura, mapa normativo e conferência produzidos</t>
  </si>
  <si>
    <t xml:space="preserve">B02</t>
  </si>
  <si>
    <t xml:space="preserve">Entidade e saldos</t>
  </si>
  <si>
    <t xml:space="preserve">Suporte a todos</t>
  </si>
  <si>
    <t xml:space="preserve">00_CONTROLE seção 3–4</t>
  </si>
  <si>
    <t xml:space="preserve">VERIFICAR + COMPLETAR</t>
  </si>
  <si>
    <t xml:space="preserve">Saldos do controle já checados no ativo; falta passivo, DRE, DFC, notas e CVM</t>
  </si>
  <si>
    <t xml:space="preserve">B03</t>
  </si>
  <si>
    <t xml:space="preserve">Modelo e condições</t>
  </si>
  <si>
    <t xml:space="preserve">EC, 200, 210, 220, 230</t>
  </si>
  <si>
    <t xml:space="preserve">Índice etapa 4; exemplos (forma)</t>
  </si>
  <si>
    <t xml:space="preserve">EXECUTAR</t>
  </si>
  <si>
    <t xml:space="preserve">Nenhum PT redigido ainda</t>
  </si>
  <si>
    <t xml:space="preserve">B04</t>
  </si>
  <si>
    <t xml:space="preserve">Materialidade, riscos, programas</t>
  </si>
  <si>
    <t xml:space="preserve">240, 250, 300, 315, 320, 330 + 6 programas</t>
  </si>
  <si>
    <t xml:space="preserve">Planilha PT 320; matriz 17 riscos</t>
  </si>
  <si>
    <t xml:space="preserve">REAPROVEITAR (320, 315) + VERIFICAR + EXECUTAR</t>
  </si>
  <si>
    <t xml:space="preserve">Não refazer cálculo; conferir bases com DF25 e redigir PTs</t>
  </si>
  <si>
    <t xml:space="preserve">B05</t>
  </si>
  <si>
    <t xml:space="preserve">Grupo e prestadores</t>
  </si>
  <si>
    <t xml:space="preserve">402, 600</t>
  </si>
  <si>
    <t xml:space="preserve">DFs controladas pasta 06</t>
  </si>
  <si>
    <t xml:space="preserve">NBC TA 600 (R2) aplicável (vigência 2024)</t>
  </si>
  <si>
    <t xml:space="preserve">B06</t>
  </si>
  <si>
    <t xml:space="preserve">Projeto da base</t>
  </si>
  <si>
    <t xml:space="preserve">Apoio 320/500/530</t>
  </si>
  <si>
    <t xml:space="preserve">Conta aprovada 21/10; ata; parâmetros</t>
  </si>
  <si>
    <t xml:space="preserve">REAPROVEITAR + VERIFICAR</t>
  </si>
  <si>
    <t xml:space="preserve">Conta não reescolhida; documentar justificativa e dicionário</t>
  </si>
  <si>
    <t xml:space="preserve">B07</t>
  </si>
  <si>
    <t xml:space="preserve">Geração e conciliação</t>
  </si>
  <si>
    <t xml:space="preserve">500 (parcial)</t>
  </si>
  <si>
    <t xml:space="preserve">build_cpfl.py; validação integral</t>
  </si>
  <si>
    <t xml:space="preserve">REAPROVEITAR + COMPLETAR</t>
  </si>
  <si>
    <t xml:space="preserve">Base reproduzida em 22/10; falta versão com caminhos relativos e CSV comprimido</t>
  </si>
  <si>
    <t xml:space="preserve">B08</t>
  </si>
  <si>
    <t xml:space="preserve">Testes e amostragem</t>
  </si>
  <si>
    <t xml:space="preserve">530, 450 (simulado)</t>
  </si>
  <si>
    <t xml:space="preserve">Base; gabarito reservado</t>
  </si>
  <si>
    <t xml:space="preserve">Gabarito só após congelar testes</t>
  </si>
  <si>
    <t xml:space="preserve">B09</t>
  </si>
  <si>
    <t xml:space="preserve">Abertura, analíticos, estimativas, PR</t>
  </si>
  <si>
    <t xml:space="preserve">510, 520, 540, 550</t>
  </si>
  <si>
    <t xml:space="preserve">DF24/DF25</t>
  </si>
  <si>
    <t xml:space="preserve">B10</t>
  </si>
  <si>
    <t xml:space="preserve">Itens específicos, confirmações, eventos, continuidade</t>
  </si>
  <si>
    <t xml:space="preserve">501, 505, 560, 570</t>
  </si>
  <si>
    <t xml:space="preserve">ITRs 2026; escrituras</t>
  </si>
  <si>
    <t xml:space="preserve">NBC TA 570 versão 2016 (não a R1 de 2026)</t>
  </si>
  <si>
    <t xml:space="preserve">B11</t>
  </si>
  <si>
    <t xml:space="preserve">Comunicações e conclusão</t>
  </si>
  <si>
    <t xml:space="preserve">260, 265, 580; fechamento 450/500</t>
  </si>
  <si>
    <t xml:space="preserve">Todos</t>
  </si>
  <si>
    <t xml:space="preserve">B12</t>
  </si>
  <si>
    <t xml:space="preserve">Revisão técnica</t>
  </si>
  <si>
    <t xml:space="preserve">Transversal</t>
  </si>
  <si>
    <t xml:space="preserve">Revisão automatizada identificada como tal</t>
  </si>
  <si>
    <t xml:space="preserve">B13</t>
  </si>
  <si>
    <t xml:space="preserve">Word/PDF/GitHub</t>
  </si>
  <si>
    <t xml:space="preserve">Entrega</t>
  </si>
  <si>
    <t xml:space="preserve">Base &gt; 25 MB: verificar limite atual do GitHub</t>
  </si>
  <si>
    <t xml:space="preserve">Etapa 1</t>
  </si>
  <si>
    <t xml:space="preserve">Base sintética + validação</t>
  </si>
  <si>
    <t xml:space="preserve">530/500/450</t>
  </si>
  <si>
    <t xml:space="preserve">xlsx, json, py, relatório</t>
  </si>
  <si>
    <t xml:space="preserve">REAPROVEITAR (com ressalva DV03/DV04 e 5 anomalias)</t>
  </si>
  <si>
    <t xml:space="preserve">Não regerar lógica; só reprodução</t>
  </si>
  <si>
    <t xml:space="preserve">Etapa 2</t>
  </si>
  <si>
    <t xml:space="preserve">Materialidade</t>
  </si>
  <si>
    <t xml:space="preserve">320</t>
  </si>
  <si>
    <t xml:space="preserve">xlsx + pdf</t>
  </si>
  <si>
    <t xml:space="preserve">Bases conferidas: LAIR 8.091.246 a confirmar na DRE (B02)</t>
  </si>
  <si>
    <t xml:space="preserve">Etapa 3</t>
  </si>
  <si>
    <t xml:space="preserve">Matriz preliminar</t>
  </si>
  <si>
    <t xml:space="preserve">315</t>
  </si>
  <si>
    <t xml:space="preserve">Converter em PT 315 com fontes/páginas</t>
  </si>
  <si>
    <t xml:space="preserve">Etapa 4</t>
  </si>
  <si>
    <t xml:space="preserve">Índice 27 PTs</t>
  </si>
  <si>
    <t xml:space="preserve">REAPROVEITAR (controle mestre)</t>
  </si>
  <si>
    <t xml:space="preserve">Status atualizado só com entregáveis reais</t>
  </si>
  <si>
    <t xml:space="preserve">Etapa 5</t>
  </si>
  <si>
    <t xml:space="preserve">Registro de fontes</t>
  </si>
  <si>
    <t xml:space="preserve">xlsx + md + pdf</t>
  </si>
  <si>
    <t xml:space="preserve">URLs/datas preenchidas apenas quando acessadas</t>
  </si>
  <si>
    <t xml:space="preserve">Exemplos 1–3</t>
  </si>
  <si>
    <t xml:space="preserve">Referência visual</t>
  </si>
  <si>
    <t xml:space="preserve">pdf</t>
  </si>
  <si>
    <t xml:space="preserve">NÃO APLICÁVEL como fonte de fatos</t>
  </si>
  <si>
    <t xml:space="preserve">Apenas forma (decisão do aluno e do guia)</t>
  </si>
  <si>
    <t xml:space="preserve">Matriz de cobertura das obrigações do enunciado (fonte: FC10)</t>
  </si>
  <si>
    <t xml:space="preserve">Obrigação (enunciado)</t>
  </si>
  <si>
    <t xml:space="preserve">Saída</t>
  </si>
  <si>
    <t xml:space="preserve">Bloco</t>
  </si>
  <si>
    <t xml:space="preserve">PT</t>
  </si>
  <si>
    <t xml:space="preserve">Critério de aceite</t>
  </si>
  <si>
    <t xml:space="preserve">Estado em 22/10/2026</t>
  </si>
  <si>
    <t xml:space="preserve">E-01</t>
  </si>
  <si>
    <t xml:space="preserve">Dossiê da companhia atribuída (CPFL, CPFE3) cobrindo EC e NBC TA 200 a 600</t>
  </si>
  <si>
    <t xml:space="preserve">Dossiê DOCX+PDF</t>
  </si>
  <si>
    <t xml:space="preserve">B03–B13</t>
  </si>
  <si>
    <t xml:space="preserve">27 PTs presentes com 9 campos</t>
  </si>
  <si>
    <t xml:space="preserve">PENDENTE</t>
  </si>
  <si>
    <t xml:space="preserve">E-02</t>
  </si>
  <si>
    <t xml:space="preserve">Usar DFs 2025, comparativos, notas e relatório do auditor</t>
  </si>
  <si>
    <t xml:space="preserve">Fontes FC01/FC02</t>
  </si>
  <si>
    <t xml:space="preserve">Cada saldo com doc/página</t>
  </si>
  <si>
    <t xml:space="preserve">EM ANDAMENTO (ativo conferido)</t>
  </si>
  <si>
    <t xml:space="preserve">E-03</t>
  </si>
  <si>
    <t xml:space="preserve">Aplicar julgamento, ceticismo, risco, planejamento, evidência</t>
  </si>
  <si>
    <t xml:space="preserve">PTs 200/300/315/330</t>
  </si>
  <si>
    <t xml:space="preserve">B03–B04</t>
  </si>
  <si>
    <t xml:space="preserve">200,300,315,330</t>
  </si>
  <si>
    <t xml:space="preserve">Julgamentos fundamentados</t>
  </si>
  <si>
    <t xml:space="preserve">E-04</t>
  </si>
  <si>
    <t xml:space="preserve">Fontes CVM/B3/RI com URL, data, documento, página, exercício</t>
  </si>
  <si>
    <t xml:space="preserve">Fontes_Usadas</t>
  </si>
  <si>
    <t xml:space="preserve">230</t>
  </si>
  <si>
    <t xml:space="preserve">Nenhuma fonte sem data real</t>
  </si>
  <si>
    <t xml:space="preserve">EM ANDAMENTO</t>
  </si>
  <si>
    <t xml:space="preserve">E-05</t>
  </si>
  <si>
    <t xml:space="preserve">Identificar alterações de nome empresarial e código de negociação</t>
  </si>
  <si>
    <t xml:space="preserve">Memorando entidade</t>
  </si>
  <si>
    <t xml:space="preserve">EC/315</t>
  </si>
  <si>
    <t xml:space="preserve">Fonte CVM/B3 verificada</t>
  </si>
  <si>
    <t xml:space="preserve">PENDENTE (Draftll Participações — a reconfirmar)</t>
  </si>
  <si>
    <t xml:space="preserve">E-06</t>
  </si>
  <si>
    <t xml:space="preserve">Não contatar empresa/terceiros</t>
  </si>
  <si>
    <t xml:space="preserve">Declaração no dossiê</t>
  </si>
  <si>
    <t xml:space="preserve">200/505</t>
  </si>
  <si>
    <t xml:space="preserve">Nenhum envio</t>
  </si>
  <si>
    <t xml:space="preserve">CUMPRIDO até aqui</t>
  </si>
  <si>
    <t xml:space="preserve">E-07</t>
  </si>
  <si>
    <t xml:space="preserve">Classificar cada procedimento (Pública/Planejado/Simulado)</t>
  </si>
  <si>
    <t xml:space="preserve">Coluna de modalidade</t>
  </si>
  <si>
    <t xml:space="preserve">B03–B11</t>
  </si>
  <si>
    <t xml:space="preserve">100% dos procedimentos classificados</t>
  </si>
  <si>
    <t xml:space="preserve">E-08</t>
  </si>
  <si>
    <t xml:space="preserve">Não apresentar confirmações/entrevistas/inspeções como realizadas</t>
  </si>
  <si>
    <t xml:space="preserve">Revisão B12</t>
  </si>
  <si>
    <t xml:space="preserve">Varredura sem achados</t>
  </si>
  <si>
    <t xml:space="preserve">E-09</t>
  </si>
  <si>
    <t xml:space="preserve">Todos os PTs do roteiro; 'não se aplica' só com análise</t>
  </si>
  <si>
    <t xml:space="preserve">27 PTs</t>
  </si>
  <si>
    <t xml:space="preserve">Justificativa específica</t>
  </si>
  <si>
    <t xml:space="preserve">E-10</t>
  </si>
  <si>
    <t xml:space="preserve">Base simulada ≥ 500.000 linhas da conta de maior materialidade do ativo</t>
  </si>
  <si>
    <t xml:space="preserve">Base reproduzida</t>
  </si>
  <si>
    <t xml:space="preserve">B06–B07</t>
  </si>
  <si>
    <t xml:space="preserve">500/530</t>
  </si>
  <si>
    <t xml:space="preserve">500.000 linhas lidas do arquivo</t>
  </si>
  <si>
    <t xml:space="preserve">EM ANDAMENTO (reproduzida; leitura de contagem no B07)</t>
  </si>
  <si>
    <t xml:space="preserve">E-11</t>
  </si>
  <si>
    <t xml:space="preserve">Registros individuais compatíveis com a conta; sem repetição</t>
  </si>
  <si>
    <t xml:space="preserve">Especificação</t>
  </si>
  <si>
    <t xml:space="preserve">530</t>
  </si>
  <si>
    <t xml:space="preserve">Unidade de registro = bem da base de remuneração</t>
  </si>
  <si>
    <t xml:space="preserve">INSUMO</t>
  </si>
  <si>
    <t xml:space="preserve">E-12</t>
  </si>
  <si>
    <t xml:space="preserve">Justificar escolha da conta e materialidade</t>
  </si>
  <si>
    <t xml:space="preserve">Memorando de conta</t>
  </si>
  <si>
    <t xml:space="preserve">320/500</t>
  </si>
  <si>
    <t xml:space="preserve">AFC = 36,5% do ativo (29.623.619/81.099.930)</t>
  </si>
  <si>
    <t xml:space="preserve">EM ANDAMENTO (saldo conferido na DF25 p. 34)</t>
  </si>
  <si>
    <t xml:space="preserve">E-13</t>
  </si>
  <si>
    <t xml:space="preserve">Premissas e método de geração</t>
  </si>
  <si>
    <t xml:space="preserve">Ata + memorando</t>
  </si>
  <si>
    <t xml:space="preserve">500</t>
  </si>
  <si>
    <t xml:space="preserve">Documento revisado</t>
  </si>
  <si>
    <t xml:space="preserve">E-14</t>
  </si>
  <si>
    <t xml:space="preserve">Dicionário de variáveis</t>
  </si>
  <si>
    <t xml:space="preserve">Dicionário</t>
  </si>
  <si>
    <t xml:space="preserve">12 campos</t>
  </si>
  <si>
    <t xml:space="preserve">INSUMO (aba Dicionario do gerador)</t>
  </si>
  <si>
    <t xml:space="preserve">E-15</t>
  </si>
  <si>
    <t xml:space="preserve">Conciliar total da base com saldo contábil</t>
  </si>
  <si>
    <t xml:space="preserve">Conciliação</t>
  </si>
  <si>
    <t xml:space="preserve">Diferença R$ 0,00 explicada</t>
  </si>
  <si>
    <t xml:space="preserve">EM ANDAMENTO (soma reproduzida = alvo)</t>
  </si>
  <si>
    <t xml:space="preserve">E-16</t>
  </si>
  <si>
    <t xml:space="preserve">Usar a base: amostras, exceções, avaliação</t>
  </si>
  <si>
    <t xml:space="preserve">PT 530/450</t>
  </si>
  <si>
    <t xml:space="preserve">530/450</t>
  </si>
  <si>
    <t xml:space="preserve">Código executado + resultados</t>
  </si>
  <si>
    <t xml:space="preserve">E-17</t>
  </si>
  <si>
    <t xml:space="preserve">GitHub: código, instruções, PTs da base</t>
  </si>
  <si>
    <t xml:space="preserve">Repositório</t>
  </si>
  <si>
    <t xml:space="preserve">Link acessível</t>
  </si>
  <si>
    <t xml:space="preserve">E-18</t>
  </si>
  <si>
    <t xml:space="preserve">Erros inseridos documentados + registro comparável</t>
  </si>
  <si>
    <t xml:space="preserve">Gabarito + comparação</t>
  </si>
  <si>
    <t xml:space="preserve">450/530</t>
  </si>
  <si>
    <t xml:space="preserve">Comparação após congelamento</t>
  </si>
  <si>
    <t xml:space="preserve">INSUMO (gabarito reservado)</t>
  </si>
  <si>
    <t xml:space="preserve">E-19</t>
  </si>
  <si>
    <t xml:space="preserve">Dados expressamente sintéticos</t>
  </si>
  <si>
    <t xml:space="preserve">Rótulos</t>
  </si>
  <si>
    <t xml:space="preserve">Campo origem_dados = SINTETICO</t>
  </si>
  <si>
    <t xml:space="preserve">E-20</t>
  </si>
  <si>
    <t xml:space="preserve">9 campos mínimos em cada PT</t>
  </si>
  <si>
    <t xml:space="preserve">Modelo de PT</t>
  </si>
  <si>
    <t xml:space="preserve">Checklist por PT</t>
  </si>
  <si>
    <t xml:space="preserve">E-21</t>
  </si>
  <si>
    <t xml:space="preserve">Campo de revisão sem assinatura simulada</t>
  </si>
  <si>
    <t xml:space="preserve">Campo em branco</t>
  </si>
  <si>
    <t xml:space="preserve">APLICADO neste arquivo</t>
  </si>
  <si>
    <t xml:space="preserve">E-22</t>
  </si>
  <si>
    <t xml:space="preserve">Dossiê em PDF com referências cruzadas</t>
  </si>
  <si>
    <t xml:space="preserve">PDF</t>
  </si>
  <si>
    <t xml:space="preserve">PDF = DOCX final</t>
  </si>
  <si>
    <t xml:space="preserve">E-23</t>
  </si>
  <si>
    <t xml:space="preserve">Base ≥ 500k + dicionário no repositório (ou link)</t>
  </si>
  <si>
    <t xml:space="preserve">Base</t>
  </si>
  <si>
    <t xml:space="preserve">Link testado</t>
  </si>
  <si>
    <t xml:space="preserve">E-24</t>
  </si>
  <si>
    <t xml:space="preserve">Código de geração e análise</t>
  </si>
  <si>
    <t xml:space="preserve">Scripts</t>
  </si>
  <si>
    <t xml:space="preserve">B07–B08</t>
  </si>
  <si>
    <t xml:space="preserve">Reexecução limpa</t>
  </si>
  <si>
    <t xml:space="preserve">EM ANDAMENTO (gerador reexecutado)</t>
  </si>
  <si>
    <t xml:space="preserve">E-25</t>
  </si>
  <si>
    <t xml:space="preserve">Planilhas editáveis (materialidade, amostras, análises, conciliações)</t>
  </si>
  <si>
    <t xml:space="preserve">XLSX</t>
  </si>
  <si>
    <t xml:space="preserve">B04–B09</t>
  </si>
  <si>
    <t xml:space="preserve">320/530/520</t>
  </si>
  <si>
    <t xml:space="preserve">Fórmulas recalculadas</t>
  </si>
  <si>
    <t xml:space="preserve">INSUMO (materialidade)</t>
  </si>
  <si>
    <t xml:space="preserve">E-26</t>
  </si>
  <si>
    <t xml:space="preserve">Matriz de cobertura das normas</t>
  </si>
  <si>
    <t xml:space="preserve">Esta aba + Mapa_Normativo</t>
  </si>
  <si>
    <t xml:space="preserve">B01/B12</t>
  </si>
  <si>
    <t xml:space="preserve">Norma → PT</t>
  </si>
  <si>
    <t xml:space="preserve">E-27</t>
  </si>
  <si>
    <t xml:space="preserve">Relação das fontes e links</t>
  </si>
  <si>
    <t xml:space="preserve">URL + data</t>
  </si>
  <si>
    <t xml:space="preserve">E-28</t>
  </si>
  <si>
    <t xml:space="preserve">README com matrícula, organização e reprodução</t>
  </si>
  <si>
    <t xml:space="preserve">README.md</t>
  </si>
  <si>
    <t xml:space="preserve">Passos testados</t>
  </si>
  <si>
    <t xml:space="preserve">E-29</t>
  </si>
  <si>
    <t xml:space="preserve">Link de download se base exceder limite do GitHub</t>
  </si>
  <si>
    <t xml:space="preserve">README</t>
  </si>
  <si>
    <t xml:space="preserve">Link verificado</t>
  </si>
  <si>
    <t xml:space="preserve">E-30</t>
  </si>
  <si>
    <t xml:space="preserve">Programas: receitas, disponibilidades, estoques, imobilizado, passivos, estimativas</t>
  </si>
  <si>
    <t xml:space="preserve">6 programas</t>
  </si>
  <si>
    <t xml:space="preserve">300/330</t>
  </si>
  <si>
    <t xml:space="preserve">Aplicabilidade fundamentada</t>
  </si>
  <si>
    <t xml:space="preserve">INSUMO (índice etapa 4)</t>
  </si>
  <si>
    <t xml:space="preserve">E-31</t>
  </si>
  <si>
    <t xml:space="preserve">Conclusão integrada sem opinião profissional</t>
  </si>
  <si>
    <t xml:space="preserve">Seção final</t>
  </si>
  <si>
    <t xml:space="preserve">Sem linguagem de opinião</t>
  </si>
  <si>
    <t xml:space="preserve">E-32</t>
  </si>
  <si>
    <t xml:space="preserve">Versões das normas aplicáveis a 2025 registradas</t>
  </si>
  <si>
    <t xml:space="preserve">Mapa_Normativo</t>
  </si>
  <si>
    <t xml:space="preserve">Versão + vigência + página</t>
  </si>
  <si>
    <t xml:space="preserve">EM ANDAMENTO (27 versões identificadas; itens por PT)</t>
  </si>
  <si>
    <t xml:space="preserve">E-33</t>
  </si>
  <si>
    <t xml:space="preserve">Postar link até 25/10/2026 e verificar acesso do professor</t>
  </si>
  <si>
    <t xml:space="preserve">Ação do aluno</t>
  </si>
  <si>
    <t xml:space="preserve">Teste em janela anônima</t>
  </si>
  <si>
    <t xml:space="preserve">PENDENTE (ação do aluno)</t>
  </si>
  <si>
    <t xml:space="preserve">Mapa normativo — versões aplicáveis ao exercício de 2025 (fontes FC09 e FC11; FC12 para 240/570)</t>
  </si>
  <si>
    <t xml:space="preserve">'Versão confirmada' = sigla e revisão coincidem entre a lista oficial do CFC (acesso 22/10/2026) e o consolidado do Drive. Os ITENS citados em cada PT serão conferidos no texto ao redigir o PT (estado por PT na Matriz_Cobertura). Comentários didáticos e modelos não são requisitos.</t>
  </si>
  <si>
    <t xml:space="preserve">Código</t>
  </si>
  <si>
    <t xml:space="preserve">Versão aplicável a 2025</t>
  </si>
  <si>
    <t xml:space="preserve">Publicação (CFC FC11)</t>
  </si>
  <si>
    <t xml:space="preserve">Vigência / evidência (página do consolidado FC09)</t>
  </si>
  <si>
    <t xml:space="preserve">Pág. inicial no consolidado</t>
  </si>
  <si>
    <t xml:space="preserve">Estado da verificação</t>
  </si>
  <si>
    <t xml:space="preserve">EC</t>
  </si>
  <si>
    <t xml:space="preserve">Estrutura Conceitual para Trabalhos de Asseguração</t>
  </si>
  <si>
    <t xml:space="preserve">NBC TA Estrutura Conceitual</t>
  </si>
  <si>
    <t xml:space="preserve">DOU 25/11/2015</t>
  </si>
  <si>
    <t xml:space="preserve">Efeitos a partir de 01/01/2016 (texto no consolidado, p. 24)</t>
  </si>
  <si>
    <t xml:space="preserve">4–24 (aprox.)</t>
  </si>
  <si>
    <t xml:space="preserve">Versão confirmada; itens a citar no B03</t>
  </si>
  <si>
    <t xml:space="preserve">200</t>
  </si>
  <si>
    <t xml:space="preserve">Objetivos gerais do auditor</t>
  </si>
  <si>
    <t xml:space="preserve">NBC TA 200 (R1)</t>
  </si>
  <si>
    <t xml:space="preserve">DOU 05/09/2016</t>
  </si>
  <si>
    <t xml:space="preserve">Períodos findos em/após 31/12/2016 (alteração 2016)</t>
  </si>
  <si>
    <t xml:space="preserve">29</t>
  </si>
  <si>
    <t xml:space="preserve">Versão confirmada</t>
  </si>
  <si>
    <t xml:space="preserve">210</t>
  </si>
  <si>
    <t xml:space="preserve">Termos do trabalho</t>
  </si>
  <si>
    <t xml:space="preserve">NBC TA 210 (R1)</t>
  </si>
  <si>
    <t xml:space="preserve">idem</t>
  </si>
  <si>
    <t xml:space="preserve">57</t>
  </si>
  <si>
    <t xml:space="preserve">220</t>
  </si>
  <si>
    <t xml:space="preserve">Gestão de qualidade</t>
  </si>
  <si>
    <t xml:space="preserve">NBC TA 220 (R3)</t>
  </si>
  <si>
    <t xml:space="preserve">DOU 09/12/2021</t>
  </si>
  <si>
    <t xml:space="preserve">Item 10: períodos iniciados em/após 01/01/2023 (p. 93) — APLICÁVEL a 2025</t>
  </si>
  <si>
    <t xml:space="preserve">89</t>
  </si>
  <si>
    <t xml:space="preserve">Vigência lida no texto; p. 100 do PDF quase vazia — conferir</t>
  </si>
  <si>
    <t xml:space="preserve">Documentação</t>
  </si>
  <si>
    <t xml:space="preserve">NBC TA 230 (R1)</t>
  </si>
  <si>
    <t xml:space="preserve">131</t>
  </si>
  <si>
    <t xml:space="preserve">240</t>
  </si>
  <si>
    <t xml:space="preserve">Fraude</t>
  </si>
  <si>
    <t xml:space="preserve">NBC TA 240 (R1) — NÃO a (R2)</t>
  </si>
  <si>
    <t xml:space="preserve">(R2) de DOU 25/09/2026 aplica-se a exercícios iniciados a partir de 01/01/2027 (FC12) → não aplicável a 2025</t>
  </si>
  <si>
    <t xml:space="preserve">146</t>
  </si>
  <si>
    <t xml:space="preserve">Atenção DV09</t>
  </si>
  <si>
    <t xml:space="preserve">250</t>
  </si>
  <si>
    <t xml:space="preserve">Leis e regulamentos</t>
  </si>
  <si>
    <t xml:space="preserve">NBC TA 250</t>
  </si>
  <si>
    <t xml:space="preserve">DOU 14/02/2019</t>
  </si>
  <si>
    <t xml:space="preserve">189</t>
  </si>
  <si>
    <t xml:space="preserve">260</t>
  </si>
  <si>
    <t xml:space="preserve">Comunicação com a governança</t>
  </si>
  <si>
    <t xml:space="preserve">NBC TA 260 (R2)</t>
  </si>
  <si>
    <t xml:space="preserve">DOU 04/07/2016</t>
  </si>
  <si>
    <t xml:space="preserve">203</t>
  </si>
  <si>
    <t xml:space="preserve">265</t>
  </si>
  <si>
    <t xml:space="preserve">Deficiências de controle</t>
  </si>
  <si>
    <t xml:space="preserve">NBC TA 265</t>
  </si>
  <si>
    <t xml:space="preserve">Res. CFC 1.210/2009</t>
  </si>
  <si>
    <t xml:space="preserve">225</t>
  </si>
  <si>
    <t xml:space="preserve">300</t>
  </si>
  <si>
    <t xml:space="preserve">Planejamento</t>
  </si>
  <si>
    <t xml:space="preserve">NBC TA 300 (R1)</t>
  </si>
  <si>
    <t xml:space="preserve">237</t>
  </si>
  <si>
    <t xml:space="preserve">Riscos</t>
  </si>
  <si>
    <t xml:space="preserve">NBC TA 315 (R2)</t>
  </si>
  <si>
    <t xml:space="preserve">DOU 02/09/2021</t>
  </si>
  <si>
    <t xml:space="preserve">Item 10: períodos iniciados em/após 01/01/2022 (p. 256) — APLICÁVEL</t>
  </si>
  <si>
    <t xml:space="preserve">252</t>
  </si>
  <si>
    <t xml:space="preserve">Vigência lida no texto</t>
  </si>
  <si>
    <t xml:space="preserve">NBC TA 320 (R1)</t>
  </si>
  <si>
    <t xml:space="preserve">367</t>
  </si>
  <si>
    <t xml:space="preserve">330</t>
  </si>
  <si>
    <t xml:space="preserve">Respostas aos riscos</t>
  </si>
  <si>
    <t xml:space="preserve">NBC TA 330 (R1)</t>
  </si>
  <si>
    <t xml:space="preserve">379</t>
  </si>
  <si>
    <t xml:space="preserve">402</t>
  </si>
  <si>
    <t xml:space="preserve">Organização prestadora de serviços</t>
  </si>
  <si>
    <t xml:space="preserve">NBC TA 402</t>
  </si>
  <si>
    <t xml:space="preserve">Res. CFC 1.215/2009</t>
  </si>
  <si>
    <t xml:space="preserve">404</t>
  </si>
  <si>
    <t xml:space="preserve">450</t>
  </si>
  <si>
    <t xml:space="preserve">Distorções</t>
  </si>
  <si>
    <t xml:space="preserve">NBC TA 450 (R1)</t>
  </si>
  <si>
    <t xml:space="preserve">427</t>
  </si>
  <si>
    <t xml:space="preserve">Evidência</t>
  </si>
  <si>
    <t xml:space="preserve">NBC TA 500 (R1)</t>
  </si>
  <si>
    <t xml:space="preserve">446</t>
  </si>
  <si>
    <t xml:space="preserve">501</t>
  </si>
  <si>
    <t xml:space="preserve">Itens específicos</t>
  </si>
  <si>
    <t xml:space="preserve">NBC TA 501</t>
  </si>
  <si>
    <t xml:space="preserve">Res. CFC 1.218/2009</t>
  </si>
  <si>
    <t xml:space="preserve">Exercícios iniciados em/após 01/01/2010 (p. 471)</t>
  </si>
  <si>
    <t xml:space="preserve">471</t>
  </si>
  <si>
    <t xml:space="preserve">505</t>
  </si>
  <si>
    <t xml:space="preserve">Confirmações externas</t>
  </si>
  <si>
    <t xml:space="preserve">NBC TA 505</t>
  </si>
  <si>
    <t xml:space="preserve">Res. CFC 1.219/2009</t>
  </si>
  <si>
    <t xml:space="preserve">456</t>
  </si>
  <si>
    <t xml:space="preserve">510</t>
  </si>
  <si>
    <t xml:space="preserve">Saldos iniciais</t>
  </si>
  <si>
    <t xml:space="preserve">NBC TA 510 (R1)</t>
  </si>
  <si>
    <t xml:space="preserve">497</t>
  </si>
  <si>
    <t xml:space="preserve">520</t>
  </si>
  <si>
    <t xml:space="preserve">Procedimentos analíticos</t>
  </si>
  <si>
    <t xml:space="preserve">NBC TA 520</t>
  </si>
  <si>
    <t xml:space="preserve">Res. CFC 1.221/2009</t>
  </si>
  <si>
    <t xml:space="preserve">521</t>
  </si>
  <si>
    <t xml:space="preserve">Amostragem</t>
  </si>
  <si>
    <t xml:space="preserve">NBC TA 530</t>
  </si>
  <si>
    <t xml:space="preserve">Res. CFC 1.222/2009</t>
  </si>
  <si>
    <t xml:space="preserve">540</t>
  </si>
  <si>
    <t xml:space="preserve">Estimativas</t>
  </si>
  <si>
    <t xml:space="preserve">NBC TA 540 (R2)</t>
  </si>
  <si>
    <t xml:space="preserve">DOU 23/10/2019</t>
  </si>
  <si>
    <t xml:space="preserve">Item 10: períodos iniciados em/após 01/01/2020 (p. 552) — APLICÁVEL</t>
  </si>
  <si>
    <t xml:space="preserve">548</t>
  </si>
  <si>
    <t xml:space="preserve">550</t>
  </si>
  <si>
    <t xml:space="preserve">Partes relacionadas</t>
  </si>
  <si>
    <t xml:space="preserve">NBC TA 550</t>
  </si>
  <si>
    <t xml:space="preserve">Res. CFC 1.224/2009</t>
  </si>
  <si>
    <t xml:space="preserve">600</t>
  </si>
  <si>
    <t xml:space="preserve">560</t>
  </si>
  <si>
    <t xml:space="preserve">Eventos subsequentes</t>
  </si>
  <si>
    <t xml:space="preserve">NBC TA 560 (R1)</t>
  </si>
  <si>
    <t xml:space="preserve">625</t>
  </si>
  <si>
    <t xml:space="preserve">570</t>
  </si>
  <si>
    <t xml:space="preserve">Continuidade operacional</t>
  </si>
  <si>
    <t xml:space="preserve">NBC TA 570 (versão 2016) — NÃO a (R1) de 2026</t>
  </si>
  <si>
    <t xml:space="preserve">Períodos findos em/após 31/12/2016 (p. 646). (R1) DOU 25/09/2026 só para exercícios iniciados a partir de 01/01/2027</t>
  </si>
  <si>
    <t xml:space="preserve">639</t>
  </si>
  <si>
    <t xml:space="preserve">580</t>
  </si>
  <si>
    <t xml:space="preserve">Representações formais</t>
  </si>
  <si>
    <t xml:space="preserve">NBC TA 580 (R1)</t>
  </si>
  <si>
    <t xml:space="preserve">660</t>
  </si>
  <si>
    <t xml:space="preserve">Auditoria de grupos</t>
  </si>
  <si>
    <t xml:space="preserve">NBC TA 600 (R2)</t>
  </si>
  <si>
    <t xml:space="preserve">DOU 06/12/2023 (norma de 25/10/2023)</t>
  </si>
  <si>
    <t xml:space="preserve">Item 12: períodos iniciados em/após 01/01/2024 (p. 688) — APLICÁVEL a 2025</t>
  </si>
  <si>
    <t xml:space="preserve">684</t>
  </si>
  <si>
    <t xml:space="preserve">Conferência inicial — Balanço patrimonial consolidado, ativo (R$ mil) — DF25 CPFL.pdf, p. física 34 / impressa 2</t>
  </si>
  <si>
    <t xml:space="preserve">Modalidade: Realizado com evidência pública (leitura visual da imagem a 300 dpi). Valores em amarelo = transcrição; totais calculados = fórmulas. Conferência CVM (BPA_con) PENDENTE: dfp_cia_aberta_2025.zip não baixável no ambiente (FC13).</t>
  </si>
  <si>
    <t xml:space="preserve">Linha do BP (consolidado)</t>
  </si>
  <si>
    <t xml:space="preserve">Nota</t>
  </si>
  <si>
    <t xml:space="preserve">31/12/2025</t>
  </si>
  <si>
    <t xml:space="preserve">31/12/2024</t>
  </si>
  <si>
    <t xml:space="preserve">Fonte</t>
  </si>
  <si>
    <t xml:space="preserve">CIRCULANTE</t>
  </si>
  <si>
    <t xml:space="preserve">Caixa e equivalentes de caixa</t>
  </si>
  <si>
    <t xml:space="preserve">DF25 p.34</t>
  </si>
  <si>
    <t xml:space="preserve">Títulos e valores mobiliários</t>
  </si>
  <si>
    <t xml:space="preserve">Consumidores, concessionárias e permissionárias</t>
  </si>
  <si>
    <t xml:space="preserve">Estoques</t>
  </si>
  <si>
    <t xml:space="preserve">Dividendo e juros sobre o capital próprio</t>
  </si>
  <si>
    <t xml:space="preserve">IR e CS a compensar</t>
  </si>
  <si>
    <t xml:space="preserve">Outros tributos a compensar</t>
  </si>
  <si>
    <t xml:space="preserve">PIS/COFINS a compensar sobre ICMS</t>
  </si>
  <si>
    <t xml:space="preserve">Derivativos</t>
  </si>
  <si>
    <t xml:space="preserve">Ativo financeiro setorial</t>
  </si>
  <si>
    <t xml:space="preserve">Ativo contratual</t>
  </si>
  <si>
    <t xml:space="preserve">Outros ativos</t>
  </si>
  <si>
    <t xml:space="preserve">Total do circulante (calculado)</t>
  </si>
  <si>
    <t xml:space="preserve">fórmula</t>
  </si>
  <si>
    <t xml:space="preserve">Total do circulante (divulgado)</t>
  </si>
  <si>
    <t xml:space="preserve">Diferença</t>
  </si>
  <si>
    <t xml:space="preserve">2024: +1 = arredondamento da DF (DV11)</t>
  </si>
  <si>
    <t xml:space="preserve">NÃO CIRCULANTE</t>
  </si>
  <si>
    <t xml:space="preserve">Depósitos judiciais</t>
  </si>
  <si>
    <t xml:space="preserve">Créditos fiscais diferidos</t>
  </si>
  <si>
    <t xml:space="preserve">Ativo financeiro da concessão</t>
  </si>
  <si>
    <t xml:space="preserve">Investimentos em instrumentos patrimoniais</t>
  </si>
  <si>
    <t xml:space="preserve">Investimentos</t>
  </si>
  <si>
    <t xml:space="preserve">Imobilizado</t>
  </si>
  <si>
    <t xml:space="preserve">Intangível</t>
  </si>
  <si>
    <t xml:space="preserve">Total do não circulante (calculado)</t>
  </si>
  <si>
    <t xml:space="preserve">Total do não circulante (divulgado)</t>
  </si>
  <si>
    <t xml:space="preserve">2024: −2 = arredondamento da DF (DV10)</t>
  </si>
  <si>
    <t xml:space="preserve">TOTAL DO ATIVO (calculado)</t>
  </si>
  <si>
    <t xml:space="preserve">TOTAL DO ATIVO (divulgado)</t>
  </si>
  <si>
    <t xml:space="preserve">Valor de referência do controle do projeto</t>
  </si>
  <si>
    <t xml:space="preserve">00_CONTROLE seção 4</t>
  </si>
  <si>
    <t xml:space="preserve">Diferença vs. referência</t>
  </si>
  <si>
    <t xml:space="preserve">esperado 0</t>
  </si>
  <si>
    <t xml:space="preserve">Ativo financeiro da concessão / ativo total</t>
  </si>
  <si>
    <t xml:space="preserve">base da escolha da conta (E-12)</t>
  </si>
  <si>
    <t xml:space="preserve">Ativo financeiro da concessão / ativo não circulante</t>
  </si>
  <si>
    <t xml:space="preserve">Divergência DV01: controle anterior registrava 129.669 em 'Investimentos em instrumentos patrimoniais' 2025; a imagem mostra 129.659. Com a correção, o ANC fecha sem diferença.</t>
  </si>
  <si>
    <t xml:space="preserve">Escala: 'Em milhares de reais' (cabeçalho do BP). Data-base 31/12/2025; comparativo 31/12/2024 apresentado no mesmo documento (não reapresentado).</t>
  </si>
  <si>
    <t xml:space="preserve">Conferência PDF × CVM (BPA_con, ESCALA_MOEDA=MIL, DT_FIM_EXERC=2025-12-31, ORDEM_EXERC=ÚLTIMO, CNPJ 02.429.144/0001-93): NÃO EXECUTADA — ver pendência PB01-01.</t>
  </si>
  <si>
    <t xml:space="preserve">Reprodução da base sintética (SIMULADO para fins didáticos) — 22/10/2026</t>
  </si>
  <si>
    <t xml:space="preserve">Item</t>
  </si>
  <si>
    <t xml:space="preserve">Resultado</t>
  </si>
  <si>
    <t xml:space="preserve">Observação</t>
  </si>
  <si>
    <t xml:space="preserve">Gerador</t>
  </si>
  <si>
    <t xml:space="preserve">build_cpfl.py (Drive ID 1uH87nf9g4NVuE-ynswMy6afCG9SHu8Pw)</t>
  </si>
  <si>
    <t xml:space="preserve">SHA-256 5c646bb1822149d8083df3c4211e43757c16468bd8603ecdd7c0b717aad0b30b; 6.797 bytes</t>
  </si>
  <si>
    <t xml:space="preserve">Alteração para execução</t>
  </si>
  <si>
    <t xml:space="preserve">Somente 3 caminhos de saída (/mnt/data → saida/ e pasta reservada)</t>
  </si>
  <si>
    <t xml:space="preserve">Lógica, semente e parâmetros inalterados</t>
  </si>
  <si>
    <t xml:space="preserve">Ambiente</t>
  </si>
  <si>
    <t xml:space="preserve">Python 3.13.16; openpyxl (versão do ambiente); Linux</t>
  </si>
  <si>
    <t xml:space="preserve">22/10/2026; duração 41,9 s</t>
  </si>
  <si>
    <t xml:space="preserve">Parâmetros gerados x JSON do Drive</t>
  </si>
  <si>
    <t xml:space="preserve">raw_total_cents 4.139.537.816.245; precalibration 2.962.237.074.501; ajuste 124.825.499; final 2.962.361.900.000</t>
  </si>
  <si>
    <t xml:space="preserve">IDÊNTICOS (comparação automática)</t>
  </si>
  <si>
    <t xml:space="preserve">Total contabilizado reproduzido</t>
  </si>
  <si>
    <t xml:space="preserve">R$ 29.623.619.000,00</t>
  </si>
  <si>
    <t xml:space="preserve">Igual ao saldo-alvo (DF25 p.34 × 1.000); diferença R$ 0,00</t>
  </si>
  <si>
    <t xml:space="preserve">Arquivo xlsx reproduzido</t>
  </si>
  <si>
    <t xml:space="preserve">35.830.104 bytes</t>
  </si>
  <si>
    <t xml:space="preserve">Registro etapa 5: 35.830.106 bytes; Drive atual: 41.337.183 bytes (DV03)</t>
  </si>
  <si>
    <t xml:space="preserve">Gabarito reproduzido</t>
  </si>
  <si>
    <t xml:space="preserve">Gravado em pasta RESERVADO_NAO_ABRIR; conteúdo NÃO lido</t>
  </si>
  <si>
    <t xml:space="preserve">SHA-256 1fd1bff4…c62b; 559.181 bytes (original no Drive: 562.182 bytes)</t>
  </si>
  <si>
    <t xml:space="preserve">Conclusão</t>
  </si>
  <si>
    <t xml:space="preserve">Base reproduzível a partir do código e da semente</t>
  </si>
  <si>
    <t xml:space="preserve">Leitura linha a linha do xlsx reproduzido (contagem, chaves) fica para o Bloco 07</t>
  </si>
  <si>
    <t xml:space="preserve">Registro de decisões</t>
  </si>
  <si>
    <t xml:space="preserve">Decisão</t>
  </si>
  <si>
    <t xml:space="preserve">Fundamento</t>
  </si>
  <si>
    <t xml:space="preserve">Responsável / data</t>
  </si>
  <si>
    <t xml:space="preserve">D-B01-01</t>
  </si>
  <si>
    <t xml:space="preserve">Perímetro: consolidado societário 2025 (com individual e componentes quando necessário)</t>
  </si>
  <si>
    <t xml:space="preserve">Prompt inicial e controle (decisão já registrada)</t>
  </si>
  <si>
    <t xml:space="preserve">Mantida</t>
  </si>
  <si>
    <t xml:space="preserve">Aluno (21–22/10/2026)</t>
  </si>
  <si>
    <t xml:space="preserve">D-B01-02</t>
  </si>
  <si>
    <t xml:space="preserve">Versões normativas: 240 (R1) e 570 (2016) para 2025, não as revisões de 2026</t>
  </si>
  <si>
    <t xml:space="preserve">Vigência a partir de 01/01/2027 (FC12)</t>
  </si>
  <si>
    <t xml:space="preserve">PROPOSTA — validar</t>
  </si>
  <si>
    <t xml:space="preserve">Pendente validação do aluno</t>
  </si>
  <si>
    <t xml:space="preserve">D-B01-03</t>
  </si>
  <si>
    <t xml:space="preserve">Base de entrega = base reproduzida pelo gerador original (mesma semente), com hash novo; arquivo de 41 MB do Drive preservado como histórico</t>
  </si>
  <si>
    <t xml:space="preserve">DV03: arquivo do Drive não baixável e com tamanho diferente do registrado</t>
  </si>
  <si>
    <t xml:space="preserve">D-B01-04</t>
  </si>
  <si>
    <t xml:space="preserve">Enunciado = texto colado pelo aluno (FC10)</t>
  </si>
  <si>
    <t xml:space="preserve">PDF não localizado</t>
  </si>
  <si>
    <t xml:space="preserve">Aplicada</t>
  </si>
  <si>
    <t xml:space="preserve">Assistente (rotina)</t>
  </si>
  <si>
    <t xml:space="preserve">D-B01-05</t>
  </si>
  <si>
    <t xml:space="preserve">Conta da base = ativo financeiro da concessão consolidado, R$ 29.623.619 mil</t>
  </si>
  <si>
    <t xml:space="preserve">Aprovada em 21/10; saldo reconfirmado na DF25 p.34</t>
  </si>
  <si>
    <t xml:space="preserve">Aluno (21/10/2026)</t>
  </si>
  <si>
    <t xml:space="preserve">Pendências abertas após o Bloco 01</t>
  </si>
  <si>
    <t xml:space="preserve">Prioridade</t>
  </si>
  <si>
    <t xml:space="preserve">Pendência</t>
  </si>
  <si>
    <t xml:space="preserve">Causa</t>
  </si>
  <si>
    <t xml:space="preserve">Providência</t>
  </si>
  <si>
    <t xml:space="preserve">PB01-01</t>
  </si>
  <si>
    <t xml:space="preserve">Alta</t>
  </si>
  <si>
    <t xml:space="preserve">Conferência PDF × CVM (BPA_con 2025): baixar dfp_cia_aberta_2025.zip</t>
  </si>
  <si>
    <t xml:space="preserve">Ambiente bloqueia dados.cvm.gov.br; conector Drive limita 10 MB</t>
  </si>
  <si>
    <t xml:space="preserve">Alternativas: (a) computador do aluno conectado; (b) aluno baixa o zip e salva no Drive (12 MB — ainda acima de 10 MB); (c) extrair apenas BPA_con via computador</t>
  </si>
  <si>
    <t xml:space="preserve">PB01-02</t>
  </si>
  <si>
    <t xml:space="preserve">DV03 — validar decisão D-B01-03 sobre a base</t>
  </si>
  <si>
    <t xml:space="preserve">Aluno valida</t>
  </si>
  <si>
    <t xml:space="preserve">B06/B07</t>
  </si>
  <si>
    <t xml:space="preserve">PB01-03</t>
  </si>
  <si>
    <t xml:space="preserve">Média</t>
  </si>
  <si>
    <t xml:space="preserve">Ler PDFs metodológicos das etapas 2–5 e exemplos (forma)</t>
  </si>
  <si>
    <t xml:space="preserve">Agendado</t>
  </si>
  <si>
    <t xml:space="preserve">B03/B04</t>
  </si>
  <si>
    <t xml:space="preserve">PB01-04</t>
  </si>
  <si>
    <t xml:space="preserve">Integridade ITR 2TRI 2025 (8 MiB exatos) e ratings .crdownload</t>
  </si>
  <si>
    <t xml:space="preserve">Não testado</t>
  </si>
  <si>
    <t xml:space="preserve">Testar ao usar</t>
  </si>
  <si>
    <t xml:space="preserve">PB01-05</t>
  </si>
  <si>
    <t xml:space="preserve">Confirmar nome anterior (Draftll Participações S.A.) e eventual troca de ticker em fonte CVM/B3</t>
  </si>
  <si>
    <t xml:space="preserve">Não reaberto</t>
  </si>
  <si>
    <t xml:space="preserve">PB01-06</t>
  </si>
  <si>
    <t xml:space="preserve">Conferir no texto oficial CFC/DOU a vigência das NBC TA 240 (R2) e 570 (R1) (fonte usada é secundária)</t>
  </si>
  <si>
    <t xml:space="preserve">Fonte secundária</t>
  </si>
  <si>
    <t xml:space="preserve">B04/B10</t>
  </si>
  <si>
    <t xml:space="preserve">PB01-07</t>
  </si>
  <si>
    <t xml:space="preserve">Baixa</t>
  </si>
  <si>
    <t xml:space="preserve">Página 100 do consolidado quase vazia (NBC TA 220) — conferir se há texto ausente</t>
  </si>
  <si>
    <t xml:space="preserve">Erro de fluxo no PDF</t>
  </si>
  <si>
    <t xml:space="preserve">Comparar com texto CFC ao citar itens</t>
  </si>
  <si>
    <t xml:space="preserve">P01–P11</t>
  </si>
  <si>
    <t xml:space="preserve">Pendências da etapa 5 (preservadas)</t>
  </si>
  <si>
    <t xml:space="preserve">P01 parcialmente resolvida (ativo conferido; DV01)</t>
  </si>
  <si>
    <t xml:space="preserve">Registro de revisão (sem revisão de terceiros simulada)</t>
  </si>
  <si>
    <t xml:space="preserve">Tipo</t>
  </si>
  <si>
    <t xml:space="preserve">Data</t>
  </si>
  <si>
    <t xml:space="preserve">Escopo</t>
  </si>
  <si>
    <t xml:space="preserve">RV-B01-01</t>
  </si>
  <si>
    <t xml:space="preserve">Revisão automatizada (assistente de IA)</t>
  </si>
  <si>
    <t xml:space="preserve">22/10/2026</t>
  </si>
  <si>
    <t xml:space="preserve">Somas do BP recalculadas por fórmula; parâmetros da base comparados automaticamente; vigências lidas no texto</t>
  </si>
  <si>
    <t xml:space="preserve">Sem achados além de DV01–DV11</t>
  </si>
  <si>
    <t xml:space="preserve">Não substitui revisão humana</t>
  </si>
  <si>
    <t xml:space="preserve">RV-B01-02</t>
  </si>
  <si>
    <t xml:space="preserve">Revisão do aluno</t>
  </si>
  <si>
    <t xml:space="preserve">____</t>
  </si>
  <si>
    <t xml:space="preserve">Campo em branco — preencher apenas quando efetivamente revisado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</si>
</sst>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23.85" hidden="false" customHeight="false" outlineLevel="0" collapsed="false">
      <c r="A9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26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4" t="s">
        <v>8</v>
      </c>
    </row>
    <row r="2" customFormat="false" ht="15" hidden="false" customHeight="false" outlineLevel="0" collapsed="false">
      <c r="A2" s="5" t="s">
        <v>9</v>
      </c>
    </row>
    <row r="3" customFormat="false" ht="42" hidden="false" customHeight="true" outlineLevel="0" collapsed="false">
      <c r="A3" s="6" t="s">
        <v>10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</row>
    <row r="5" customFormat="false" ht="15" hidden="false" customHeight="false" outlineLevel="0" collapsed="false">
      <c r="A5" s="8" t="n">
        <v>1</v>
      </c>
      <c r="B5" s="8" t="s">
        <v>18</v>
      </c>
      <c r="C5" s="8" t="s">
        <v>19</v>
      </c>
      <c r="D5" s="8" t="n">
        <v>27245</v>
      </c>
      <c r="E5" s="8" t="s">
        <v>20</v>
      </c>
      <c r="F5" s="8" t="s">
        <v>21</v>
      </c>
      <c r="G5" s="8" t="s">
        <v>22</v>
      </c>
    </row>
    <row r="6" customFormat="false" ht="15" hidden="false" customHeight="false" outlineLevel="0" collapsed="false">
      <c r="A6" s="8" t="n">
        <v>2</v>
      </c>
      <c r="B6" s="8" t="s">
        <v>23</v>
      </c>
      <c r="C6" s="8" t="s">
        <v>24</v>
      </c>
      <c r="D6" s="8" t="n">
        <v>3378</v>
      </c>
      <c r="E6" s="8" t="s">
        <v>20</v>
      </c>
      <c r="F6" s="8" t="s">
        <v>21</v>
      </c>
      <c r="G6" s="8" t="s">
        <v>25</v>
      </c>
    </row>
    <row r="7" customFormat="false" ht="15" hidden="false" customHeight="false" outlineLevel="0" collapsed="false">
      <c r="A7" s="8" t="n">
        <v>3</v>
      </c>
      <c r="B7" s="8" t="s">
        <v>26</v>
      </c>
      <c r="C7" s="8" t="s">
        <v>27</v>
      </c>
      <c r="D7" s="8" t="n">
        <v>13777</v>
      </c>
      <c r="E7" s="8" t="s">
        <v>20</v>
      </c>
      <c r="F7" s="8" t="s">
        <v>28</v>
      </c>
      <c r="G7" s="8" t="s">
        <v>29</v>
      </c>
    </row>
    <row r="8" customFormat="false" ht="15" hidden="false" customHeight="false" outlineLevel="0" collapsed="false">
      <c r="A8" s="8" t="n">
        <v>4</v>
      </c>
      <c r="B8" s="8" t="s">
        <v>30</v>
      </c>
      <c r="C8" s="8" t="s">
        <v>31</v>
      </c>
      <c r="D8" s="8" t="n">
        <v>29818</v>
      </c>
      <c r="E8" s="8" t="s">
        <v>20</v>
      </c>
      <c r="F8" s="8" t="s">
        <v>32</v>
      </c>
      <c r="G8" s="8" t="s">
        <v>33</v>
      </c>
    </row>
    <row r="9" customFormat="false" ht="22.35" hidden="false" customHeight="false" outlineLevel="0" collapsed="false">
      <c r="A9" s="8" t="n">
        <v>5</v>
      </c>
      <c r="B9" s="8" t="s">
        <v>34</v>
      </c>
      <c r="C9" s="8" t="s">
        <v>35</v>
      </c>
      <c r="D9" s="8" t="n">
        <v>123025</v>
      </c>
      <c r="E9" s="8" t="s">
        <v>20</v>
      </c>
      <c r="F9" s="8" t="s">
        <v>36</v>
      </c>
      <c r="G9" s="8" t="s">
        <v>37</v>
      </c>
    </row>
    <row r="10" customFormat="false" ht="15" hidden="false" customHeight="false" outlineLevel="0" collapsed="false">
      <c r="A10" s="8" t="n">
        <v>6</v>
      </c>
      <c r="B10" s="8" t="s">
        <v>38</v>
      </c>
      <c r="C10" s="8" t="s">
        <v>39</v>
      </c>
      <c r="D10" s="8" t="n">
        <v>10928</v>
      </c>
      <c r="E10" s="8" t="s">
        <v>20</v>
      </c>
      <c r="F10" s="8" t="s">
        <v>28</v>
      </c>
      <c r="G10" s="8" t="s">
        <v>40</v>
      </c>
    </row>
    <row r="11" customFormat="false" ht="15" hidden="false" customHeight="false" outlineLevel="0" collapsed="false">
      <c r="A11" s="8" t="n">
        <v>7</v>
      </c>
      <c r="B11" s="8" t="s">
        <v>41</v>
      </c>
      <c r="C11" s="8" t="s">
        <v>42</v>
      </c>
      <c r="D11" s="8" t="n">
        <v>72698</v>
      </c>
      <c r="E11" s="8" t="s">
        <v>20</v>
      </c>
      <c r="F11" s="8" t="s">
        <v>32</v>
      </c>
      <c r="G11" s="8" t="s">
        <v>43</v>
      </c>
    </row>
    <row r="12" customFormat="false" ht="15" hidden="false" customHeight="false" outlineLevel="0" collapsed="false">
      <c r="A12" s="8" t="n">
        <v>8</v>
      </c>
      <c r="B12" s="8" t="s">
        <v>44</v>
      </c>
      <c r="C12" s="8" t="s">
        <v>45</v>
      </c>
      <c r="D12" s="8" t="n">
        <v>9167</v>
      </c>
      <c r="E12" s="8" t="s">
        <v>46</v>
      </c>
      <c r="F12" s="8" t="s">
        <v>32</v>
      </c>
      <c r="G12" s="8" t="s">
        <v>47</v>
      </c>
    </row>
    <row r="13" customFormat="false" ht="22.35" hidden="false" customHeight="false" outlineLevel="0" collapsed="false">
      <c r="A13" s="8" t="n">
        <v>9</v>
      </c>
      <c r="B13" s="8" t="s">
        <v>48</v>
      </c>
      <c r="C13" s="8" t="s">
        <v>49</v>
      </c>
      <c r="D13" s="8" t="n">
        <v>75939</v>
      </c>
      <c r="E13" s="8" t="s">
        <v>46</v>
      </c>
      <c r="F13" s="8" t="s">
        <v>32</v>
      </c>
      <c r="G13" s="8" t="s">
        <v>50</v>
      </c>
    </row>
    <row r="14" customFormat="false" ht="15" hidden="false" customHeight="false" outlineLevel="0" collapsed="false">
      <c r="A14" s="8" t="n">
        <v>10</v>
      </c>
      <c r="B14" s="8" t="s">
        <v>51</v>
      </c>
      <c r="C14" s="8" t="s">
        <v>52</v>
      </c>
      <c r="D14" s="8" t="n">
        <v>11269</v>
      </c>
      <c r="E14" s="8" t="s">
        <v>46</v>
      </c>
      <c r="F14" s="8" t="s">
        <v>32</v>
      </c>
      <c r="G14" s="8" t="s">
        <v>47</v>
      </c>
    </row>
    <row r="15" customFormat="false" ht="15" hidden="false" customHeight="false" outlineLevel="0" collapsed="false">
      <c r="A15" s="8" t="n">
        <v>11</v>
      </c>
      <c r="B15" s="8" t="s">
        <v>53</v>
      </c>
      <c r="C15" s="8" t="s">
        <v>54</v>
      </c>
      <c r="D15" s="8" t="n">
        <v>74479</v>
      </c>
      <c r="E15" s="8" t="s">
        <v>46</v>
      </c>
      <c r="F15" s="8" t="s">
        <v>32</v>
      </c>
      <c r="G15" s="8" t="s">
        <v>50</v>
      </c>
    </row>
    <row r="16" customFormat="false" ht="22.35" hidden="false" customHeight="false" outlineLevel="0" collapsed="false">
      <c r="A16" s="8" t="n">
        <v>12</v>
      </c>
      <c r="B16" s="8" t="s">
        <v>55</v>
      </c>
      <c r="C16" s="8" t="s">
        <v>56</v>
      </c>
      <c r="D16" s="8" t="n">
        <v>41337183</v>
      </c>
      <c r="E16" s="8" t="s">
        <v>57</v>
      </c>
      <c r="F16" s="8" t="s">
        <v>58</v>
      </c>
      <c r="G16" s="8" t="s">
        <v>59</v>
      </c>
    </row>
    <row r="17" customFormat="false" ht="15" hidden="false" customHeight="false" outlineLevel="0" collapsed="false">
      <c r="A17" s="8" t="n">
        <v>13</v>
      </c>
      <c r="B17" s="8" t="s">
        <v>60</v>
      </c>
      <c r="C17" s="8" t="s">
        <v>61</v>
      </c>
      <c r="D17" s="8" t="n">
        <v>947</v>
      </c>
      <c r="E17" s="8" t="s">
        <v>57</v>
      </c>
      <c r="F17" s="8" t="s">
        <v>62</v>
      </c>
      <c r="G17" s="8" t="s">
        <v>63</v>
      </c>
    </row>
    <row r="18" customFormat="false" ht="15" hidden="false" customHeight="false" outlineLevel="0" collapsed="false">
      <c r="A18" s="8" t="n">
        <v>14</v>
      </c>
      <c r="B18" s="8" t="s">
        <v>64</v>
      </c>
      <c r="C18" s="8" t="s">
        <v>65</v>
      </c>
      <c r="D18" s="8" t="n">
        <v>6797</v>
      </c>
      <c r="E18" s="8" t="s">
        <v>57</v>
      </c>
      <c r="F18" s="8" t="s">
        <v>66</v>
      </c>
      <c r="G18" s="8" t="s">
        <v>67</v>
      </c>
    </row>
    <row r="19" customFormat="false" ht="15" hidden="false" customHeight="false" outlineLevel="0" collapsed="false">
      <c r="A19" s="8" t="n">
        <v>15</v>
      </c>
      <c r="B19" s="8" t="s">
        <v>68</v>
      </c>
      <c r="C19" s="8" t="s">
        <v>69</v>
      </c>
      <c r="D19" s="8" t="n">
        <v>438</v>
      </c>
      <c r="E19" s="8" t="s">
        <v>57</v>
      </c>
      <c r="F19" s="8" t="s">
        <v>32</v>
      </c>
      <c r="G19" s="8" t="s">
        <v>70</v>
      </c>
    </row>
    <row r="20" customFormat="false" ht="15" hidden="false" customHeight="false" outlineLevel="0" collapsed="false">
      <c r="A20" s="8" t="n">
        <v>16</v>
      </c>
      <c r="B20" s="8" t="s">
        <v>71</v>
      </c>
      <c r="C20" s="8" t="s">
        <v>72</v>
      </c>
      <c r="D20" s="8" t="n">
        <v>31228</v>
      </c>
      <c r="E20" s="8" t="s">
        <v>57</v>
      </c>
      <c r="F20" s="8" t="s">
        <v>32</v>
      </c>
      <c r="G20" s="8" t="s">
        <v>73</v>
      </c>
    </row>
    <row r="21" customFormat="false" ht="22.35" hidden="false" customHeight="false" outlineLevel="0" collapsed="false">
      <c r="A21" s="8" t="n">
        <v>17</v>
      </c>
      <c r="B21" s="8" t="s">
        <v>74</v>
      </c>
      <c r="C21" s="8" t="s">
        <v>75</v>
      </c>
      <c r="D21" s="8" t="n">
        <v>32916</v>
      </c>
      <c r="E21" s="8" t="s">
        <v>57</v>
      </c>
      <c r="F21" s="8" t="s">
        <v>21</v>
      </c>
      <c r="G21" s="8" t="s">
        <v>76</v>
      </c>
    </row>
    <row r="22" customFormat="false" ht="15" hidden="false" customHeight="false" outlineLevel="0" collapsed="false">
      <c r="A22" s="8" t="n">
        <v>18</v>
      </c>
      <c r="B22" s="8" t="s">
        <v>77</v>
      </c>
      <c r="C22" s="8" t="s">
        <v>78</v>
      </c>
      <c r="D22" s="8" t="n">
        <v>7910</v>
      </c>
      <c r="E22" s="8" t="s">
        <v>57</v>
      </c>
      <c r="F22" s="8" t="s">
        <v>32</v>
      </c>
      <c r="G22" s="8" t="s">
        <v>70</v>
      </c>
    </row>
    <row r="23" customFormat="false" ht="15" hidden="false" customHeight="false" outlineLevel="0" collapsed="false">
      <c r="A23" s="8" t="n">
        <v>19</v>
      </c>
      <c r="B23" s="8" t="s">
        <v>79</v>
      </c>
      <c r="C23" s="8" t="s">
        <v>80</v>
      </c>
      <c r="D23" s="8" t="n">
        <v>562182</v>
      </c>
      <c r="E23" s="8" t="s">
        <v>57</v>
      </c>
      <c r="F23" s="8" t="s">
        <v>81</v>
      </c>
      <c r="G23" s="8" t="s">
        <v>82</v>
      </c>
    </row>
    <row r="24" customFormat="false" ht="15" hidden="false" customHeight="false" outlineLevel="0" collapsed="false">
      <c r="A24" s="8" t="n">
        <v>20</v>
      </c>
      <c r="B24" s="8" t="s">
        <v>83</v>
      </c>
      <c r="C24" s="8" t="s">
        <v>84</v>
      </c>
      <c r="D24" s="8" t="n">
        <v>1512694</v>
      </c>
      <c r="E24" s="8" t="s">
        <v>57</v>
      </c>
      <c r="F24" s="8" t="s">
        <v>81</v>
      </c>
      <c r="G24" s="8" t="s">
        <v>85</v>
      </c>
    </row>
    <row r="25" customFormat="false" ht="15" hidden="false" customHeight="false" outlineLevel="0" collapsed="false">
      <c r="A25" s="8" t="n">
        <v>21</v>
      </c>
      <c r="B25" s="8" t="s">
        <v>86</v>
      </c>
      <c r="C25" s="8" t="s">
        <v>87</v>
      </c>
      <c r="D25" s="8" t="n">
        <v>8446021</v>
      </c>
      <c r="E25" s="8" t="s">
        <v>88</v>
      </c>
      <c r="F25" s="8" t="s">
        <v>32</v>
      </c>
      <c r="G25" s="8" t="s">
        <v>89</v>
      </c>
    </row>
    <row r="26" customFormat="false" ht="15" hidden="false" customHeight="false" outlineLevel="0" collapsed="false">
      <c r="A26" s="8" t="n">
        <v>22</v>
      </c>
      <c r="B26" s="8" t="s">
        <v>90</v>
      </c>
      <c r="C26" s="8" t="s">
        <v>91</v>
      </c>
      <c r="D26" s="8" t="n">
        <v>1263871</v>
      </c>
      <c r="E26" s="8" t="s">
        <v>88</v>
      </c>
      <c r="F26" s="8" t="s">
        <v>32</v>
      </c>
      <c r="G26" s="8" t="s">
        <v>89</v>
      </c>
    </row>
    <row r="27" customFormat="false" ht="15" hidden="false" customHeight="false" outlineLevel="0" collapsed="false">
      <c r="A27" s="8" t="n">
        <v>23</v>
      </c>
      <c r="B27" s="8" t="s">
        <v>92</v>
      </c>
      <c r="C27" s="8" t="s">
        <v>93</v>
      </c>
      <c r="D27" s="8" t="n">
        <v>6540508</v>
      </c>
      <c r="E27" s="8" t="s">
        <v>88</v>
      </c>
      <c r="F27" s="8" t="s">
        <v>32</v>
      </c>
      <c r="G27" s="8" t="s">
        <v>89</v>
      </c>
    </row>
  </sheetData>
  <mergeCells count="1"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7" min="7" style="0" width="44"/>
    <col collapsed="false" customWidth="true" hidden="false" outlineLevel="0" max="8" min="8" style="0" width="34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4" t="s">
        <v>94</v>
      </c>
    </row>
    <row r="2" customFormat="false" ht="15" hidden="false" customHeight="false" outlineLevel="0" collapsed="false">
      <c r="A2" s="5" t="s">
        <v>9</v>
      </c>
    </row>
    <row r="3" customFormat="false" ht="42" hidden="false" customHeight="true" outlineLevel="0" collapsed="false">
      <c r="A3" s="6" t="s">
        <v>95</v>
      </c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7" t="s">
        <v>96</v>
      </c>
      <c r="B4" s="7" t="s">
        <v>97</v>
      </c>
      <c r="C4" s="7" t="s">
        <v>13</v>
      </c>
      <c r="D4" s="7" t="s">
        <v>98</v>
      </c>
      <c r="E4" s="7" t="s">
        <v>99</v>
      </c>
      <c r="F4" s="7" t="s">
        <v>100</v>
      </c>
      <c r="G4" s="7" t="s">
        <v>101</v>
      </c>
      <c r="H4" s="7" t="s">
        <v>102</v>
      </c>
      <c r="I4" s="7" t="s">
        <v>103</v>
      </c>
    </row>
    <row r="5" customFormat="false" ht="32.8" hidden="false" customHeight="false" outlineLevel="0" collapsed="false">
      <c r="A5" s="8" t="s">
        <v>104</v>
      </c>
      <c r="B5" s="8" t="s">
        <v>105</v>
      </c>
      <c r="C5" s="8" t="s">
        <v>106</v>
      </c>
      <c r="D5" s="8" t="s">
        <v>107</v>
      </c>
      <c r="E5" s="8" t="n">
        <v>4076578</v>
      </c>
      <c r="F5" s="8" t="s">
        <v>108</v>
      </c>
      <c r="G5" s="8" t="s">
        <v>109</v>
      </c>
      <c r="H5" s="8" t="s">
        <v>110</v>
      </c>
      <c r="I5" s="8" t="s">
        <v>111</v>
      </c>
    </row>
    <row r="6" customFormat="false" ht="22.35" hidden="false" customHeight="false" outlineLevel="0" collapsed="false">
      <c r="A6" s="8" t="s">
        <v>112</v>
      </c>
      <c r="B6" s="8" t="s">
        <v>113</v>
      </c>
      <c r="C6" s="8" t="s">
        <v>114</v>
      </c>
      <c r="D6" s="8" t="s">
        <v>115</v>
      </c>
      <c r="E6" s="8" t="n">
        <v>3529052</v>
      </c>
      <c r="F6" s="8" t="s">
        <v>116</v>
      </c>
      <c r="G6" s="8" t="s">
        <v>117</v>
      </c>
      <c r="H6" s="8" t="s">
        <v>118</v>
      </c>
      <c r="I6" s="8" t="s">
        <v>116</v>
      </c>
    </row>
    <row r="7" customFormat="false" ht="15" hidden="false" customHeight="false" outlineLevel="0" collapsed="false">
      <c r="A7" s="8" t="s">
        <v>119</v>
      </c>
      <c r="B7" s="8" t="s">
        <v>120</v>
      </c>
      <c r="C7" s="8" t="s">
        <v>121</v>
      </c>
      <c r="D7" s="8" t="s">
        <v>115</v>
      </c>
      <c r="E7" s="8" t="n">
        <v>1447067</v>
      </c>
      <c r="F7" s="8" t="s">
        <v>116</v>
      </c>
      <c r="G7" s="8" t="s">
        <v>117</v>
      </c>
      <c r="H7" s="8" t="s">
        <v>122</v>
      </c>
      <c r="I7" s="8" t="s">
        <v>116</v>
      </c>
    </row>
    <row r="8" customFormat="false" ht="22.35" hidden="false" customHeight="false" outlineLevel="0" collapsed="false">
      <c r="A8" s="8" t="s">
        <v>123</v>
      </c>
      <c r="B8" s="8" t="s">
        <v>124</v>
      </c>
      <c r="C8" s="8" t="s">
        <v>125</v>
      </c>
      <c r="D8" s="8" t="s">
        <v>115</v>
      </c>
      <c r="E8" s="8" t="n">
        <v>8388608</v>
      </c>
      <c r="F8" s="8" t="s">
        <v>116</v>
      </c>
      <c r="G8" s="8" t="s">
        <v>126</v>
      </c>
      <c r="H8" s="8" t="s">
        <v>127</v>
      </c>
      <c r="I8" s="8" t="s">
        <v>116</v>
      </c>
    </row>
    <row r="9" customFormat="false" ht="22.35" hidden="false" customHeight="false" outlineLevel="0" collapsed="false">
      <c r="A9" s="8" t="s">
        <v>128</v>
      </c>
      <c r="B9" s="8" t="s">
        <v>129</v>
      </c>
      <c r="C9" s="8" t="s">
        <v>130</v>
      </c>
      <c r="D9" s="8" t="s">
        <v>115</v>
      </c>
      <c r="E9" s="8" t="n">
        <v>1800414</v>
      </c>
      <c r="F9" s="8" t="s">
        <v>116</v>
      </c>
      <c r="G9" s="8" t="s">
        <v>117</v>
      </c>
      <c r="H9" s="8" t="s">
        <v>122</v>
      </c>
      <c r="I9" s="8" t="s">
        <v>116</v>
      </c>
    </row>
    <row r="10" customFormat="false" ht="22.35" hidden="false" customHeight="false" outlineLevel="0" collapsed="false">
      <c r="A10" s="8" t="s">
        <v>131</v>
      </c>
      <c r="B10" s="8" t="s">
        <v>132</v>
      </c>
      <c r="C10" s="8" t="s">
        <v>133</v>
      </c>
      <c r="D10" s="8" t="s">
        <v>115</v>
      </c>
      <c r="E10" s="8" t="n">
        <v>4841995</v>
      </c>
      <c r="F10" s="8" t="s">
        <v>116</v>
      </c>
      <c r="G10" s="8" t="s">
        <v>134</v>
      </c>
      <c r="H10" s="8" t="s">
        <v>122</v>
      </c>
      <c r="I10" s="8" t="s">
        <v>116</v>
      </c>
    </row>
    <row r="11" customFormat="false" ht="22.35" hidden="false" customHeight="false" outlineLevel="0" collapsed="false">
      <c r="A11" s="8" t="s">
        <v>135</v>
      </c>
      <c r="B11" s="8" t="s">
        <v>136</v>
      </c>
      <c r="C11" s="8" t="s">
        <v>137</v>
      </c>
      <c r="D11" s="8" t="s">
        <v>115</v>
      </c>
      <c r="E11" s="8" t="n">
        <v>4735816</v>
      </c>
      <c r="F11" s="8" t="s">
        <v>116</v>
      </c>
      <c r="G11" s="8" t="s">
        <v>134</v>
      </c>
      <c r="H11" s="8" t="s">
        <v>122</v>
      </c>
      <c r="I11" s="8" t="s">
        <v>116</v>
      </c>
    </row>
    <row r="12" customFormat="false" ht="22.35" hidden="false" customHeight="false" outlineLevel="0" collapsed="false">
      <c r="A12" s="8" t="s">
        <v>138</v>
      </c>
      <c r="B12" s="8" t="s">
        <v>139</v>
      </c>
      <c r="C12" s="8" t="s">
        <v>140</v>
      </c>
      <c r="D12" s="8" t="s">
        <v>115</v>
      </c>
      <c r="E12" s="8" t="n">
        <v>4562291</v>
      </c>
      <c r="F12" s="8" t="s">
        <v>116</v>
      </c>
      <c r="G12" s="8" t="s">
        <v>141</v>
      </c>
      <c r="H12" s="8" t="s">
        <v>122</v>
      </c>
      <c r="I12" s="8" t="s">
        <v>116</v>
      </c>
    </row>
    <row r="13" customFormat="false" ht="32.8" hidden="false" customHeight="false" outlineLevel="0" collapsed="false">
      <c r="A13" s="8" t="s">
        <v>142</v>
      </c>
      <c r="B13" s="8" t="s">
        <v>143</v>
      </c>
      <c r="C13" s="8" t="s">
        <v>144</v>
      </c>
      <c r="D13" s="8" t="s">
        <v>145</v>
      </c>
      <c r="E13" s="8" t="n">
        <v>4775107</v>
      </c>
      <c r="F13" s="8" t="s">
        <v>146</v>
      </c>
      <c r="G13" s="8" t="s">
        <v>147</v>
      </c>
      <c r="H13" s="8" t="s">
        <v>148</v>
      </c>
      <c r="I13" s="8" t="s">
        <v>149</v>
      </c>
    </row>
    <row r="14" customFormat="false" ht="22.35" hidden="false" customHeight="false" outlineLevel="0" collapsed="false">
      <c r="A14" s="8" t="s">
        <v>150</v>
      </c>
      <c r="B14" s="8" t="s">
        <v>151</v>
      </c>
      <c r="C14" s="8" t="s">
        <v>152</v>
      </c>
      <c r="D14" s="8" t="s">
        <v>117</v>
      </c>
      <c r="E14" s="8"/>
      <c r="F14" s="8" t="s">
        <v>117</v>
      </c>
      <c r="G14" s="8" t="s">
        <v>153</v>
      </c>
      <c r="H14" s="8" t="s">
        <v>21</v>
      </c>
      <c r="I14" s="8" t="s">
        <v>154</v>
      </c>
    </row>
    <row r="15" customFormat="false" ht="22.35" hidden="false" customHeight="false" outlineLevel="0" collapsed="false">
      <c r="A15" s="8" t="s">
        <v>155</v>
      </c>
      <c r="B15" s="8" t="s">
        <v>156</v>
      </c>
      <c r="C15" s="8" t="s">
        <v>117</v>
      </c>
      <c r="D15" s="8" t="s">
        <v>157</v>
      </c>
      <c r="E15" s="8"/>
      <c r="F15" s="8" t="s">
        <v>117</v>
      </c>
      <c r="G15" s="8" t="s">
        <v>158</v>
      </c>
      <c r="H15" s="8" t="s">
        <v>159</v>
      </c>
      <c r="I15" s="8" t="s">
        <v>160</v>
      </c>
    </row>
    <row r="16" customFormat="false" ht="32.8" hidden="false" customHeight="false" outlineLevel="0" collapsed="false">
      <c r="A16" s="8" t="s">
        <v>161</v>
      </c>
      <c r="B16" s="8" t="s">
        <v>162</v>
      </c>
      <c r="C16" s="8" t="s">
        <v>117</v>
      </c>
      <c r="D16" s="8" t="s">
        <v>157</v>
      </c>
      <c r="E16" s="8"/>
      <c r="F16" s="8" t="s">
        <v>117</v>
      </c>
      <c r="G16" s="8" t="s">
        <v>163</v>
      </c>
      <c r="H16" s="8" t="s">
        <v>159</v>
      </c>
      <c r="I16" s="8" t="s">
        <v>164</v>
      </c>
    </row>
    <row r="17" customFormat="false" ht="32.8" hidden="false" customHeight="false" outlineLevel="0" collapsed="false">
      <c r="A17" s="8" t="s">
        <v>165</v>
      </c>
      <c r="B17" s="8" t="s">
        <v>166</v>
      </c>
      <c r="C17" s="8" t="s">
        <v>117</v>
      </c>
      <c r="D17" s="8" t="s">
        <v>157</v>
      </c>
      <c r="E17" s="8"/>
      <c r="F17" s="8" t="s">
        <v>117</v>
      </c>
      <c r="G17" s="8" t="s">
        <v>167</v>
      </c>
      <c r="H17" s="8" t="s">
        <v>168</v>
      </c>
      <c r="I17" s="8" t="s">
        <v>169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48"/>
    <col collapsed="false" customWidth="true" hidden="false" outlineLevel="0" max="4" min="4" style="0" width="30"/>
    <col collapsed="false" customWidth="true" hidden="false" outlineLevel="0" max="5" min="5" style="0" width="4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4" t="s">
        <v>170</v>
      </c>
    </row>
    <row r="2" customFormat="false" ht="15" hidden="false" customHeight="false" outlineLevel="0" collapsed="false">
      <c r="A2" s="5" t="s">
        <v>9</v>
      </c>
    </row>
    <row r="3" customFormat="false" ht="15" hidden="false" customHeight="false" outlineLevel="0" collapsed="false">
      <c r="A3" s="7" t="s">
        <v>96</v>
      </c>
      <c r="B3" s="7" t="s">
        <v>171</v>
      </c>
      <c r="C3" s="7" t="s">
        <v>172</v>
      </c>
      <c r="D3" s="7" t="s">
        <v>173</v>
      </c>
      <c r="E3" s="7" t="s">
        <v>174</v>
      </c>
      <c r="F3" s="7" t="s">
        <v>175</v>
      </c>
    </row>
    <row r="4" customFormat="false" ht="32.8" hidden="false" customHeight="false" outlineLevel="0" collapsed="false">
      <c r="A4" s="8" t="s">
        <v>176</v>
      </c>
      <c r="B4" s="8" t="s">
        <v>177</v>
      </c>
      <c r="C4" s="8" t="s">
        <v>178</v>
      </c>
      <c r="D4" s="8" t="s">
        <v>179</v>
      </c>
      <c r="E4" s="8" t="s">
        <v>180</v>
      </c>
      <c r="F4" s="8" t="s">
        <v>181</v>
      </c>
    </row>
    <row r="5" customFormat="false" ht="15" hidden="false" customHeight="false" outlineLevel="0" collapsed="false">
      <c r="A5" s="8" t="s">
        <v>182</v>
      </c>
      <c r="B5" s="8" t="s">
        <v>183</v>
      </c>
      <c r="C5" s="8" t="s">
        <v>184</v>
      </c>
      <c r="D5" s="8" t="s">
        <v>185</v>
      </c>
      <c r="E5" s="8" t="s">
        <v>186</v>
      </c>
      <c r="F5" s="8" t="s">
        <v>187</v>
      </c>
    </row>
    <row r="6" customFormat="false" ht="32.8" hidden="false" customHeight="false" outlineLevel="0" collapsed="false">
      <c r="A6" s="8" t="s">
        <v>188</v>
      </c>
      <c r="B6" s="8" t="s">
        <v>189</v>
      </c>
      <c r="C6" s="8" t="s">
        <v>190</v>
      </c>
      <c r="D6" s="8" t="s">
        <v>191</v>
      </c>
      <c r="E6" s="8" t="s">
        <v>192</v>
      </c>
      <c r="F6" s="8" t="s">
        <v>193</v>
      </c>
    </row>
    <row r="7" customFormat="false" ht="22.35" hidden="false" customHeight="false" outlineLevel="0" collapsed="false">
      <c r="A7" s="8" t="s">
        <v>194</v>
      </c>
      <c r="B7" s="8" t="s">
        <v>195</v>
      </c>
      <c r="C7" s="8" t="s">
        <v>196</v>
      </c>
      <c r="D7" s="8" t="s">
        <v>197</v>
      </c>
      <c r="E7" s="8" t="s">
        <v>198</v>
      </c>
      <c r="F7" s="8" t="s">
        <v>199</v>
      </c>
    </row>
    <row r="8" customFormat="false" ht="32.8" hidden="false" customHeight="false" outlineLevel="0" collapsed="false">
      <c r="A8" s="8" t="s">
        <v>200</v>
      </c>
      <c r="B8" s="8" t="s">
        <v>201</v>
      </c>
      <c r="C8" s="8" t="s">
        <v>202</v>
      </c>
      <c r="D8" s="8" t="s">
        <v>203</v>
      </c>
      <c r="E8" s="8" t="s">
        <v>204</v>
      </c>
      <c r="F8" s="8" t="s">
        <v>187</v>
      </c>
    </row>
    <row r="9" customFormat="false" ht="22.35" hidden="false" customHeight="false" outlineLevel="0" collapsed="false">
      <c r="A9" s="8" t="s">
        <v>205</v>
      </c>
      <c r="B9" s="8" t="s">
        <v>206</v>
      </c>
      <c r="C9" s="8" t="s">
        <v>207</v>
      </c>
      <c r="D9" s="8" t="s">
        <v>208</v>
      </c>
      <c r="E9" s="8" t="s">
        <v>209</v>
      </c>
      <c r="F9" s="8" t="s">
        <v>187</v>
      </c>
    </row>
    <row r="10" customFormat="false" ht="22.35" hidden="false" customHeight="false" outlineLevel="0" collapsed="false">
      <c r="A10" s="8" t="s">
        <v>210</v>
      </c>
      <c r="B10" s="8" t="s">
        <v>211</v>
      </c>
      <c r="C10" s="8" t="s">
        <v>212</v>
      </c>
      <c r="D10" s="8" t="s">
        <v>213</v>
      </c>
      <c r="E10" s="8" t="s">
        <v>214</v>
      </c>
      <c r="F10" s="8" t="s">
        <v>187</v>
      </c>
    </row>
    <row r="11" customFormat="false" ht="22.35" hidden="false" customHeight="false" outlineLevel="0" collapsed="false">
      <c r="A11" s="8" t="s">
        <v>215</v>
      </c>
      <c r="B11" s="8" t="s">
        <v>216</v>
      </c>
      <c r="C11" s="8" t="s">
        <v>217</v>
      </c>
      <c r="D11" s="8" t="s">
        <v>218</v>
      </c>
      <c r="E11" s="8" t="s">
        <v>219</v>
      </c>
      <c r="F11" s="8" t="s">
        <v>187</v>
      </c>
    </row>
    <row r="12" customFormat="false" ht="22.35" hidden="false" customHeight="false" outlineLevel="0" collapsed="false">
      <c r="A12" s="8" t="s">
        <v>220</v>
      </c>
      <c r="B12" s="8" t="s">
        <v>221</v>
      </c>
      <c r="C12" s="8" t="s">
        <v>222</v>
      </c>
      <c r="D12" s="8" t="s">
        <v>223</v>
      </c>
      <c r="E12" s="8" t="s">
        <v>224</v>
      </c>
      <c r="F12" s="8" t="s">
        <v>225</v>
      </c>
    </row>
    <row r="13" customFormat="false" ht="32.8" hidden="false" customHeight="false" outlineLevel="0" collapsed="false">
      <c r="A13" s="8" t="s">
        <v>226</v>
      </c>
      <c r="B13" s="8" t="s">
        <v>227</v>
      </c>
      <c r="C13" s="8" t="s">
        <v>228</v>
      </c>
      <c r="D13" s="8" t="s">
        <v>229</v>
      </c>
      <c r="E13" s="8" t="s">
        <v>230</v>
      </c>
      <c r="F13" s="8" t="s">
        <v>181</v>
      </c>
    </row>
    <row r="14" customFormat="false" ht="22.35" hidden="false" customHeight="false" outlineLevel="0" collapsed="false">
      <c r="A14" s="8" t="s">
        <v>231</v>
      </c>
      <c r="B14" s="8" t="s">
        <v>232</v>
      </c>
      <c r="C14" s="8" t="s">
        <v>233</v>
      </c>
      <c r="D14" s="8" t="s">
        <v>234</v>
      </c>
      <c r="E14" s="8" t="s">
        <v>235</v>
      </c>
      <c r="F14" s="8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34"/>
    <col collapsed="false" customWidth="true" hidden="false" outlineLevel="0" max="5" min="5" style="0" width="3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4" t="s">
        <v>236</v>
      </c>
    </row>
    <row r="2" customFormat="false" ht="15" hidden="false" customHeight="false" outlineLevel="0" collapsed="false">
      <c r="A2" s="5" t="s">
        <v>9</v>
      </c>
    </row>
    <row r="3" customFormat="false" ht="15" hidden="false" customHeight="false" outlineLevel="0" collapsed="false">
      <c r="A3" s="7" t="s">
        <v>237</v>
      </c>
      <c r="B3" s="7" t="s">
        <v>238</v>
      </c>
      <c r="C3" s="7" t="s">
        <v>239</v>
      </c>
      <c r="D3" s="7" t="s">
        <v>240</v>
      </c>
      <c r="E3" s="7" t="s">
        <v>241</v>
      </c>
      <c r="F3" s="7" t="s">
        <v>242</v>
      </c>
    </row>
    <row r="4" customFormat="false" ht="15" hidden="false" customHeight="false" outlineLevel="0" collapsed="false">
      <c r="A4" s="8" t="s">
        <v>243</v>
      </c>
      <c r="B4" s="8" t="s">
        <v>244</v>
      </c>
      <c r="C4" s="8" t="s">
        <v>245</v>
      </c>
      <c r="D4" s="8" t="s">
        <v>246</v>
      </c>
      <c r="E4" s="8" t="s">
        <v>247</v>
      </c>
      <c r="F4" s="8" t="s">
        <v>248</v>
      </c>
    </row>
    <row r="5" customFormat="false" ht="15" hidden="false" customHeight="false" outlineLevel="0" collapsed="false">
      <c r="A5" s="8" t="s">
        <v>249</v>
      </c>
      <c r="B5" s="8" t="s">
        <v>250</v>
      </c>
      <c r="C5" s="8" t="s">
        <v>251</v>
      </c>
      <c r="D5" s="8" t="s">
        <v>252</v>
      </c>
      <c r="E5" s="8" t="s">
        <v>253</v>
      </c>
      <c r="F5" s="8" t="s">
        <v>254</v>
      </c>
    </row>
    <row r="6" customFormat="false" ht="15" hidden="false" customHeight="false" outlineLevel="0" collapsed="false">
      <c r="A6" s="8" t="s">
        <v>255</v>
      </c>
      <c r="B6" s="8" t="s">
        <v>256</v>
      </c>
      <c r="C6" s="8" t="s">
        <v>257</v>
      </c>
      <c r="D6" s="8" t="s">
        <v>258</v>
      </c>
      <c r="E6" s="8" t="s">
        <v>259</v>
      </c>
      <c r="F6" s="8" t="s">
        <v>260</v>
      </c>
    </row>
    <row r="7" customFormat="false" ht="22.35" hidden="false" customHeight="false" outlineLevel="0" collapsed="false">
      <c r="A7" s="8" t="s">
        <v>261</v>
      </c>
      <c r="B7" s="8" t="s">
        <v>262</v>
      </c>
      <c r="C7" s="8" t="s">
        <v>263</v>
      </c>
      <c r="D7" s="8" t="s">
        <v>264</v>
      </c>
      <c r="E7" s="8" t="s">
        <v>265</v>
      </c>
      <c r="F7" s="8" t="s">
        <v>266</v>
      </c>
    </row>
    <row r="8" customFormat="false" ht="15" hidden="false" customHeight="false" outlineLevel="0" collapsed="false">
      <c r="A8" s="8" t="s">
        <v>267</v>
      </c>
      <c r="B8" s="8" t="s">
        <v>268</v>
      </c>
      <c r="C8" s="8" t="s">
        <v>269</v>
      </c>
      <c r="D8" s="8" t="s">
        <v>270</v>
      </c>
      <c r="E8" s="8" t="s">
        <v>259</v>
      </c>
      <c r="F8" s="8" t="s">
        <v>271</v>
      </c>
    </row>
    <row r="9" customFormat="false" ht="15" hidden="false" customHeight="false" outlineLevel="0" collapsed="false">
      <c r="A9" s="8" t="s">
        <v>272</v>
      </c>
      <c r="B9" s="8" t="s">
        <v>273</v>
      </c>
      <c r="C9" s="8" t="s">
        <v>274</v>
      </c>
      <c r="D9" s="8" t="s">
        <v>275</v>
      </c>
      <c r="E9" s="8" t="s">
        <v>276</v>
      </c>
      <c r="F9" s="8" t="s">
        <v>277</v>
      </c>
    </row>
    <row r="10" customFormat="false" ht="22.35" hidden="false" customHeight="false" outlineLevel="0" collapsed="false">
      <c r="A10" s="8" t="s">
        <v>278</v>
      </c>
      <c r="B10" s="8" t="s">
        <v>279</v>
      </c>
      <c r="C10" s="8" t="s">
        <v>280</v>
      </c>
      <c r="D10" s="8" t="s">
        <v>281</v>
      </c>
      <c r="E10" s="8" t="s">
        <v>282</v>
      </c>
      <c r="F10" s="8" t="s">
        <v>283</v>
      </c>
    </row>
    <row r="11" customFormat="false" ht="15" hidden="false" customHeight="false" outlineLevel="0" collapsed="false">
      <c r="A11" s="8" t="s">
        <v>284</v>
      </c>
      <c r="B11" s="8" t="s">
        <v>285</v>
      </c>
      <c r="C11" s="8" t="s">
        <v>286</v>
      </c>
      <c r="D11" s="8" t="s">
        <v>287</v>
      </c>
      <c r="E11" s="8" t="s">
        <v>259</v>
      </c>
      <c r="F11" s="8" t="s">
        <v>288</v>
      </c>
    </row>
    <row r="12" customFormat="false" ht="15" hidden="false" customHeight="false" outlineLevel="0" collapsed="false">
      <c r="A12" s="8" t="s">
        <v>289</v>
      </c>
      <c r="B12" s="8" t="s">
        <v>290</v>
      </c>
      <c r="C12" s="8" t="s">
        <v>291</v>
      </c>
      <c r="D12" s="8" t="s">
        <v>292</v>
      </c>
      <c r="E12" s="8" t="s">
        <v>259</v>
      </c>
      <c r="F12" s="8" t="s">
        <v>117</v>
      </c>
    </row>
    <row r="13" customFormat="false" ht="22.35" hidden="false" customHeight="false" outlineLevel="0" collapsed="false">
      <c r="A13" s="8" t="s">
        <v>293</v>
      </c>
      <c r="B13" s="8" t="s">
        <v>294</v>
      </c>
      <c r="C13" s="8" t="s">
        <v>295</v>
      </c>
      <c r="D13" s="8" t="s">
        <v>296</v>
      </c>
      <c r="E13" s="8" t="s">
        <v>259</v>
      </c>
      <c r="F13" s="8" t="s">
        <v>297</v>
      </c>
    </row>
    <row r="14" customFormat="false" ht="15" hidden="false" customHeight="false" outlineLevel="0" collapsed="false">
      <c r="A14" s="8" t="s">
        <v>298</v>
      </c>
      <c r="B14" s="8" t="s">
        <v>299</v>
      </c>
      <c r="C14" s="8" t="s">
        <v>300</v>
      </c>
      <c r="D14" s="8" t="s">
        <v>301</v>
      </c>
      <c r="E14" s="8" t="s">
        <v>259</v>
      </c>
      <c r="F14" s="8" t="s">
        <v>117</v>
      </c>
    </row>
    <row r="15" customFormat="false" ht="15" hidden="false" customHeight="false" outlineLevel="0" collapsed="false">
      <c r="A15" s="8" t="s">
        <v>302</v>
      </c>
      <c r="B15" s="8" t="s">
        <v>303</v>
      </c>
      <c r="C15" s="8" t="s">
        <v>304</v>
      </c>
      <c r="D15" s="8" t="s">
        <v>301</v>
      </c>
      <c r="E15" s="8" t="s">
        <v>259</v>
      </c>
      <c r="F15" s="8" t="s">
        <v>305</v>
      </c>
    </row>
    <row r="16" customFormat="false" ht="15" hidden="false" customHeight="false" outlineLevel="0" collapsed="false">
      <c r="A16" s="8" t="s">
        <v>306</v>
      </c>
      <c r="B16" s="8" t="s">
        <v>307</v>
      </c>
      <c r="C16" s="8" t="s">
        <v>308</v>
      </c>
      <c r="D16" s="8" t="s">
        <v>117</v>
      </c>
      <c r="E16" s="8" t="s">
        <v>259</v>
      </c>
      <c r="F16" s="8" t="s">
        <v>309</v>
      </c>
    </row>
    <row r="17" customFormat="false" ht="22.35" hidden="false" customHeight="false" outlineLevel="0" collapsed="false">
      <c r="A17" s="8" t="s">
        <v>310</v>
      </c>
      <c r="B17" s="8" t="s">
        <v>311</v>
      </c>
      <c r="C17" s="8" t="s">
        <v>312</v>
      </c>
      <c r="D17" s="8" t="s">
        <v>313</v>
      </c>
      <c r="E17" s="8" t="s">
        <v>314</v>
      </c>
      <c r="F17" s="8" t="s">
        <v>315</v>
      </c>
    </row>
    <row r="18" customFormat="false" ht="15" hidden="false" customHeight="false" outlineLevel="0" collapsed="false">
      <c r="A18" s="8" t="s">
        <v>316</v>
      </c>
      <c r="B18" s="8" t="s">
        <v>317</v>
      </c>
      <c r="C18" s="8" t="s">
        <v>318</v>
      </c>
      <c r="D18" s="8" t="s">
        <v>319</v>
      </c>
      <c r="E18" s="8" t="s">
        <v>276</v>
      </c>
      <c r="F18" s="8" t="s">
        <v>320</v>
      </c>
    </row>
    <row r="19" customFormat="false" ht="15" hidden="false" customHeight="false" outlineLevel="0" collapsed="false">
      <c r="A19" s="8" t="s">
        <v>321</v>
      </c>
      <c r="B19" s="8" t="s">
        <v>322</v>
      </c>
      <c r="C19" s="8" t="s">
        <v>323</v>
      </c>
      <c r="D19" s="8" t="s">
        <v>319</v>
      </c>
      <c r="E19" s="8" t="s">
        <v>282</v>
      </c>
      <c r="F19" s="8" t="s">
        <v>324</v>
      </c>
    </row>
    <row r="20" customFormat="false" ht="15" hidden="false" customHeight="false" outlineLevel="0" collapsed="false">
      <c r="A20" s="8" t="s">
        <v>325</v>
      </c>
      <c r="B20" s="8" t="s">
        <v>326</v>
      </c>
      <c r="C20" s="8" t="s">
        <v>301</v>
      </c>
      <c r="D20" s="8" t="s">
        <v>319</v>
      </c>
      <c r="E20" s="8" t="s">
        <v>327</v>
      </c>
      <c r="F20" s="8" t="s">
        <v>328</v>
      </c>
    </row>
    <row r="21" customFormat="false" ht="15" hidden="false" customHeight="false" outlineLevel="0" collapsed="false">
      <c r="A21" s="8" t="s">
        <v>329</v>
      </c>
      <c r="B21" s="8" t="s">
        <v>330</v>
      </c>
      <c r="C21" s="8" t="s">
        <v>301</v>
      </c>
      <c r="D21" s="8" t="s">
        <v>331</v>
      </c>
      <c r="E21" s="8" t="s">
        <v>282</v>
      </c>
      <c r="F21" s="8" t="s">
        <v>332</v>
      </c>
    </row>
    <row r="22" customFormat="false" ht="22.35" hidden="false" customHeight="false" outlineLevel="0" collapsed="false">
      <c r="A22" s="8" t="s">
        <v>333</v>
      </c>
      <c r="B22" s="8" t="s">
        <v>334</v>
      </c>
      <c r="C22" s="8" t="s">
        <v>117</v>
      </c>
      <c r="D22" s="8" t="s">
        <v>335</v>
      </c>
      <c r="E22" s="8" t="s">
        <v>336</v>
      </c>
      <c r="F22" s="8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7" min="6" style="0" width="36"/>
  </cols>
  <sheetData>
    <row r="1" customFormat="false" ht="15" hidden="false" customHeight="false" outlineLevel="0" collapsed="false">
      <c r="A1" s="4" t="s">
        <v>338</v>
      </c>
    </row>
    <row r="2" customFormat="false" ht="15" hidden="false" customHeight="false" outlineLevel="0" collapsed="false">
      <c r="A2" s="5" t="s">
        <v>9</v>
      </c>
    </row>
    <row r="3" customFormat="false" ht="15" hidden="false" customHeight="false" outlineLevel="0" collapsed="false">
      <c r="A3" s="7" t="s">
        <v>96</v>
      </c>
      <c r="B3" s="7" t="s">
        <v>339</v>
      </c>
      <c r="C3" s="7" t="s">
        <v>340</v>
      </c>
      <c r="D3" s="7" t="s">
        <v>341</v>
      </c>
      <c r="E3" s="7" t="s">
        <v>342</v>
      </c>
      <c r="F3" s="7" t="s">
        <v>343</v>
      </c>
      <c r="G3" s="7" t="s">
        <v>344</v>
      </c>
    </row>
    <row r="4" customFormat="false" ht="22.35" hidden="false" customHeight="false" outlineLevel="0" collapsed="false">
      <c r="A4" s="8" t="s">
        <v>345</v>
      </c>
      <c r="B4" s="8" t="s">
        <v>346</v>
      </c>
      <c r="C4" s="8" t="s">
        <v>347</v>
      </c>
      <c r="D4" s="8" t="s">
        <v>348</v>
      </c>
      <c r="E4" s="8" t="s">
        <v>301</v>
      </c>
      <c r="F4" s="8" t="s">
        <v>349</v>
      </c>
      <c r="G4" s="8" t="s">
        <v>350</v>
      </c>
    </row>
    <row r="5" customFormat="false" ht="15" hidden="false" customHeight="false" outlineLevel="0" collapsed="false">
      <c r="A5" s="8" t="s">
        <v>351</v>
      </c>
      <c r="B5" s="8" t="s">
        <v>352</v>
      </c>
      <c r="C5" s="8" t="s">
        <v>353</v>
      </c>
      <c r="D5" s="8" t="s">
        <v>249</v>
      </c>
      <c r="E5" s="8" t="s">
        <v>301</v>
      </c>
      <c r="F5" s="8" t="s">
        <v>354</v>
      </c>
      <c r="G5" s="8" t="s">
        <v>355</v>
      </c>
    </row>
    <row r="6" customFormat="false" ht="15" hidden="false" customHeight="false" outlineLevel="0" collapsed="false">
      <c r="A6" s="8" t="s">
        <v>356</v>
      </c>
      <c r="B6" s="8" t="s">
        <v>357</v>
      </c>
      <c r="C6" s="8" t="s">
        <v>358</v>
      </c>
      <c r="D6" s="8" t="s">
        <v>359</v>
      </c>
      <c r="E6" s="8" t="s">
        <v>360</v>
      </c>
      <c r="F6" s="8" t="s">
        <v>361</v>
      </c>
      <c r="G6" s="8" t="s">
        <v>350</v>
      </c>
    </row>
    <row r="7" customFormat="false" ht="15" hidden="false" customHeight="false" outlineLevel="0" collapsed="false">
      <c r="A7" s="8" t="s">
        <v>362</v>
      </c>
      <c r="B7" s="8" t="s">
        <v>363</v>
      </c>
      <c r="C7" s="8" t="s">
        <v>364</v>
      </c>
      <c r="D7" s="8" t="s">
        <v>301</v>
      </c>
      <c r="E7" s="8" t="s">
        <v>365</v>
      </c>
      <c r="F7" s="8" t="s">
        <v>366</v>
      </c>
      <c r="G7" s="8" t="s">
        <v>367</v>
      </c>
    </row>
    <row r="8" customFormat="false" ht="22.35" hidden="false" customHeight="false" outlineLevel="0" collapsed="false">
      <c r="A8" s="8" t="s">
        <v>368</v>
      </c>
      <c r="B8" s="8" t="s">
        <v>369</v>
      </c>
      <c r="C8" s="8" t="s">
        <v>370</v>
      </c>
      <c r="D8" s="8" t="s">
        <v>249</v>
      </c>
      <c r="E8" s="8" t="s">
        <v>371</v>
      </c>
      <c r="F8" s="8" t="s">
        <v>372</v>
      </c>
      <c r="G8" s="8" t="s">
        <v>373</v>
      </c>
    </row>
    <row r="9" customFormat="false" ht="15" hidden="false" customHeight="false" outlineLevel="0" collapsed="false">
      <c r="A9" s="8" t="s">
        <v>374</v>
      </c>
      <c r="B9" s="8" t="s">
        <v>375</v>
      </c>
      <c r="C9" s="8" t="s">
        <v>376</v>
      </c>
      <c r="D9" s="8" t="s">
        <v>301</v>
      </c>
      <c r="E9" s="8" t="s">
        <v>377</v>
      </c>
      <c r="F9" s="8" t="s">
        <v>378</v>
      </c>
      <c r="G9" s="8" t="s">
        <v>379</v>
      </c>
    </row>
    <row r="10" customFormat="false" ht="15" hidden="false" customHeight="false" outlineLevel="0" collapsed="false">
      <c r="A10" s="8" t="s">
        <v>380</v>
      </c>
      <c r="B10" s="8" t="s">
        <v>381</v>
      </c>
      <c r="C10" s="8" t="s">
        <v>382</v>
      </c>
      <c r="D10" s="8" t="s">
        <v>383</v>
      </c>
      <c r="E10" s="8" t="s">
        <v>301</v>
      </c>
      <c r="F10" s="8" t="s">
        <v>384</v>
      </c>
      <c r="G10" s="8" t="s">
        <v>350</v>
      </c>
    </row>
    <row r="11" customFormat="false" ht="15" hidden="false" customHeight="false" outlineLevel="0" collapsed="false">
      <c r="A11" s="8" t="s">
        <v>385</v>
      </c>
      <c r="B11" s="8" t="s">
        <v>386</v>
      </c>
      <c r="C11" s="8" t="s">
        <v>387</v>
      </c>
      <c r="D11" s="8" t="s">
        <v>302</v>
      </c>
      <c r="E11" s="8" t="s">
        <v>301</v>
      </c>
      <c r="F11" s="8" t="s">
        <v>388</v>
      </c>
      <c r="G11" s="8" t="s">
        <v>350</v>
      </c>
    </row>
    <row r="12" customFormat="false" ht="15" hidden="false" customHeight="false" outlineLevel="0" collapsed="false">
      <c r="A12" s="8" t="s">
        <v>389</v>
      </c>
      <c r="B12" s="8" t="s">
        <v>390</v>
      </c>
      <c r="C12" s="8" t="s">
        <v>391</v>
      </c>
      <c r="D12" s="8" t="s">
        <v>383</v>
      </c>
      <c r="E12" s="8" t="s">
        <v>301</v>
      </c>
      <c r="F12" s="8" t="s">
        <v>392</v>
      </c>
      <c r="G12" s="8" t="s">
        <v>350</v>
      </c>
    </row>
    <row r="13" customFormat="false" ht="22.35" hidden="false" customHeight="false" outlineLevel="0" collapsed="false">
      <c r="A13" s="8" t="s">
        <v>393</v>
      </c>
      <c r="B13" s="8" t="s">
        <v>394</v>
      </c>
      <c r="C13" s="8" t="s">
        <v>395</v>
      </c>
      <c r="D13" s="8" t="s">
        <v>396</v>
      </c>
      <c r="E13" s="8" t="s">
        <v>397</v>
      </c>
      <c r="F13" s="8" t="s">
        <v>398</v>
      </c>
      <c r="G13" s="8" t="s">
        <v>399</v>
      </c>
    </row>
    <row r="14" customFormat="false" ht="22.35" hidden="false" customHeight="false" outlineLevel="0" collapsed="false">
      <c r="A14" s="8" t="s">
        <v>400</v>
      </c>
      <c r="B14" s="8" t="s">
        <v>401</v>
      </c>
      <c r="C14" s="8" t="s">
        <v>402</v>
      </c>
      <c r="D14" s="8" t="s">
        <v>272</v>
      </c>
      <c r="E14" s="8" t="s">
        <v>403</v>
      </c>
      <c r="F14" s="8" t="s">
        <v>404</v>
      </c>
      <c r="G14" s="8" t="s">
        <v>405</v>
      </c>
    </row>
    <row r="15" customFormat="false" ht="22.35" hidden="false" customHeight="false" outlineLevel="0" collapsed="false">
      <c r="A15" s="8" t="s">
        <v>406</v>
      </c>
      <c r="B15" s="8" t="s">
        <v>407</v>
      </c>
      <c r="C15" s="8" t="s">
        <v>408</v>
      </c>
      <c r="D15" s="8" t="s">
        <v>272</v>
      </c>
      <c r="E15" s="8" t="s">
        <v>409</v>
      </c>
      <c r="F15" s="8" t="s">
        <v>410</v>
      </c>
      <c r="G15" s="8" t="s">
        <v>411</v>
      </c>
    </row>
    <row r="16" customFormat="false" ht="15" hidden="false" customHeight="false" outlineLevel="0" collapsed="false">
      <c r="A16" s="8" t="s">
        <v>412</v>
      </c>
      <c r="B16" s="8" t="s">
        <v>413</v>
      </c>
      <c r="C16" s="8" t="s">
        <v>414</v>
      </c>
      <c r="D16" s="8" t="s">
        <v>272</v>
      </c>
      <c r="E16" s="8" t="s">
        <v>415</v>
      </c>
      <c r="F16" s="8" t="s">
        <v>416</v>
      </c>
      <c r="G16" s="8" t="s">
        <v>405</v>
      </c>
    </row>
    <row r="17" customFormat="false" ht="15" hidden="false" customHeight="false" outlineLevel="0" collapsed="false">
      <c r="A17" s="8" t="s">
        <v>417</v>
      </c>
      <c r="B17" s="8" t="s">
        <v>418</v>
      </c>
      <c r="C17" s="8" t="s">
        <v>419</v>
      </c>
      <c r="D17" s="8" t="s">
        <v>278</v>
      </c>
      <c r="E17" s="8" t="s">
        <v>415</v>
      </c>
      <c r="F17" s="8" t="s">
        <v>420</v>
      </c>
      <c r="G17" s="8" t="s">
        <v>421</v>
      </c>
    </row>
    <row r="18" customFormat="false" ht="15" hidden="false" customHeight="false" outlineLevel="0" collapsed="false">
      <c r="A18" s="8" t="s">
        <v>422</v>
      </c>
      <c r="B18" s="8" t="s">
        <v>423</v>
      </c>
      <c r="C18" s="8" t="s">
        <v>424</v>
      </c>
      <c r="D18" s="8" t="s">
        <v>278</v>
      </c>
      <c r="E18" s="8" t="s">
        <v>415</v>
      </c>
      <c r="F18" s="8" t="s">
        <v>425</v>
      </c>
      <c r="G18" s="8" t="s">
        <v>426</v>
      </c>
    </row>
    <row r="19" customFormat="false" ht="15" hidden="false" customHeight="false" outlineLevel="0" collapsed="false">
      <c r="A19" s="8" t="s">
        <v>427</v>
      </c>
      <c r="B19" s="8" t="s">
        <v>428</v>
      </c>
      <c r="C19" s="8" t="s">
        <v>429</v>
      </c>
      <c r="D19" s="8" t="s">
        <v>284</v>
      </c>
      <c r="E19" s="8" t="s">
        <v>430</v>
      </c>
      <c r="F19" s="8" t="s">
        <v>431</v>
      </c>
      <c r="G19" s="8" t="s">
        <v>350</v>
      </c>
    </row>
    <row r="20" customFormat="false" ht="15" hidden="false" customHeight="false" outlineLevel="0" collapsed="false">
      <c r="A20" s="8" t="s">
        <v>432</v>
      </c>
      <c r="B20" s="8" t="s">
        <v>433</v>
      </c>
      <c r="C20" s="8" t="s">
        <v>434</v>
      </c>
      <c r="D20" s="8" t="s">
        <v>306</v>
      </c>
      <c r="E20" s="8" t="s">
        <v>117</v>
      </c>
      <c r="F20" s="8" t="s">
        <v>435</v>
      </c>
      <c r="G20" s="8" t="s">
        <v>350</v>
      </c>
    </row>
    <row r="21" customFormat="false" ht="15" hidden="false" customHeight="false" outlineLevel="0" collapsed="false">
      <c r="A21" s="8" t="s">
        <v>436</v>
      </c>
      <c r="B21" s="8" t="s">
        <v>437</v>
      </c>
      <c r="C21" s="8" t="s">
        <v>438</v>
      </c>
      <c r="D21" s="8" t="s">
        <v>284</v>
      </c>
      <c r="E21" s="8" t="s">
        <v>439</v>
      </c>
      <c r="F21" s="8" t="s">
        <v>440</v>
      </c>
      <c r="G21" s="8" t="s">
        <v>441</v>
      </c>
    </row>
    <row r="22" customFormat="false" ht="15" hidden="false" customHeight="false" outlineLevel="0" collapsed="false">
      <c r="A22" s="8" t="s">
        <v>442</v>
      </c>
      <c r="B22" s="8" t="s">
        <v>443</v>
      </c>
      <c r="C22" s="8" t="s">
        <v>444</v>
      </c>
      <c r="D22" s="8" t="s">
        <v>278</v>
      </c>
      <c r="E22" s="8" t="s">
        <v>415</v>
      </c>
      <c r="F22" s="8" t="s">
        <v>445</v>
      </c>
      <c r="G22" s="8" t="s">
        <v>405</v>
      </c>
    </row>
    <row r="23" customFormat="false" ht="15" hidden="false" customHeight="false" outlineLevel="0" collapsed="false">
      <c r="A23" s="8" t="s">
        <v>446</v>
      </c>
      <c r="B23" s="8" t="s">
        <v>447</v>
      </c>
      <c r="C23" s="8" t="s">
        <v>448</v>
      </c>
      <c r="D23" s="8" t="s">
        <v>255</v>
      </c>
      <c r="E23" s="8" t="s">
        <v>301</v>
      </c>
      <c r="F23" s="8" t="s">
        <v>449</v>
      </c>
      <c r="G23" s="8" t="s">
        <v>350</v>
      </c>
    </row>
    <row r="24" customFormat="false" ht="15" hidden="false" customHeight="false" outlineLevel="0" collapsed="false">
      <c r="A24" s="8" t="s">
        <v>450</v>
      </c>
      <c r="B24" s="8" t="s">
        <v>451</v>
      </c>
      <c r="C24" s="8" t="s">
        <v>448</v>
      </c>
      <c r="D24" s="8" t="s">
        <v>255</v>
      </c>
      <c r="E24" s="8" t="s">
        <v>301</v>
      </c>
      <c r="F24" s="8" t="s">
        <v>452</v>
      </c>
      <c r="G24" s="8" t="s">
        <v>453</v>
      </c>
    </row>
    <row r="25" customFormat="false" ht="15" hidden="false" customHeight="false" outlineLevel="0" collapsed="false">
      <c r="A25" s="8" t="s">
        <v>454</v>
      </c>
      <c r="B25" s="8" t="s">
        <v>455</v>
      </c>
      <c r="C25" s="8" t="s">
        <v>456</v>
      </c>
      <c r="D25" s="8" t="s">
        <v>306</v>
      </c>
      <c r="E25" s="8" t="s">
        <v>117</v>
      </c>
      <c r="F25" s="8" t="s">
        <v>457</v>
      </c>
      <c r="G25" s="8" t="s">
        <v>350</v>
      </c>
    </row>
    <row r="26" customFormat="false" ht="15" hidden="false" customHeight="false" outlineLevel="0" collapsed="false">
      <c r="A26" s="8" t="s">
        <v>458</v>
      </c>
      <c r="B26" s="8" t="s">
        <v>459</v>
      </c>
      <c r="C26" s="8" t="s">
        <v>460</v>
      </c>
      <c r="D26" s="8" t="s">
        <v>306</v>
      </c>
      <c r="E26" s="8" t="s">
        <v>117</v>
      </c>
      <c r="F26" s="8" t="s">
        <v>461</v>
      </c>
      <c r="G26" s="8" t="s">
        <v>350</v>
      </c>
    </row>
    <row r="27" customFormat="false" ht="15" hidden="false" customHeight="false" outlineLevel="0" collapsed="false">
      <c r="A27" s="8" t="s">
        <v>462</v>
      </c>
      <c r="B27" s="8" t="s">
        <v>463</v>
      </c>
      <c r="C27" s="8" t="s">
        <v>464</v>
      </c>
      <c r="D27" s="8" t="s">
        <v>465</v>
      </c>
      <c r="E27" s="8" t="s">
        <v>117</v>
      </c>
      <c r="F27" s="8" t="s">
        <v>466</v>
      </c>
      <c r="G27" s="8" t="s">
        <v>467</v>
      </c>
    </row>
    <row r="28" customFormat="false" ht="15" hidden="false" customHeight="false" outlineLevel="0" collapsed="false">
      <c r="A28" s="8" t="s">
        <v>468</v>
      </c>
      <c r="B28" s="8" t="s">
        <v>469</v>
      </c>
      <c r="C28" s="8" t="s">
        <v>470</v>
      </c>
      <c r="D28" s="8" t="s">
        <v>471</v>
      </c>
      <c r="E28" s="8" t="s">
        <v>472</v>
      </c>
      <c r="F28" s="8" t="s">
        <v>473</v>
      </c>
      <c r="G28" s="8" t="s">
        <v>474</v>
      </c>
    </row>
    <row r="29" customFormat="false" ht="15" hidden="false" customHeight="false" outlineLevel="0" collapsed="false">
      <c r="A29" s="8" t="s">
        <v>475</v>
      </c>
      <c r="B29" s="8" t="s">
        <v>476</v>
      </c>
      <c r="C29" s="8" t="s">
        <v>477</v>
      </c>
      <c r="D29" s="8" t="s">
        <v>478</v>
      </c>
      <c r="E29" s="8" t="s">
        <v>365</v>
      </c>
      <c r="F29" s="8" t="s">
        <v>479</v>
      </c>
      <c r="G29" s="8" t="s">
        <v>367</v>
      </c>
    </row>
    <row r="30" customFormat="false" ht="15" hidden="false" customHeight="false" outlineLevel="0" collapsed="false">
      <c r="A30" s="8" t="s">
        <v>480</v>
      </c>
      <c r="B30" s="8" t="s">
        <v>481</v>
      </c>
      <c r="C30" s="8" t="s">
        <v>364</v>
      </c>
      <c r="D30" s="8" t="s">
        <v>301</v>
      </c>
      <c r="E30" s="8" t="s">
        <v>365</v>
      </c>
      <c r="F30" s="8" t="s">
        <v>482</v>
      </c>
      <c r="G30" s="8" t="s">
        <v>367</v>
      </c>
    </row>
    <row r="31" customFormat="false" ht="15" hidden="false" customHeight="false" outlineLevel="0" collapsed="false">
      <c r="A31" s="8" t="s">
        <v>483</v>
      </c>
      <c r="B31" s="8" t="s">
        <v>484</v>
      </c>
      <c r="C31" s="8" t="s">
        <v>485</v>
      </c>
      <c r="D31" s="8" t="s">
        <v>306</v>
      </c>
      <c r="E31" s="8" t="s">
        <v>117</v>
      </c>
      <c r="F31" s="8" t="s">
        <v>486</v>
      </c>
      <c r="G31" s="8" t="s">
        <v>350</v>
      </c>
    </row>
    <row r="32" customFormat="false" ht="15" hidden="false" customHeight="false" outlineLevel="0" collapsed="false">
      <c r="A32" s="8" t="s">
        <v>487</v>
      </c>
      <c r="B32" s="8" t="s">
        <v>488</v>
      </c>
      <c r="C32" s="8" t="s">
        <v>489</v>
      </c>
      <c r="D32" s="8" t="s">
        <v>306</v>
      </c>
      <c r="E32" s="8" t="s">
        <v>117</v>
      </c>
      <c r="F32" s="8" t="s">
        <v>490</v>
      </c>
      <c r="G32" s="8" t="s">
        <v>350</v>
      </c>
    </row>
    <row r="33" customFormat="false" ht="22.35" hidden="false" customHeight="false" outlineLevel="0" collapsed="false">
      <c r="A33" s="8" t="s">
        <v>491</v>
      </c>
      <c r="B33" s="8" t="s">
        <v>492</v>
      </c>
      <c r="C33" s="8" t="s">
        <v>493</v>
      </c>
      <c r="D33" s="8" t="s">
        <v>261</v>
      </c>
      <c r="E33" s="8" t="s">
        <v>494</v>
      </c>
      <c r="F33" s="8" t="s">
        <v>495</v>
      </c>
      <c r="G33" s="8" t="s">
        <v>496</v>
      </c>
    </row>
    <row r="34" customFormat="false" ht="15" hidden="false" customHeight="false" outlineLevel="0" collapsed="false">
      <c r="A34" s="8" t="s">
        <v>497</v>
      </c>
      <c r="B34" s="8" t="s">
        <v>498</v>
      </c>
      <c r="C34" s="8" t="s">
        <v>499</v>
      </c>
      <c r="D34" s="8" t="s">
        <v>298</v>
      </c>
      <c r="E34" s="8" t="s">
        <v>117</v>
      </c>
      <c r="F34" s="8" t="s">
        <v>500</v>
      </c>
      <c r="G34" s="8" t="s">
        <v>350</v>
      </c>
    </row>
    <row r="35" customFormat="false" ht="22.35" hidden="false" customHeight="false" outlineLevel="0" collapsed="false">
      <c r="A35" s="8" t="s">
        <v>501</v>
      </c>
      <c r="B35" s="8" t="s">
        <v>502</v>
      </c>
      <c r="C35" s="8" t="s">
        <v>503</v>
      </c>
      <c r="D35" s="8" t="s">
        <v>243</v>
      </c>
      <c r="E35" s="8" t="s">
        <v>301</v>
      </c>
      <c r="F35" s="8" t="s">
        <v>504</v>
      </c>
      <c r="G35" s="8" t="s">
        <v>505</v>
      </c>
    </row>
    <row r="36" customFormat="false" ht="15" hidden="false" customHeight="false" outlineLevel="0" collapsed="false">
      <c r="A36" s="8" t="s">
        <v>506</v>
      </c>
      <c r="B36" s="8" t="s">
        <v>507</v>
      </c>
      <c r="C36" s="8" t="s">
        <v>508</v>
      </c>
      <c r="D36" s="8" t="s">
        <v>306</v>
      </c>
      <c r="E36" s="8" t="s">
        <v>117</v>
      </c>
      <c r="F36" s="8" t="s">
        <v>509</v>
      </c>
      <c r="G36" s="8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62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4" t="s">
        <v>511</v>
      </c>
    </row>
    <row r="2" customFormat="false" ht="15" hidden="false" customHeight="false" outlineLevel="0" collapsed="false">
      <c r="A2" s="5" t="s">
        <v>9</v>
      </c>
    </row>
    <row r="3" customFormat="false" ht="42" hidden="false" customHeight="true" outlineLevel="0" collapsed="false">
      <c r="A3" s="6" t="s">
        <v>512</v>
      </c>
      <c r="B3" s="6"/>
      <c r="C3" s="6"/>
      <c r="D3" s="6"/>
      <c r="E3" s="6"/>
      <c r="F3" s="6"/>
      <c r="G3" s="6"/>
      <c r="H3" s="6"/>
    </row>
    <row r="4" customFormat="false" ht="22.35" hidden="false" customHeight="false" outlineLevel="0" collapsed="false">
      <c r="A4" s="7" t="s">
        <v>513</v>
      </c>
      <c r="B4" s="7" t="s">
        <v>238</v>
      </c>
      <c r="C4" s="7" t="s">
        <v>514</v>
      </c>
      <c r="D4" s="7" t="s">
        <v>515</v>
      </c>
      <c r="E4" s="7" t="s">
        <v>516</v>
      </c>
      <c r="F4" s="7" t="s">
        <v>517</v>
      </c>
      <c r="G4" s="7" t="s">
        <v>342</v>
      </c>
      <c r="H4" s="7" t="s">
        <v>518</v>
      </c>
    </row>
    <row r="5" customFormat="false" ht="22.35" hidden="false" customHeight="false" outlineLevel="0" collapsed="false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519</v>
      </c>
      <c r="H5" s="8" t="s">
        <v>525</v>
      </c>
    </row>
    <row r="6" customFormat="false" ht="15" hidden="false" customHeight="false" outlineLevel="0" collapsed="false">
      <c r="A6" s="8" t="s">
        <v>526</v>
      </c>
      <c r="B6" s="8" t="s">
        <v>527</v>
      </c>
      <c r="C6" s="8" t="s">
        <v>528</v>
      </c>
      <c r="D6" s="8" t="s">
        <v>529</v>
      </c>
      <c r="E6" s="8" t="s">
        <v>530</v>
      </c>
      <c r="F6" s="8" t="s">
        <v>531</v>
      </c>
      <c r="G6" s="8" t="s">
        <v>526</v>
      </c>
      <c r="H6" s="8" t="s">
        <v>532</v>
      </c>
    </row>
    <row r="7" customFormat="false" ht="15" hidden="false" customHeight="false" outlineLevel="0" collapsed="false">
      <c r="A7" s="8" t="s">
        <v>533</v>
      </c>
      <c r="B7" s="8" t="s">
        <v>534</v>
      </c>
      <c r="C7" s="8" t="s">
        <v>535</v>
      </c>
      <c r="D7" s="8" t="s">
        <v>529</v>
      </c>
      <c r="E7" s="8" t="s">
        <v>536</v>
      </c>
      <c r="F7" s="8" t="s">
        <v>537</v>
      </c>
      <c r="G7" s="8" t="s">
        <v>533</v>
      </c>
      <c r="H7" s="8" t="s">
        <v>532</v>
      </c>
    </row>
    <row r="8" customFormat="false" ht="22.35" hidden="false" customHeight="false" outlineLevel="0" collapsed="false">
      <c r="A8" s="8" t="s">
        <v>538</v>
      </c>
      <c r="B8" s="8" t="s">
        <v>539</v>
      </c>
      <c r="C8" s="8" t="s">
        <v>540</v>
      </c>
      <c r="D8" s="8" t="s">
        <v>541</v>
      </c>
      <c r="E8" s="8" t="s">
        <v>542</v>
      </c>
      <c r="F8" s="8" t="s">
        <v>543</v>
      </c>
      <c r="G8" s="8" t="s">
        <v>538</v>
      </c>
      <c r="H8" s="8" t="s">
        <v>544</v>
      </c>
    </row>
    <row r="9" customFormat="false" ht="15" hidden="false" customHeight="false" outlineLevel="0" collapsed="false">
      <c r="A9" s="8" t="s">
        <v>365</v>
      </c>
      <c r="B9" s="8" t="s">
        <v>545</v>
      </c>
      <c r="C9" s="8" t="s">
        <v>546</v>
      </c>
      <c r="D9" s="8" t="s">
        <v>529</v>
      </c>
      <c r="E9" s="8" t="s">
        <v>117</v>
      </c>
      <c r="F9" s="8" t="s">
        <v>547</v>
      </c>
      <c r="G9" s="8" t="s">
        <v>365</v>
      </c>
      <c r="H9" s="8" t="s">
        <v>532</v>
      </c>
    </row>
    <row r="10" customFormat="false" ht="22.35" hidden="false" customHeight="false" outlineLevel="0" collapsed="false">
      <c r="A10" s="8" t="s">
        <v>548</v>
      </c>
      <c r="B10" s="8" t="s">
        <v>549</v>
      </c>
      <c r="C10" s="8" t="s">
        <v>550</v>
      </c>
      <c r="D10" s="8" t="s">
        <v>529</v>
      </c>
      <c r="E10" s="8" t="s">
        <v>551</v>
      </c>
      <c r="F10" s="8" t="s">
        <v>552</v>
      </c>
      <c r="G10" s="8" t="s">
        <v>548</v>
      </c>
      <c r="H10" s="8" t="s">
        <v>553</v>
      </c>
    </row>
    <row r="11" customFormat="false" ht="15" hidden="false" customHeight="false" outlineLevel="0" collapsed="false">
      <c r="A11" s="8" t="s">
        <v>554</v>
      </c>
      <c r="B11" s="8" t="s">
        <v>555</v>
      </c>
      <c r="C11" s="8" t="s">
        <v>556</v>
      </c>
      <c r="D11" s="8" t="s">
        <v>557</v>
      </c>
      <c r="E11" s="8" t="s">
        <v>117</v>
      </c>
      <c r="F11" s="8" t="s">
        <v>558</v>
      </c>
      <c r="G11" s="8" t="s">
        <v>554</v>
      </c>
      <c r="H11" s="8" t="s">
        <v>532</v>
      </c>
    </row>
    <row r="12" customFormat="false" ht="15" hidden="false" customHeight="false" outlineLevel="0" collapsed="false">
      <c r="A12" s="8" t="s">
        <v>559</v>
      </c>
      <c r="B12" s="8" t="s">
        <v>560</v>
      </c>
      <c r="C12" s="8" t="s">
        <v>561</v>
      </c>
      <c r="D12" s="8" t="s">
        <v>562</v>
      </c>
      <c r="E12" s="8" t="s">
        <v>117</v>
      </c>
      <c r="F12" s="8" t="s">
        <v>563</v>
      </c>
      <c r="G12" s="8" t="s">
        <v>559</v>
      </c>
      <c r="H12" s="8" t="s">
        <v>532</v>
      </c>
    </row>
    <row r="13" customFormat="false" ht="15" hidden="false" customHeight="false" outlineLevel="0" collapsed="false">
      <c r="A13" s="8" t="s">
        <v>564</v>
      </c>
      <c r="B13" s="8" t="s">
        <v>565</v>
      </c>
      <c r="C13" s="8" t="s">
        <v>566</v>
      </c>
      <c r="D13" s="8" t="s">
        <v>567</v>
      </c>
      <c r="E13" s="8" t="s">
        <v>117</v>
      </c>
      <c r="F13" s="8" t="s">
        <v>568</v>
      </c>
      <c r="G13" s="8" t="s">
        <v>564</v>
      </c>
      <c r="H13" s="8" t="s">
        <v>532</v>
      </c>
    </row>
    <row r="14" customFormat="false" ht="15" hidden="false" customHeight="false" outlineLevel="0" collapsed="false">
      <c r="A14" s="8" t="s">
        <v>569</v>
      </c>
      <c r="B14" s="8" t="s">
        <v>570</v>
      </c>
      <c r="C14" s="8" t="s">
        <v>571</v>
      </c>
      <c r="D14" s="8" t="s">
        <v>529</v>
      </c>
      <c r="E14" s="8" t="s">
        <v>117</v>
      </c>
      <c r="F14" s="8" t="s">
        <v>572</v>
      </c>
      <c r="G14" s="8" t="s">
        <v>569</v>
      </c>
      <c r="H14" s="8" t="s">
        <v>532</v>
      </c>
    </row>
    <row r="15" customFormat="false" ht="15" hidden="false" customHeight="false" outlineLevel="0" collapsed="false">
      <c r="A15" s="8" t="s">
        <v>323</v>
      </c>
      <c r="B15" s="8" t="s">
        <v>573</v>
      </c>
      <c r="C15" s="8" t="s">
        <v>574</v>
      </c>
      <c r="D15" s="8" t="s">
        <v>575</v>
      </c>
      <c r="E15" s="8" t="s">
        <v>576</v>
      </c>
      <c r="F15" s="8" t="s">
        <v>577</v>
      </c>
      <c r="G15" s="8" t="s">
        <v>323</v>
      </c>
      <c r="H15" s="8" t="s">
        <v>578</v>
      </c>
    </row>
    <row r="16" customFormat="false" ht="15" hidden="false" customHeight="false" outlineLevel="0" collapsed="false">
      <c r="A16" s="8" t="s">
        <v>318</v>
      </c>
      <c r="B16" s="8" t="s">
        <v>317</v>
      </c>
      <c r="C16" s="8" t="s">
        <v>579</v>
      </c>
      <c r="D16" s="8" t="s">
        <v>529</v>
      </c>
      <c r="E16" s="8" t="s">
        <v>117</v>
      </c>
      <c r="F16" s="8" t="s">
        <v>580</v>
      </c>
      <c r="G16" s="8" t="s">
        <v>318</v>
      </c>
      <c r="H16" s="8" t="s">
        <v>532</v>
      </c>
    </row>
    <row r="17" customFormat="false" ht="15" hidden="false" customHeight="false" outlineLevel="0" collapsed="false">
      <c r="A17" s="8" t="s">
        <v>581</v>
      </c>
      <c r="B17" s="8" t="s">
        <v>582</v>
      </c>
      <c r="C17" s="8" t="s">
        <v>583</v>
      </c>
      <c r="D17" s="8" t="s">
        <v>529</v>
      </c>
      <c r="E17" s="8" t="s">
        <v>117</v>
      </c>
      <c r="F17" s="8" t="s">
        <v>584</v>
      </c>
      <c r="G17" s="8" t="s">
        <v>581</v>
      </c>
      <c r="H17" s="8" t="s">
        <v>532</v>
      </c>
    </row>
    <row r="18" customFormat="false" ht="15" hidden="false" customHeight="false" outlineLevel="0" collapsed="false">
      <c r="A18" s="8" t="s">
        <v>585</v>
      </c>
      <c r="B18" s="8" t="s">
        <v>586</v>
      </c>
      <c r="C18" s="8" t="s">
        <v>587</v>
      </c>
      <c r="D18" s="8" t="s">
        <v>588</v>
      </c>
      <c r="E18" s="8" t="s">
        <v>117</v>
      </c>
      <c r="F18" s="8" t="s">
        <v>589</v>
      </c>
      <c r="G18" s="8" t="s">
        <v>585</v>
      </c>
      <c r="H18" s="8" t="s">
        <v>532</v>
      </c>
    </row>
    <row r="19" customFormat="false" ht="15" hidden="false" customHeight="false" outlineLevel="0" collapsed="false">
      <c r="A19" s="8" t="s">
        <v>590</v>
      </c>
      <c r="B19" s="8" t="s">
        <v>591</v>
      </c>
      <c r="C19" s="8" t="s">
        <v>592</v>
      </c>
      <c r="D19" s="8" t="s">
        <v>529</v>
      </c>
      <c r="E19" s="8" t="s">
        <v>117</v>
      </c>
      <c r="F19" s="8" t="s">
        <v>593</v>
      </c>
      <c r="G19" s="8" t="s">
        <v>590</v>
      </c>
      <c r="H19" s="8" t="s">
        <v>532</v>
      </c>
    </row>
    <row r="20" customFormat="false" ht="15" hidden="false" customHeight="false" outlineLevel="0" collapsed="false">
      <c r="A20" s="8" t="s">
        <v>415</v>
      </c>
      <c r="B20" s="8" t="s">
        <v>594</v>
      </c>
      <c r="C20" s="8" t="s">
        <v>595</v>
      </c>
      <c r="D20" s="8" t="s">
        <v>529</v>
      </c>
      <c r="E20" s="8" t="s">
        <v>117</v>
      </c>
      <c r="F20" s="8" t="s">
        <v>596</v>
      </c>
      <c r="G20" s="8" t="s">
        <v>415</v>
      </c>
      <c r="H20" s="8" t="s">
        <v>532</v>
      </c>
    </row>
    <row r="21" customFormat="false" ht="15" hidden="false" customHeight="false" outlineLevel="0" collapsed="false">
      <c r="A21" s="8" t="s">
        <v>597</v>
      </c>
      <c r="B21" s="8" t="s">
        <v>598</v>
      </c>
      <c r="C21" s="8" t="s">
        <v>599</v>
      </c>
      <c r="D21" s="8" t="s">
        <v>600</v>
      </c>
      <c r="E21" s="8" t="s">
        <v>601</v>
      </c>
      <c r="F21" s="8" t="s">
        <v>602</v>
      </c>
      <c r="G21" s="8" t="s">
        <v>597</v>
      </c>
      <c r="H21" s="8" t="s">
        <v>532</v>
      </c>
    </row>
    <row r="22" customFormat="false" ht="15" hidden="false" customHeight="false" outlineLevel="0" collapsed="false">
      <c r="A22" s="8" t="s">
        <v>603</v>
      </c>
      <c r="B22" s="8" t="s">
        <v>604</v>
      </c>
      <c r="C22" s="8" t="s">
        <v>605</v>
      </c>
      <c r="D22" s="8" t="s">
        <v>606</v>
      </c>
      <c r="E22" s="8" t="s">
        <v>117</v>
      </c>
      <c r="F22" s="8" t="s">
        <v>607</v>
      </c>
      <c r="G22" s="8" t="s">
        <v>603</v>
      </c>
      <c r="H22" s="8" t="s">
        <v>532</v>
      </c>
    </row>
    <row r="23" customFormat="false" ht="15" hidden="false" customHeight="false" outlineLevel="0" collapsed="false">
      <c r="A23" s="8" t="s">
        <v>608</v>
      </c>
      <c r="B23" s="8" t="s">
        <v>609</v>
      </c>
      <c r="C23" s="8" t="s">
        <v>610</v>
      </c>
      <c r="D23" s="8" t="s">
        <v>529</v>
      </c>
      <c r="E23" s="8" t="s">
        <v>117</v>
      </c>
      <c r="F23" s="8" t="s">
        <v>611</v>
      </c>
      <c r="G23" s="8" t="s">
        <v>608</v>
      </c>
      <c r="H23" s="8" t="s">
        <v>532</v>
      </c>
    </row>
    <row r="24" customFormat="false" ht="15" hidden="false" customHeight="false" outlineLevel="0" collapsed="false">
      <c r="A24" s="8" t="s">
        <v>612</v>
      </c>
      <c r="B24" s="8" t="s">
        <v>613</v>
      </c>
      <c r="C24" s="8" t="s">
        <v>614</v>
      </c>
      <c r="D24" s="8" t="s">
        <v>615</v>
      </c>
      <c r="E24" s="8" t="s">
        <v>117</v>
      </c>
      <c r="F24" s="8" t="s">
        <v>616</v>
      </c>
      <c r="G24" s="8" t="s">
        <v>612</v>
      </c>
      <c r="H24" s="8" t="s">
        <v>532</v>
      </c>
    </row>
    <row r="25" customFormat="false" ht="15" hidden="false" customHeight="false" outlineLevel="0" collapsed="false">
      <c r="A25" s="8" t="s">
        <v>403</v>
      </c>
      <c r="B25" s="8" t="s">
        <v>617</v>
      </c>
      <c r="C25" s="8" t="s">
        <v>618</v>
      </c>
      <c r="D25" s="8" t="s">
        <v>619</v>
      </c>
      <c r="E25" s="8" t="s">
        <v>117</v>
      </c>
      <c r="F25" s="8" t="s">
        <v>403</v>
      </c>
      <c r="G25" s="8" t="s">
        <v>403</v>
      </c>
      <c r="H25" s="8" t="s">
        <v>532</v>
      </c>
    </row>
    <row r="26" customFormat="false" ht="15" hidden="false" customHeight="false" outlineLevel="0" collapsed="false">
      <c r="A26" s="8" t="s">
        <v>620</v>
      </c>
      <c r="B26" s="8" t="s">
        <v>621</v>
      </c>
      <c r="C26" s="8" t="s">
        <v>622</v>
      </c>
      <c r="D26" s="8" t="s">
        <v>623</v>
      </c>
      <c r="E26" s="8" t="s">
        <v>624</v>
      </c>
      <c r="F26" s="8" t="s">
        <v>625</v>
      </c>
      <c r="G26" s="8" t="s">
        <v>620</v>
      </c>
      <c r="H26" s="8" t="s">
        <v>578</v>
      </c>
    </row>
    <row r="27" customFormat="false" ht="15" hidden="false" customHeight="false" outlineLevel="0" collapsed="false">
      <c r="A27" s="8" t="s">
        <v>626</v>
      </c>
      <c r="B27" s="8" t="s">
        <v>627</v>
      </c>
      <c r="C27" s="8" t="s">
        <v>628</v>
      </c>
      <c r="D27" s="8" t="s">
        <v>629</v>
      </c>
      <c r="E27" s="8" t="s">
        <v>117</v>
      </c>
      <c r="F27" s="8" t="s">
        <v>630</v>
      </c>
      <c r="G27" s="8" t="s">
        <v>626</v>
      </c>
      <c r="H27" s="8" t="s">
        <v>532</v>
      </c>
    </row>
    <row r="28" customFormat="false" ht="15" hidden="false" customHeight="false" outlineLevel="0" collapsed="false">
      <c r="A28" s="8" t="s">
        <v>631</v>
      </c>
      <c r="B28" s="8" t="s">
        <v>632</v>
      </c>
      <c r="C28" s="8" t="s">
        <v>633</v>
      </c>
      <c r="D28" s="8" t="s">
        <v>529</v>
      </c>
      <c r="E28" s="8" t="s">
        <v>117</v>
      </c>
      <c r="F28" s="8" t="s">
        <v>634</v>
      </c>
      <c r="G28" s="8" t="s">
        <v>631</v>
      </c>
      <c r="H28" s="8" t="s">
        <v>532</v>
      </c>
    </row>
    <row r="29" customFormat="false" ht="22.35" hidden="false" customHeight="false" outlineLevel="0" collapsed="false">
      <c r="A29" s="8" t="s">
        <v>635</v>
      </c>
      <c r="B29" s="8" t="s">
        <v>636</v>
      </c>
      <c r="C29" s="8" t="s">
        <v>637</v>
      </c>
      <c r="D29" s="8" t="s">
        <v>562</v>
      </c>
      <c r="E29" s="8" t="s">
        <v>638</v>
      </c>
      <c r="F29" s="8" t="s">
        <v>639</v>
      </c>
      <c r="G29" s="8" t="s">
        <v>635</v>
      </c>
      <c r="H29" s="8" t="s">
        <v>553</v>
      </c>
    </row>
    <row r="30" customFormat="false" ht="15" hidden="false" customHeight="false" outlineLevel="0" collapsed="false">
      <c r="A30" s="8" t="s">
        <v>640</v>
      </c>
      <c r="B30" s="8" t="s">
        <v>641</v>
      </c>
      <c r="C30" s="8" t="s">
        <v>642</v>
      </c>
      <c r="D30" s="8" t="s">
        <v>529</v>
      </c>
      <c r="E30" s="8" t="s">
        <v>117</v>
      </c>
      <c r="F30" s="8" t="s">
        <v>643</v>
      </c>
      <c r="G30" s="8" t="s">
        <v>640</v>
      </c>
      <c r="H30" s="8" t="s">
        <v>532</v>
      </c>
    </row>
    <row r="31" customFormat="false" ht="22.35" hidden="false" customHeight="false" outlineLevel="0" collapsed="false">
      <c r="A31" s="8" t="s">
        <v>630</v>
      </c>
      <c r="B31" s="8" t="s">
        <v>644</v>
      </c>
      <c r="C31" s="8" t="s">
        <v>645</v>
      </c>
      <c r="D31" s="8" t="s">
        <v>646</v>
      </c>
      <c r="E31" s="8" t="s">
        <v>647</v>
      </c>
      <c r="F31" s="8" t="s">
        <v>648</v>
      </c>
      <c r="G31" s="8" t="s">
        <v>630</v>
      </c>
      <c r="H31" s="8" t="s">
        <v>578</v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4" t="s">
        <v>649</v>
      </c>
    </row>
    <row r="2" customFormat="false" ht="15" hidden="false" customHeight="false" outlineLevel="0" collapsed="false">
      <c r="A2" s="5" t="s">
        <v>9</v>
      </c>
    </row>
    <row r="3" customFormat="false" ht="42" hidden="false" customHeight="true" outlineLevel="0" collapsed="false">
      <c r="A3" s="6" t="s">
        <v>650</v>
      </c>
      <c r="B3" s="6"/>
      <c r="C3" s="6"/>
      <c r="D3" s="6"/>
      <c r="E3" s="6"/>
    </row>
    <row r="4" customFormat="false" ht="15" hidden="false" customHeight="false" outlineLevel="0" collapsed="false">
      <c r="A4" s="7" t="s">
        <v>651</v>
      </c>
      <c r="B4" s="7" t="s">
        <v>652</v>
      </c>
      <c r="C4" s="7" t="s">
        <v>653</v>
      </c>
      <c r="D4" s="7" t="s">
        <v>654</v>
      </c>
      <c r="E4" s="7" t="s">
        <v>655</v>
      </c>
    </row>
    <row r="5" customFormat="false" ht="15" hidden="false" customHeight="false" outlineLevel="0" collapsed="false">
      <c r="A5" s="9" t="s">
        <v>656</v>
      </c>
    </row>
    <row r="6" customFormat="false" ht="15" hidden="false" customHeight="false" outlineLevel="0" collapsed="false">
      <c r="A6" s="10" t="s">
        <v>657</v>
      </c>
      <c r="B6" s="10" t="n">
        <v>5</v>
      </c>
      <c r="C6" s="11" t="n">
        <v>2229320</v>
      </c>
      <c r="D6" s="11" t="n">
        <v>1973401</v>
      </c>
      <c r="E6" s="10" t="s">
        <v>658</v>
      </c>
    </row>
    <row r="7" customFormat="false" ht="15" hidden="false" customHeight="false" outlineLevel="0" collapsed="false">
      <c r="A7" s="10" t="s">
        <v>659</v>
      </c>
      <c r="B7" s="10" t="n">
        <v>6</v>
      </c>
      <c r="C7" s="11" t="n">
        <v>675762</v>
      </c>
      <c r="D7" s="11" t="n">
        <v>1573654</v>
      </c>
      <c r="E7" s="10" t="s">
        <v>658</v>
      </c>
    </row>
    <row r="8" customFormat="false" ht="15" hidden="false" customHeight="false" outlineLevel="0" collapsed="false">
      <c r="A8" s="10" t="s">
        <v>660</v>
      </c>
      <c r="B8" s="10" t="n">
        <v>7</v>
      </c>
      <c r="C8" s="11" t="n">
        <v>6244460</v>
      </c>
      <c r="D8" s="11" t="n">
        <v>5883894</v>
      </c>
      <c r="E8" s="10" t="s">
        <v>658</v>
      </c>
    </row>
    <row r="9" customFormat="false" ht="15" hidden="false" customHeight="false" outlineLevel="0" collapsed="false">
      <c r="A9" s="10" t="s">
        <v>661</v>
      </c>
      <c r="B9" s="10"/>
      <c r="C9" s="11" t="n">
        <v>236566</v>
      </c>
      <c r="D9" s="11" t="n">
        <v>221573</v>
      </c>
      <c r="E9" s="10" t="s">
        <v>658</v>
      </c>
    </row>
    <row r="10" customFormat="false" ht="15" hidden="false" customHeight="false" outlineLevel="0" collapsed="false">
      <c r="A10" s="10" t="s">
        <v>662</v>
      </c>
      <c r="B10" s="10"/>
      <c r="C10" s="11" t="n">
        <v>14712</v>
      </c>
      <c r="D10" s="11" t="n">
        <v>19115</v>
      </c>
      <c r="E10" s="10" t="s">
        <v>658</v>
      </c>
    </row>
    <row r="11" customFormat="false" ht="15" hidden="false" customHeight="false" outlineLevel="0" collapsed="false">
      <c r="A11" s="10" t="s">
        <v>663</v>
      </c>
      <c r="B11" s="10" t="n">
        <v>8</v>
      </c>
      <c r="C11" s="11" t="n">
        <v>528584</v>
      </c>
      <c r="D11" s="11" t="n">
        <v>715764</v>
      </c>
      <c r="E11" s="10" t="s">
        <v>658</v>
      </c>
    </row>
    <row r="12" customFormat="false" ht="15" hidden="false" customHeight="false" outlineLevel="0" collapsed="false">
      <c r="A12" s="10" t="s">
        <v>664</v>
      </c>
      <c r="B12" s="10" t="n">
        <v>8</v>
      </c>
      <c r="C12" s="11" t="n">
        <v>693224</v>
      </c>
      <c r="D12" s="11" t="n">
        <v>653181</v>
      </c>
      <c r="E12" s="10" t="s">
        <v>658</v>
      </c>
    </row>
    <row r="13" customFormat="false" ht="15" hidden="false" customHeight="false" outlineLevel="0" collapsed="false">
      <c r="A13" s="10" t="s">
        <v>665</v>
      </c>
      <c r="B13" s="10" t="n">
        <v>8</v>
      </c>
      <c r="C13" s="11" t="n">
        <v>1844885</v>
      </c>
      <c r="D13" s="11" t="n">
        <v>1919127</v>
      </c>
      <c r="E13" s="10" t="s">
        <v>658</v>
      </c>
    </row>
    <row r="14" customFormat="false" ht="15" hidden="false" customHeight="false" outlineLevel="0" collapsed="false">
      <c r="A14" s="10" t="s">
        <v>666</v>
      </c>
      <c r="B14" s="10" t="n">
        <v>34</v>
      </c>
      <c r="C14" s="11" t="n">
        <v>4513</v>
      </c>
      <c r="D14" s="11" t="n">
        <v>915621</v>
      </c>
      <c r="E14" s="10" t="s">
        <v>658</v>
      </c>
    </row>
    <row r="15" customFormat="false" ht="15" hidden="false" customHeight="false" outlineLevel="0" collapsed="false">
      <c r="A15" s="10" t="s">
        <v>667</v>
      </c>
      <c r="B15" s="10" t="n">
        <v>9</v>
      </c>
      <c r="C15" s="11" t="n">
        <v>1442244</v>
      </c>
      <c r="D15" s="11" t="n">
        <v>393443</v>
      </c>
      <c r="E15" s="10" t="s">
        <v>658</v>
      </c>
    </row>
    <row r="16" customFormat="false" ht="15" hidden="false" customHeight="false" outlineLevel="0" collapsed="false">
      <c r="A16" s="10" t="s">
        <v>668</v>
      </c>
      <c r="B16" s="10" t="n">
        <v>15</v>
      </c>
      <c r="C16" s="11" t="n">
        <v>872283</v>
      </c>
      <c r="D16" s="11" t="n">
        <v>774368</v>
      </c>
      <c r="E16" s="10" t="s">
        <v>658</v>
      </c>
    </row>
    <row r="17" customFormat="false" ht="15" hidden="false" customHeight="false" outlineLevel="0" collapsed="false">
      <c r="A17" s="10" t="s">
        <v>669</v>
      </c>
      <c r="B17" s="10" t="n">
        <v>12</v>
      </c>
      <c r="C17" s="11" t="n">
        <v>1829761</v>
      </c>
      <c r="D17" s="11" t="n">
        <v>1508406</v>
      </c>
      <c r="E17" s="10" t="s">
        <v>658</v>
      </c>
    </row>
    <row r="18" customFormat="false" ht="15" hidden="false" customHeight="false" outlineLevel="0" collapsed="false">
      <c r="A18" s="12" t="s">
        <v>670</v>
      </c>
      <c r="B18" s="12"/>
      <c r="C18" s="13" t="n">
        <f aca="false">SUM(C6:C17)</f>
        <v>16616314</v>
      </c>
      <c r="D18" s="13" t="n">
        <f aca="false">SUM(D6:D17)</f>
        <v>16551547</v>
      </c>
      <c r="E18" s="12" t="s">
        <v>671</v>
      </c>
    </row>
    <row r="19" customFormat="false" ht="15" hidden="false" customHeight="false" outlineLevel="0" collapsed="false">
      <c r="A19" s="12" t="s">
        <v>672</v>
      </c>
      <c r="B19" s="12"/>
      <c r="C19" s="14" t="n">
        <v>16616314</v>
      </c>
      <c r="D19" s="14" t="n">
        <v>16551546</v>
      </c>
      <c r="E19" s="12" t="s">
        <v>658</v>
      </c>
    </row>
    <row r="20" customFormat="false" ht="15" hidden="false" customHeight="false" outlineLevel="0" collapsed="false">
      <c r="A20" s="10" t="s">
        <v>673</v>
      </c>
      <c r="B20" s="10"/>
      <c r="C20" s="15" t="n">
        <f aca="false">C18-C19</f>
        <v>0</v>
      </c>
      <c r="D20" s="15" t="n">
        <f aca="false">D18-D19</f>
        <v>1</v>
      </c>
      <c r="E20" s="10" t="s">
        <v>674</v>
      </c>
    </row>
    <row r="22" customFormat="false" ht="15" hidden="false" customHeight="false" outlineLevel="0" collapsed="false">
      <c r="A22" s="9" t="s">
        <v>675</v>
      </c>
    </row>
    <row r="23" customFormat="false" ht="15" hidden="false" customHeight="false" outlineLevel="0" collapsed="false">
      <c r="A23" s="10" t="s">
        <v>660</v>
      </c>
      <c r="B23" s="10" t="n">
        <v>7</v>
      </c>
      <c r="C23" s="11" t="n">
        <v>133102</v>
      </c>
      <c r="D23" s="11" t="n">
        <v>186371</v>
      </c>
      <c r="E23" s="10" t="s">
        <v>658</v>
      </c>
    </row>
    <row r="24" customFormat="false" ht="15" hidden="false" customHeight="false" outlineLevel="0" collapsed="false">
      <c r="A24" s="10" t="s">
        <v>676</v>
      </c>
      <c r="B24" s="10" t="n">
        <v>22</v>
      </c>
      <c r="C24" s="11" t="n">
        <v>805776</v>
      </c>
      <c r="D24" s="11" t="n">
        <v>749936</v>
      </c>
      <c r="E24" s="10" t="s">
        <v>658</v>
      </c>
    </row>
    <row r="25" customFormat="false" ht="15" hidden="false" customHeight="false" outlineLevel="0" collapsed="false">
      <c r="A25" s="10" t="s">
        <v>663</v>
      </c>
      <c r="B25" s="10" t="n">
        <v>8</v>
      </c>
      <c r="C25" s="11" t="n">
        <v>447583</v>
      </c>
      <c r="D25" s="11" t="n">
        <v>503271</v>
      </c>
      <c r="E25" s="10" t="s">
        <v>658</v>
      </c>
    </row>
    <row r="26" customFormat="false" ht="15" hidden="false" customHeight="false" outlineLevel="0" collapsed="false">
      <c r="A26" s="10" t="s">
        <v>664</v>
      </c>
      <c r="B26" s="10" t="n">
        <v>8</v>
      </c>
      <c r="C26" s="11" t="n">
        <v>440936</v>
      </c>
      <c r="D26" s="11" t="n">
        <v>479460</v>
      </c>
      <c r="E26" s="10" t="s">
        <v>658</v>
      </c>
    </row>
    <row r="27" customFormat="false" ht="15" hidden="false" customHeight="false" outlineLevel="0" collapsed="false">
      <c r="A27" s="10" t="s">
        <v>665</v>
      </c>
      <c r="B27" s="10" t="n">
        <v>8</v>
      </c>
      <c r="C27" s="11" t="n">
        <v>2251657</v>
      </c>
      <c r="D27" s="11" t="n">
        <v>3652513</v>
      </c>
      <c r="E27" s="10" t="s">
        <v>658</v>
      </c>
    </row>
    <row r="28" customFormat="false" ht="15" hidden="false" customHeight="false" outlineLevel="0" collapsed="false">
      <c r="A28" s="10" t="s">
        <v>667</v>
      </c>
      <c r="B28" s="10" t="n">
        <v>9</v>
      </c>
      <c r="C28" s="11" t="n">
        <v>960063</v>
      </c>
      <c r="D28" s="11" t="n">
        <v>337522</v>
      </c>
      <c r="E28" s="10" t="s">
        <v>658</v>
      </c>
    </row>
    <row r="29" customFormat="false" ht="15" hidden="false" customHeight="false" outlineLevel="0" collapsed="false">
      <c r="A29" s="10" t="s">
        <v>666</v>
      </c>
      <c r="B29" s="10" t="n">
        <v>34</v>
      </c>
      <c r="C29" s="11" t="n">
        <v>591350</v>
      </c>
      <c r="D29" s="11" t="n">
        <v>193542</v>
      </c>
      <c r="E29" s="10" t="s">
        <v>658</v>
      </c>
    </row>
    <row r="30" customFormat="false" ht="15" hidden="false" customHeight="false" outlineLevel="0" collapsed="false">
      <c r="A30" s="10" t="s">
        <v>677</v>
      </c>
      <c r="B30" s="10" t="n">
        <v>10</v>
      </c>
      <c r="C30" s="11" t="n">
        <v>202046</v>
      </c>
      <c r="D30" s="11" t="n">
        <v>266798</v>
      </c>
      <c r="E30" s="10" t="s">
        <v>658</v>
      </c>
    </row>
    <row r="31" customFormat="false" ht="15" hidden="false" customHeight="false" outlineLevel="0" collapsed="false">
      <c r="A31" s="10" t="s">
        <v>678</v>
      </c>
      <c r="B31" s="10" t="n">
        <v>11</v>
      </c>
      <c r="C31" s="11" t="n">
        <v>29623619</v>
      </c>
      <c r="D31" s="11" t="n">
        <v>25209768</v>
      </c>
      <c r="E31" s="10" t="s">
        <v>658</v>
      </c>
    </row>
    <row r="32" customFormat="false" ht="15" hidden="false" customHeight="false" outlineLevel="0" collapsed="false">
      <c r="A32" s="10" t="s">
        <v>679</v>
      </c>
      <c r="B32" s="10"/>
      <c r="C32" s="11" t="n">
        <v>129659</v>
      </c>
      <c r="D32" s="11" t="n">
        <v>144961</v>
      </c>
      <c r="E32" s="10" t="s">
        <v>658</v>
      </c>
    </row>
    <row r="33" customFormat="false" ht="15" hidden="false" customHeight="false" outlineLevel="0" collapsed="false">
      <c r="A33" s="10" t="s">
        <v>669</v>
      </c>
      <c r="B33" s="10" t="n">
        <v>12</v>
      </c>
      <c r="C33" s="11" t="n">
        <v>261064</v>
      </c>
      <c r="D33" s="11" t="n">
        <v>331087</v>
      </c>
      <c r="E33" s="10" t="s">
        <v>658</v>
      </c>
    </row>
    <row r="34" customFormat="false" ht="15" hidden="false" customHeight="false" outlineLevel="0" collapsed="false">
      <c r="A34" s="10" t="s">
        <v>680</v>
      </c>
      <c r="B34" s="10" t="n">
        <v>13</v>
      </c>
      <c r="C34" s="11" t="n">
        <v>380803</v>
      </c>
      <c r="D34" s="11" t="n">
        <v>581364</v>
      </c>
      <c r="E34" s="10" t="s">
        <v>658</v>
      </c>
    </row>
    <row r="35" customFormat="false" ht="15" hidden="false" customHeight="false" outlineLevel="0" collapsed="false">
      <c r="A35" s="10" t="s">
        <v>681</v>
      </c>
      <c r="B35" s="10" t="n">
        <v>14</v>
      </c>
      <c r="C35" s="11" t="n">
        <v>9375879</v>
      </c>
      <c r="D35" s="11" t="n">
        <v>9752282</v>
      </c>
      <c r="E35" s="10" t="s">
        <v>658</v>
      </c>
    </row>
    <row r="36" customFormat="false" ht="15" hidden="false" customHeight="false" outlineLevel="0" collapsed="false">
      <c r="A36" s="10" t="s">
        <v>682</v>
      </c>
      <c r="B36" s="10" t="n">
        <v>16</v>
      </c>
      <c r="C36" s="11" t="n">
        <v>6892839</v>
      </c>
      <c r="D36" s="11" t="n">
        <v>7824433</v>
      </c>
      <c r="E36" s="10" t="s">
        <v>658</v>
      </c>
    </row>
    <row r="37" customFormat="false" ht="15" hidden="false" customHeight="false" outlineLevel="0" collapsed="false">
      <c r="A37" s="10" t="s">
        <v>668</v>
      </c>
      <c r="B37" s="10" t="n">
        <v>15</v>
      </c>
      <c r="C37" s="11" t="n">
        <v>11987240</v>
      </c>
      <c r="D37" s="11" t="n">
        <v>10364338</v>
      </c>
      <c r="E37" s="10" t="s">
        <v>658</v>
      </c>
    </row>
    <row r="38" customFormat="false" ht="15" hidden="false" customHeight="false" outlineLevel="0" collapsed="false">
      <c r="A38" s="12" t="s">
        <v>683</v>
      </c>
      <c r="B38" s="12"/>
      <c r="C38" s="13" t="n">
        <f aca="false">SUM(C23:C37)</f>
        <v>64483616</v>
      </c>
      <c r="D38" s="13" t="n">
        <f aca="false">SUM(D23:D37)</f>
        <v>60577646</v>
      </c>
      <c r="E38" s="12" t="s">
        <v>671</v>
      </c>
    </row>
    <row r="39" customFormat="false" ht="15" hidden="false" customHeight="false" outlineLevel="0" collapsed="false">
      <c r="A39" s="12" t="s">
        <v>684</v>
      </c>
      <c r="B39" s="12"/>
      <c r="C39" s="14" t="n">
        <v>64483616</v>
      </c>
      <c r="D39" s="14" t="n">
        <v>60577648</v>
      </c>
      <c r="E39" s="12" t="s">
        <v>658</v>
      </c>
    </row>
    <row r="40" customFormat="false" ht="15" hidden="false" customHeight="false" outlineLevel="0" collapsed="false">
      <c r="A40" s="10" t="s">
        <v>673</v>
      </c>
      <c r="B40" s="10"/>
      <c r="C40" s="15" t="n">
        <f aca="false">C38-C39</f>
        <v>0</v>
      </c>
      <c r="D40" s="15" t="n">
        <f aca="false">D38-D39</f>
        <v>-2</v>
      </c>
      <c r="E40" s="10" t="s">
        <v>685</v>
      </c>
    </row>
    <row r="42" customFormat="false" ht="15" hidden="false" customHeight="false" outlineLevel="0" collapsed="false">
      <c r="A42" s="12" t="s">
        <v>686</v>
      </c>
      <c r="B42" s="12"/>
      <c r="C42" s="13" t="n">
        <f aca="false">C18+C38</f>
        <v>81099930</v>
      </c>
      <c r="D42" s="13" t="n">
        <f aca="false">D18+D38</f>
        <v>77129193</v>
      </c>
      <c r="E42" s="12" t="s">
        <v>671</v>
      </c>
    </row>
    <row r="43" customFormat="false" ht="15" hidden="false" customHeight="false" outlineLevel="0" collapsed="false">
      <c r="A43" s="12" t="s">
        <v>687</v>
      </c>
      <c r="B43" s="12"/>
      <c r="C43" s="14" t="n">
        <v>81099930</v>
      </c>
      <c r="D43" s="14" t="n">
        <v>77129194</v>
      </c>
      <c r="E43" s="12" t="s">
        <v>658</v>
      </c>
    </row>
    <row r="44" customFormat="false" ht="15" hidden="false" customHeight="false" outlineLevel="0" collapsed="false">
      <c r="A44" s="10" t="s">
        <v>673</v>
      </c>
      <c r="B44" s="10"/>
      <c r="C44" s="15" t="n">
        <f aca="false">C42-C43</f>
        <v>0</v>
      </c>
      <c r="D44" s="15" t="n">
        <f aca="false">D42-D43</f>
        <v>-1</v>
      </c>
      <c r="E44" s="10"/>
    </row>
    <row r="45" customFormat="false" ht="15" hidden="false" customHeight="false" outlineLevel="0" collapsed="false">
      <c r="A45" s="10" t="s">
        <v>688</v>
      </c>
      <c r="B45" s="10"/>
      <c r="C45" s="15" t="n">
        <v>81099930</v>
      </c>
      <c r="D45" s="15"/>
      <c r="E45" s="10" t="s">
        <v>689</v>
      </c>
    </row>
    <row r="46" customFormat="false" ht="15" hidden="false" customHeight="false" outlineLevel="0" collapsed="false">
      <c r="A46" s="10" t="s">
        <v>690</v>
      </c>
      <c r="B46" s="10"/>
      <c r="C46" s="15" t="n">
        <f aca="false">C43-C45</f>
        <v>0</v>
      </c>
      <c r="D46" s="15"/>
      <c r="E46" s="10" t="s">
        <v>691</v>
      </c>
    </row>
    <row r="48" customFormat="false" ht="15" hidden="false" customHeight="false" outlineLevel="0" collapsed="false">
      <c r="A48" s="10" t="s">
        <v>692</v>
      </c>
      <c r="B48" s="10"/>
      <c r="C48" s="16" t="n">
        <f aca="false">C31/C43</f>
        <v>0.365273052640119</v>
      </c>
      <c r="D48" s="15"/>
      <c r="E48" s="10" t="s">
        <v>693</v>
      </c>
    </row>
    <row r="49" customFormat="false" ht="15" hidden="false" customHeight="false" outlineLevel="0" collapsed="false">
      <c r="A49" s="10" t="s">
        <v>694</v>
      </c>
      <c r="B49" s="10"/>
      <c r="C49" s="16" t="n">
        <f aca="false">C31/C39</f>
        <v>0.459397608843772</v>
      </c>
      <c r="D49" s="15"/>
      <c r="E49" s="10"/>
    </row>
    <row r="51" customFormat="false" ht="27.75" hidden="false" customHeight="true" outlineLevel="0" collapsed="false">
      <c r="A51" s="17" t="s">
        <v>695</v>
      </c>
      <c r="B51" s="17"/>
      <c r="C51" s="17"/>
      <c r="D51" s="17"/>
      <c r="E51" s="17"/>
    </row>
    <row r="52" customFormat="false" ht="27.75" hidden="false" customHeight="true" outlineLevel="0" collapsed="false">
      <c r="A52" s="17" t="s">
        <v>696</v>
      </c>
      <c r="B52" s="17"/>
      <c r="C52" s="17"/>
      <c r="D52" s="17"/>
      <c r="E52" s="17"/>
    </row>
    <row r="53" customFormat="false" ht="27.75" hidden="false" customHeight="true" outlineLevel="0" collapsed="false">
      <c r="A53" s="17" t="s">
        <v>697</v>
      </c>
      <c r="B53" s="17"/>
      <c r="C53" s="17"/>
      <c r="D53" s="17"/>
      <c r="E53" s="17"/>
    </row>
  </sheetData>
  <mergeCells count="4">
    <mergeCell ref="A3:E3"/>
    <mergeCell ref="A51:E51"/>
    <mergeCell ref="A52:E52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70"/>
  </cols>
  <sheetData>
    <row r="1" customFormat="false" ht="15" hidden="false" customHeight="false" outlineLevel="0" collapsed="false">
      <c r="A1" s="4" t="s">
        <v>698</v>
      </c>
    </row>
    <row r="2" customFormat="false" ht="15" hidden="false" customHeight="false" outlineLevel="0" collapsed="false">
      <c r="A2" s="5" t="s">
        <v>9</v>
      </c>
    </row>
    <row r="3" customFormat="false" ht="15" hidden="false" customHeight="false" outlineLevel="0" collapsed="false">
      <c r="A3" s="7" t="s">
        <v>699</v>
      </c>
      <c r="B3" s="7" t="s">
        <v>700</v>
      </c>
      <c r="C3" s="7" t="s">
        <v>701</v>
      </c>
    </row>
    <row r="4" customFormat="false" ht="22.35" hidden="false" customHeight="false" outlineLevel="0" collapsed="false">
      <c r="A4" s="8" t="s">
        <v>702</v>
      </c>
      <c r="B4" s="8" t="s">
        <v>703</v>
      </c>
      <c r="C4" s="8" t="s">
        <v>704</v>
      </c>
    </row>
    <row r="5" customFormat="false" ht="15" hidden="false" customHeight="false" outlineLevel="0" collapsed="false">
      <c r="A5" s="8" t="s">
        <v>705</v>
      </c>
      <c r="B5" s="8" t="s">
        <v>706</v>
      </c>
      <c r="C5" s="8" t="s">
        <v>707</v>
      </c>
    </row>
    <row r="6" customFormat="false" ht="15" hidden="false" customHeight="false" outlineLevel="0" collapsed="false">
      <c r="A6" s="8" t="s">
        <v>708</v>
      </c>
      <c r="B6" s="8" t="s">
        <v>709</v>
      </c>
      <c r="C6" s="8" t="s">
        <v>710</v>
      </c>
    </row>
    <row r="7" customFormat="false" ht="22.35" hidden="false" customHeight="false" outlineLevel="0" collapsed="false">
      <c r="A7" s="8" t="s">
        <v>711</v>
      </c>
      <c r="B7" s="8" t="s">
        <v>712</v>
      </c>
      <c r="C7" s="8" t="s">
        <v>713</v>
      </c>
    </row>
    <row r="8" customFormat="false" ht="15" hidden="false" customHeight="false" outlineLevel="0" collapsed="false">
      <c r="A8" s="8" t="s">
        <v>714</v>
      </c>
      <c r="B8" s="8" t="s">
        <v>715</v>
      </c>
      <c r="C8" s="8" t="s">
        <v>716</v>
      </c>
    </row>
    <row r="9" customFormat="false" ht="15" hidden="false" customHeight="false" outlineLevel="0" collapsed="false">
      <c r="A9" s="8" t="s">
        <v>717</v>
      </c>
      <c r="B9" s="8" t="s">
        <v>718</v>
      </c>
      <c r="C9" s="8" t="s">
        <v>719</v>
      </c>
    </row>
    <row r="10" customFormat="false" ht="15" hidden="false" customHeight="false" outlineLevel="0" collapsed="false">
      <c r="A10" s="8" t="s">
        <v>720</v>
      </c>
      <c r="B10" s="8" t="s">
        <v>721</v>
      </c>
      <c r="C10" s="8" t="s">
        <v>722</v>
      </c>
    </row>
    <row r="11" customFormat="false" ht="15" hidden="false" customHeight="false" outlineLevel="0" collapsed="false">
      <c r="A11" s="8" t="s">
        <v>723</v>
      </c>
      <c r="B11" s="8" t="s">
        <v>724</v>
      </c>
      <c r="C11" s="8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0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4" t="s">
        <v>726</v>
      </c>
    </row>
    <row r="2" customFormat="false" ht="15" hidden="false" customHeight="false" outlineLevel="0" collapsed="false">
      <c r="A2" s="5" t="s">
        <v>9</v>
      </c>
    </row>
    <row r="3" customFormat="false" ht="15" hidden="false" customHeight="false" outlineLevel="0" collapsed="false">
      <c r="A3" s="7" t="s">
        <v>96</v>
      </c>
      <c r="B3" s="7" t="s">
        <v>727</v>
      </c>
      <c r="C3" s="7" t="s">
        <v>728</v>
      </c>
      <c r="D3" s="7" t="s">
        <v>175</v>
      </c>
      <c r="E3" s="7" t="s">
        <v>729</v>
      </c>
    </row>
    <row r="4" customFormat="false" ht="15" hidden="false" customHeight="false" outlineLevel="0" collapsed="false">
      <c r="A4" s="8" t="s">
        <v>730</v>
      </c>
      <c r="B4" s="8" t="s">
        <v>731</v>
      </c>
      <c r="C4" s="8" t="s">
        <v>732</v>
      </c>
      <c r="D4" s="8" t="s">
        <v>733</v>
      </c>
      <c r="E4" s="8" t="s">
        <v>734</v>
      </c>
    </row>
    <row r="5" customFormat="false" ht="15" hidden="false" customHeight="false" outlineLevel="0" collapsed="false">
      <c r="A5" s="8" t="s">
        <v>735</v>
      </c>
      <c r="B5" s="8" t="s">
        <v>736</v>
      </c>
      <c r="C5" s="8" t="s">
        <v>737</v>
      </c>
      <c r="D5" s="8" t="s">
        <v>738</v>
      </c>
      <c r="E5" s="8" t="s">
        <v>739</v>
      </c>
    </row>
    <row r="6" customFormat="false" ht="22.35" hidden="false" customHeight="false" outlineLevel="0" collapsed="false">
      <c r="A6" s="8" t="s">
        <v>740</v>
      </c>
      <c r="B6" s="8" t="s">
        <v>741</v>
      </c>
      <c r="C6" s="8" t="s">
        <v>742</v>
      </c>
      <c r="D6" s="8" t="s">
        <v>738</v>
      </c>
      <c r="E6" s="8" t="s">
        <v>739</v>
      </c>
    </row>
    <row r="7" customFormat="false" ht="15" hidden="false" customHeight="false" outlineLevel="0" collapsed="false">
      <c r="A7" s="8" t="s">
        <v>743</v>
      </c>
      <c r="B7" s="8" t="s">
        <v>744</v>
      </c>
      <c r="C7" s="8" t="s">
        <v>745</v>
      </c>
      <c r="D7" s="8" t="s">
        <v>746</v>
      </c>
      <c r="E7" s="8" t="s">
        <v>747</v>
      </c>
    </row>
    <row r="8" customFormat="false" ht="15" hidden="false" customHeight="false" outlineLevel="0" collapsed="false">
      <c r="A8" s="8" t="s">
        <v>748</v>
      </c>
      <c r="B8" s="8" t="s">
        <v>749</v>
      </c>
      <c r="C8" s="8" t="s">
        <v>750</v>
      </c>
      <c r="D8" s="8" t="s">
        <v>733</v>
      </c>
      <c r="E8" s="8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55"/>
    <col collapsed="false" customWidth="true" hidden="false" outlineLevel="0" max="6" min="6" style="0" width="8"/>
  </cols>
  <sheetData>
    <row r="1" customFormat="false" ht="15" hidden="false" customHeight="false" outlineLevel="0" collapsed="false">
      <c r="A1" s="4" t="s">
        <v>752</v>
      </c>
    </row>
    <row r="2" customFormat="false" ht="15" hidden="false" customHeight="false" outlineLevel="0" collapsed="false">
      <c r="A2" s="5" t="s">
        <v>9</v>
      </c>
    </row>
    <row r="3" customFormat="false" ht="15" hidden="false" customHeight="false" outlineLevel="0" collapsed="false">
      <c r="A3" s="7" t="s">
        <v>96</v>
      </c>
      <c r="B3" s="7" t="s">
        <v>753</v>
      </c>
      <c r="C3" s="7" t="s">
        <v>754</v>
      </c>
      <c r="D3" s="7" t="s">
        <v>755</v>
      </c>
      <c r="E3" s="7" t="s">
        <v>756</v>
      </c>
      <c r="F3" s="7" t="s">
        <v>341</v>
      </c>
    </row>
    <row r="4" customFormat="false" ht="32.8" hidden="false" customHeight="false" outlineLevel="0" collapsed="false">
      <c r="A4" s="8" t="s">
        <v>757</v>
      </c>
      <c r="B4" s="8" t="s">
        <v>758</v>
      </c>
      <c r="C4" s="8" t="s">
        <v>759</v>
      </c>
      <c r="D4" s="8" t="s">
        <v>760</v>
      </c>
      <c r="E4" s="8" t="s">
        <v>761</v>
      </c>
      <c r="F4" s="8" t="s">
        <v>249</v>
      </c>
    </row>
    <row r="5" customFormat="false" ht="15" hidden="false" customHeight="false" outlineLevel="0" collapsed="false">
      <c r="A5" s="8" t="s">
        <v>762</v>
      </c>
      <c r="B5" s="8" t="s">
        <v>758</v>
      </c>
      <c r="C5" s="8" t="s">
        <v>763</v>
      </c>
      <c r="D5" s="8" t="s">
        <v>117</v>
      </c>
      <c r="E5" s="8" t="s">
        <v>764</v>
      </c>
      <c r="F5" s="8" t="s">
        <v>765</v>
      </c>
    </row>
    <row r="6" customFormat="false" ht="15" hidden="false" customHeight="false" outlineLevel="0" collapsed="false">
      <c r="A6" s="8" t="s">
        <v>766</v>
      </c>
      <c r="B6" s="8" t="s">
        <v>767</v>
      </c>
      <c r="C6" s="8" t="s">
        <v>768</v>
      </c>
      <c r="D6" s="8" t="s">
        <v>769</v>
      </c>
      <c r="E6" s="8" t="s">
        <v>117</v>
      </c>
      <c r="F6" s="8" t="s">
        <v>770</v>
      </c>
    </row>
    <row r="7" customFormat="false" ht="15" hidden="false" customHeight="false" outlineLevel="0" collapsed="false">
      <c r="A7" s="8" t="s">
        <v>771</v>
      </c>
      <c r="B7" s="8" t="s">
        <v>767</v>
      </c>
      <c r="C7" s="8" t="s">
        <v>772</v>
      </c>
      <c r="D7" s="8" t="s">
        <v>773</v>
      </c>
      <c r="E7" s="8" t="s">
        <v>774</v>
      </c>
      <c r="F7" s="8" t="s">
        <v>293</v>
      </c>
    </row>
    <row r="8" customFormat="false" ht="22.35" hidden="false" customHeight="false" outlineLevel="0" collapsed="false">
      <c r="A8" s="8" t="s">
        <v>775</v>
      </c>
      <c r="B8" s="8" t="s">
        <v>767</v>
      </c>
      <c r="C8" s="8" t="s">
        <v>776</v>
      </c>
      <c r="D8" s="8" t="s">
        <v>777</v>
      </c>
      <c r="E8" s="8" t="s">
        <v>117</v>
      </c>
      <c r="F8" s="8" t="s">
        <v>249</v>
      </c>
    </row>
    <row r="9" customFormat="false" ht="22.35" hidden="false" customHeight="false" outlineLevel="0" collapsed="false">
      <c r="A9" s="8" t="s">
        <v>778</v>
      </c>
      <c r="B9" s="8" t="s">
        <v>767</v>
      </c>
      <c r="C9" s="8" t="s">
        <v>779</v>
      </c>
      <c r="D9" s="8" t="s">
        <v>780</v>
      </c>
      <c r="E9" s="8" t="s">
        <v>117</v>
      </c>
      <c r="F9" s="8" t="s">
        <v>781</v>
      </c>
    </row>
    <row r="10" customFormat="false" ht="22.35" hidden="false" customHeight="false" outlineLevel="0" collapsed="false">
      <c r="A10" s="8" t="s">
        <v>782</v>
      </c>
      <c r="B10" s="8" t="s">
        <v>783</v>
      </c>
      <c r="C10" s="8" t="s">
        <v>784</v>
      </c>
      <c r="D10" s="8" t="s">
        <v>785</v>
      </c>
      <c r="E10" s="8" t="s">
        <v>786</v>
      </c>
      <c r="F10" s="8" t="s">
        <v>255</v>
      </c>
    </row>
    <row r="11" customFormat="false" ht="15" hidden="false" customHeight="false" outlineLevel="0" collapsed="false">
      <c r="A11" s="8" t="s">
        <v>787</v>
      </c>
      <c r="B11" s="8" t="s">
        <v>117</v>
      </c>
      <c r="C11" s="8" t="s">
        <v>788</v>
      </c>
      <c r="D11" s="8" t="s">
        <v>117</v>
      </c>
      <c r="E11" s="8" t="s">
        <v>789</v>
      </c>
      <c r="F11" s="8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3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4" t="s">
        <v>790</v>
      </c>
    </row>
    <row r="2" customFormat="false" ht="15" hidden="false" customHeight="false" outlineLevel="0" collapsed="false">
      <c r="A2" s="5" t="s">
        <v>9</v>
      </c>
    </row>
    <row r="3" customFormat="false" ht="15" hidden="false" customHeight="false" outlineLevel="0" collapsed="false">
      <c r="A3" s="7" t="s">
        <v>96</v>
      </c>
      <c r="B3" s="7" t="s">
        <v>791</v>
      </c>
      <c r="C3" s="7" t="s">
        <v>792</v>
      </c>
      <c r="D3" s="7" t="s">
        <v>793</v>
      </c>
      <c r="E3" s="7" t="s">
        <v>700</v>
      </c>
      <c r="F3" s="7" t="s">
        <v>701</v>
      </c>
    </row>
    <row r="4" customFormat="false" ht="22.35" hidden="false" customHeight="false" outlineLevel="0" collapsed="false">
      <c r="A4" s="8" t="s">
        <v>794</v>
      </c>
      <c r="B4" s="8" t="s">
        <v>795</v>
      </c>
      <c r="C4" s="8" t="s">
        <v>796</v>
      </c>
      <c r="D4" s="8" t="s">
        <v>797</v>
      </c>
      <c r="E4" s="8" t="s">
        <v>798</v>
      </c>
      <c r="F4" s="8" t="s">
        <v>799</v>
      </c>
    </row>
    <row r="5" customFormat="false" ht="22.35" hidden="false" customHeight="false" outlineLevel="0" collapsed="false">
      <c r="A5" s="8" t="s">
        <v>800</v>
      </c>
      <c r="B5" s="8" t="s">
        <v>801</v>
      </c>
      <c r="C5" s="8" t="s">
        <v>802</v>
      </c>
      <c r="D5" s="8" t="s">
        <v>802</v>
      </c>
      <c r="E5" s="8" t="s">
        <v>802</v>
      </c>
      <c r="F5" s="8" t="s">
        <v>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2026-10-22T21:45:41Z</dcterms:created>
  <dc:creator>openpyxl</dc:creator>
  <dc:description/>
  <dc:language>en-US</dc:language>
  <cp:lastModifiedBy/>
  <dcterms:modified xsi:type="dcterms:W3CDTF">2026-10-22T21:45:41Z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