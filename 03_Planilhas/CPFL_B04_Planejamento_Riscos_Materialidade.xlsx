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idade" sheetId="1" state="visible" r:id="rId3"/>
    <sheet name="Matriz_Riscos_315" sheetId="2" state="visible" r:id="rId4"/>
    <sheet name="Respostas_330" sheetId="3" state="visible" r:id="rId5"/>
    <sheet name="Programas_Ciclos" sheetId="4" state="visible" r:id="rId6"/>
    <sheet name="Fraude_240" sheetId="5" state="visible" r:id="rId7"/>
    <sheet name="Leis_250" sheetId="6" state="visible" r:id="rId8"/>
    <sheet name="Cronograma_300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<sst xmlns="http://schemas.openxmlformats.org/spreadsheetml/2006/main" count="843" uniqueCount="486">
  <si>
    <t xml:space="preserve">PT 320 — Materialidade (R$ mil) — fórmulas</t>
  </si>
  <si>
    <t xml:space="preserve">Preparador: matrícula 231020069 (assistido por IA) | Data: 22/10/2026 | Revisão: ____ (sem revisão de terceiros simulada)</t>
  </si>
  <si>
    <t xml:space="preserve">Bases reconferidas na DF25 em 22/10/2026 (B02). Percentuais = julgamento didático (NBC TA 320 item A8 dá 5% do lucro antes do imposto como EXEMPLO, não como regra). Células amarelas são entradas; as demais, fórmulas.</t>
  </si>
  <si>
    <t xml:space="preserve">Item</t>
  </si>
  <si>
    <t xml:space="preserve">Valor</t>
  </si>
  <si>
    <t xml:space="preserve">Unidade</t>
  </si>
  <si>
    <t xml:space="preserve">Fonte / natureza</t>
  </si>
  <si>
    <t xml:space="preserve">Observação</t>
  </si>
  <si>
    <t xml:space="preserve">Lucro antes dos tributos (LAIR)</t>
  </si>
  <si>
    <t xml:space="preserve">R$ mil</t>
  </si>
  <si>
    <t xml:space="preserve">DF25 p. 36/4 (DRE) e p. 39/7 (DFC)</t>
  </si>
  <si>
    <t xml:space="preserve">Base principal: companhia lucrativa e estável (LAIR 2024: 8.088.893)</t>
  </si>
  <si>
    <t xml:space="preserve">Receita operacional líquida</t>
  </si>
  <si>
    <t xml:space="preserve">DF25 p. 36/4</t>
  </si>
  <si>
    <t xml:space="preserve">Base alternativa</t>
  </si>
  <si>
    <t xml:space="preserve">Ativo total</t>
  </si>
  <si>
    <t xml:space="preserve">DF25 p. 34/2</t>
  </si>
  <si>
    <t xml:space="preserve">Base alternativa (intensiva em capital)</t>
  </si>
  <si>
    <t xml:space="preserve">Patrimônio líquido total</t>
  </si>
  <si>
    <t xml:space="preserve">DF25 p. 35/3</t>
  </si>
  <si>
    <t xml:space="preserve">Base alternativa (referência)</t>
  </si>
  <si>
    <t xml:space="preserve">Ajuste ao valor justo VNR (nota 11)</t>
  </si>
  <si>
    <t xml:space="preserve">DF25 p. 68/36</t>
  </si>
  <si>
    <t xml:space="preserve">Componente não caixa do resultado</t>
  </si>
  <si>
    <t xml:space="preserve">% sobre LAIR</t>
  </si>
  <si>
    <t xml:space="preserve">%</t>
  </si>
  <si>
    <t xml:space="preserve">Julgamento (exemplo em 320 A8)</t>
  </si>
  <si>
    <t xml:space="preserve">% sobre receita</t>
  </si>
  <si>
    <t xml:space="preserve">Julgamento</t>
  </si>
  <si>
    <t xml:space="preserve">% sobre ativo</t>
  </si>
  <si>
    <t xml:space="preserve">% sobre PL</t>
  </si>
  <si>
    <t xml:space="preserve">% execução / global</t>
  </si>
  <si>
    <t xml:space="preserve">Julgamento (aprovado na etapa 2)</t>
  </si>
  <si>
    <t xml:space="preserve">Mantido: sem histórico de distorções conhecido; relatório sem modificação. Sensibilidade abaixo</t>
  </si>
  <si>
    <t xml:space="preserve">% trivial / global</t>
  </si>
  <si>
    <t xml:space="preserve">Julgamento (limite operacional NBC TA 450)</t>
  </si>
  <si>
    <t xml:space="preserve">Materialidade pelo LAIR</t>
  </si>
  <si>
    <t xml:space="preserve">fórmula</t>
  </si>
  <si>
    <t xml:space="preserve">Materialidade pela receita</t>
  </si>
  <si>
    <t xml:space="preserve">Materialidade pelo ativo</t>
  </si>
  <si>
    <t xml:space="preserve">Materialidade pelo PL</t>
  </si>
  <si>
    <t xml:space="preserve">MATERIALIDADE GLOBAL SELECIONADA (LAIR)</t>
  </si>
  <si>
    <t xml:space="preserve">Materialidade para execução</t>
  </si>
  <si>
    <t xml:space="preserve">Limite de distorções claramente triviais</t>
  </si>
  <si>
    <t xml:space="preserve">LAIR sem ajuste VNR (sensibilidade mecânica)</t>
  </si>
  <si>
    <t xml:space="preserve">Materialidade sensibilidade VNR</t>
  </si>
  <si>
    <t xml:space="preserve">Diferença vs. global</t>
  </si>
  <si>
    <t xml:space="preserve">Execução a 60% (sensibilidade)</t>
  </si>
  <si>
    <t xml:space="preserve">Execução a 50% (sensibilidade)</t>
  </si>
  <si>
    <t xml:space="preserve">Estoques / materialidade global</t>
  </si>
  <si>
    <t xml:space="preserve">x</t>
  </si>
  <si>
    <t xml:space="preserve">Caixa e equivalentes / materialidade global</t>
  </si>
  <si>
    <t xml:space="preserve">Materialidade específica (item 10): não se fixa valor quantitativo inferior para nenhuma classe. Fundamento: as divulgações sensíveis (remuneração da administração, partes relacionadas — PT 550) são avaliadas qualitativamente (NBC TA 450), e as estimativas de maior risco já recebem resposta substantiva extensiva (PT 330). Reavaliar se o PT 550 identificar transações com o controlador sensíveis aos usuários.</t>
  </si>
  <si>
    <t xml:space="preserve">Gatilhos de revisão (item 12–13): (i) distorções acumuladas acima de 50% da execução; (ii) evento subsequente que altere o LAIR (ex.: renovação das concessões afetando o VNR); (iii) reapresentação de 2024 identificada no PT 510.</t>
  </si>
  <si>
    <t xml:space="preserve">Documentação (item 14): valores e fatores registrados nesta aba e no PT 320.</t>
  </si>
  <si>
    <t xml:space="preserve">PT 315 — Matriz de riscos por conta e afirmação (NBC TA 315 R2)</t>
  </si>
  <si>
    <t xml:space="preserve">*C = complexidade; S = subjetividade; M = mudança; I = incerteza; V = suscetibilidade a viés/fraude (315 item 12(f)). Pontuação e nível = proxy didática do espectro de risco inerente (315 item 31), não fórmula da norma. Risco de controle: sem teste de efetividade, o risco de distorção relevante = risco inerente (315 item 34). Revisão da matriz preliminar da etapa 3 (17 riscos) + R18 e R19.</t>
  </si>
  <si>
    <t xml:space="preserve">ID</t>
  </si>
  <si>
    <t xml:space="preserve">Conta / processo</t>
  </si>
  <si>
    <t xml:space="preserve">Saldo 2025 (R$ mil)</t>
  </si>
  <si>
    <t xml:space="preserve">Fonte</t>
  </si>
  <si>
    <t xml:space="preserve">Afirmações</t>
  </si>
  <si>
    <t xml:space="preserve">Risco</t>
  </si>
  <si>
    <t xml:space="preserve">Fatores de risco inerente*</t>
  </si>
  <si>
    <t xml:space="preserve">Prob. (1-3)</t>
  </si>
  <si>
    <t xml:space="preserve">Magn. (1-3)</t>
  </si>
  <si>
    <t xml:space="preserve">Pontuação</t>
  </si>
  <si>
    <t xml:space="preserve">Nível (espectro)</t>
  </si>
  <si>
    <t xml:space="preserve">Risco significativo?</t>
  </si>
  <si>
    <t xml:space="preserve">Fundamento</t>
  </si>
  <si>
    <t xml:space="preserve">Saldo / MG</t>
  </si>
  <si>
    <t xml:space="preserve">Risco de controle</t>
  </si>
  <si>
    <t xml:space="preserve">R01</t>
  </si>
  <si>
    <t xml:space="preserve">Ativo financeiro da concessão (nota 11)</t>
  </si>
  <si>
    <t xml:space="preserve">DF25 p. 34/2; p. 68/36; PAA 3 p. 29</t>
  </si>
  <si>
    <t xml:space="preserve">Avaliação; classificação; apresentação</t>
  </si>
  <si>
    <t xml:space="preserve">Mensuração a VNR e bifurcação (ativo financeiro × contratual × intangível) incorretas</t>
  </si>
  <si>
    <t xml:space="preserve">C,S,I,V</t>
  </si>
  <si>
    <t xml:space="preserve">Alto</t>
  </si>
  <si>
    <t xml:space="preserve">Sim</t>
  </si>
  <si>
    <t xml:space="preserve">Estimativa com alta incerteza; PAA 3; 36,5% do ativo; ajuste VNR de 1.285.173 = 15,9% do LAIR</t>
  </si>
  <si>
    <t xml:space="preserve">Não testado → RDR = risco inerente (315 item 34)</t>
  </si>
  <si>
    <t xml:space="preserve">R02</t>
  </si>
  <si>
    <t xml:space="preserve">Ativo contratual (transmissão e distribuição)</t>
  </si>
  <si>
    <t xml:space="preserve">DF25 p. 34/2; nota 15 p. 76; PAA 1 p. 27</t>
  </si>
  <si>
    <t xml:space="preserve">Avaliação; exatidão</t>
  </si>
  <si>
    <t xml:space="preserve">Taxa de desconto, margens e RAP distorcem ativo e receita de remuneração</t>
  </si>
  <si>
    <t xml:space="preserve">C,S,I</t>
  </si>
  <si>
    <t xml:space="preserve">Estimativa de longo prazo; PAA 1</t>
  </si>
  <si>
    <t xml:space="preserve">R03</t>
  </si>
  <si>
    <t xml:space="preserve">Receita não faturada</t>
  </si>
  <si>
    <t xml:space="preserve">DF25 p. 28 (PAA 2); nota 3.11 p. 54</t>
  </si>
  <si>
    <t xml:space="preserve">Ocorrência; corte; exatidão</t>
  </si>
  <si>
    <t xml:space="preserve">Estimativa baseada em carga, faturamento e perdas técnicas/comerciais; depende de TI</t>
  </si>
  <si>
    <t xml:space="preserve">PAA 2; dados de sistemas; presunção de fraude em receita (240 item 27)</t>
  </si>
  <si>
    <t xml:space="preserve">R04</t>
  </si>
  <si>
    <t xml:space="preserve">Receita operacional líquida (demais componentes)</t>
  </si>
  <si>
    <t xml:space="preserve">DF25 p. 36/4; nota 26 p. 100–101</t>
  </si>
  <si>
    <t xml:space="preserve">Ocorrência; corte; exatidão; classificação</t>
  </si>
  <si>
    <t xml:space="preserve">Componentes regulados (tarifa, CDE R$ 3.103.700, construção R$ 5.879.424) registrados incorretamente</t>
  </si>
  <si>
    <t xml:space="preserve">C,M,V</t>
  </si>
  <si>
    <t xml:space="preserve">Moderado</t>
  </si>
  <si>
    <t xml:space="preserve">Não (ver R03)</t>
  </si>
  <si>
    <t xml:space="preserve">Receita tarifária homologada pela ANEEL reduz discricionariedade; risco de fraude concentrado em R03 e comercialização</t>
  </si>
  <si>
    <t xml:space="preserve">R05</t>
  </si>
  <si>
    <t xml:space="preserve">Consumidores, concessionárias e permissionárias</t>
  </si>
  <si>
    <t xml:space="preserve">DF25 p. 34/2; nota 7 p. 61</t>
  </si>
  <si>
    <t xml:space="preserve">Existência; avaliação (PDD)</t>
  </si>
  <si>
    <t xml:space="preserve">Perdas esperadas insuficientes; PDD de 361.253 em 2025</t>
  </si>
  <si>
    <t xml:space="preserve">S,I</t>
  </si>
  <si>
    <t xml:space="preserve">Não</t>
  </si>
  <si>
    <t xml:space="preserve">Estimativa com histórico e regras regulatórias</t>
  </si>
  <si>
    <t xml:space="preserve">R06</t>
  </si>
  <si>
    <t xml:space="preserve">Empréstimos, financiamentos e debêntures</t>
  </si>
  <si>
    <t xml:space="preserve">DF25 p. 35/3; notas 18–19 p. 79–85</t>
  </si>
  <si>
    <t xml:space="preserve">Integridade; exatidão; classificação CP/LP; divulgação</t>
  </si>
  <si>
    <t xml:space="preserve">Classificação e encargos incorretos; covenants (cross default) — administração declara cumprimento</t>
  </si>
  <si>
    <t xml:space="preserve">C,M</t>
  </si>
  <si>
    <t xml:space="preserve">Liquidação antecipada de 5.616.000 em debêntures e captações de 10.266.269 em 2025 (p. 39, 85)</t>
  </si>
  <si>
    <t xml:space="preserve">R07</t>
  </si>
  <si>
    <t xml:space="preserve">Provisões fiscais, cíveis, trabalhistas e regulatórias</t>
  </si>
  <si>
    <t xml:space="preserve">DF25 p. 35/3; nota 22 p. 94–96</t>
  </si>
  <si>
    <t xml:space="preserve">Integridade; avaliação; divulgação</t>
  </si>
  <si>
    <t xml:space="preserve">Classificação provável/possível e mensuração subavaliadas</t>
  </si>
  <si>
    <t xml:space="preserve">S,I,V</t>
  </si>
  <si>
    <t xml:space="preserve">Julgamento jurídico</t>
  </si>
  <si>
    <t xml:space="preserve">R08</t>
  </si>
  <si>
    <t xml:space="preserve">Derivativos (ativos 595.863; passivos 403.394)</t>
  </si>
  <si>
    <t xml:space="preserve">DF25 p. 34–35; nota 34 p. 108</t>
  </si>
  <si>
    <t xml:space="preserve">Avaliação; apresentação</t>
  </si>
  <si>
    <t xml:space="preserve">Valor justo e hedge contábil incorretos</t>
  </si>
  <si>
    <t xml:space="preserve">C,S</t>
  </si>
  <si>
    <t xml:space="preserve">Correção da matriz preliminar: 999.257 somava ativos e passivos (DV17)</t>
  </si>
  <si>
    <t xml:space="preserve">R09</t>
  </si>
  <si>
    <t xml:space="preserve">Ativos e passivos financeiros setoriais</t>
  </si>
  <si>
    <t xml:space="preserve">DF25 p. 34/2; nota 9 p. 64</t>
  </si>
  <si>
    <t xml:space="preserve">Avaliação; classificação</t>
  </si>
  <si>
    <t xml:space="preserve">Componentes tarifários e prazos de recuperação incorretos</t>
  </si>
  <si>
    <t xml:space="preserve">C,M,I</t>
  </si>
  <si>
    <t xml:space="preserve">Dependem de atos ANEEL (ex.: REH 3.452/2025, nota 26.2)</t>
  </si>
  <si>
    <t xml:space="preserve">R10</t>
  </si>
  <si>
    <t xml:space="preserve">Imobilizado e intangível</t>
  </si>
  <si>
    <t xml:space="preserve">DF25 p. 34/2; notas 14 e 16 p. 75–78</t>
  </si>
  <si>
    <t xml:space="preserve">Existência; avaliação; classificação</t>
  </si>
  <si>
    <t xml:space="preserve">Capitalização indevida; vidas úteis; amortização do intangível da concessão (332.792)</t>
  </si>
  <si>
    <t xml:space="preserve">S</t>
  </si>
  <si>
    <t xml:space="preserve">Sem provisão de recuperação em 2025 (nota 14)</t>
  </si>
  <si>
    <t xml:space="preserve">R11</t>
  </si>
  <si>
    <t xml:space="preserve">Caixa e equivalentes</t>
  </si>
  <si>
    <t xml:space="preserve">DF25 p. 34/2; nota 5 p. 60</t>
  </si>
  <si>
    <t xml:space="preserve">Existência; direitos</t>
  </si>
  <si>
    <t xml:space="preserve">Saldos inexistentes ou restritos</t>
  </si>
  <si>
    <t xml:space="preserve">—</t>
  </si>
  <si>
    <t xml:space="preserve">Baixo</t>
  </si>
  <si>
    <t xml:space="preserve">Alta verificabilidade externa</t>
  </si>
  <si>
    <t xml:space="preserve">R12</t>
  </si>
  <si>
    <t xml:space="preserve">Estoques</t>
  </si>
  <si>
    <t xml:space="preserve">Existência; avaliação</t>
  </si>
  <si>
    <t xml:space="preserve">Quantidades e obsolescência</t>
  </si>
  <si>
    <t xml:space="preserve">0,3% do ativo; 58% da materialidade global — abaixo dela isoladamente</t>
  </si>
  <si>
    <t xml:space="preserve">R13</t>
  </si>
  <si>
    <t xml:space="preserve">Partes relacionadas e mútuos (passivo)</t>
  </si>
  <si>
    <t xml:space="preserve">DF25 p. 35/3; nota 31 p. 103</t>
  </si>
  <si>
    <t xml:space="preserve">Integridade; divulgação</t>
  </si>
  <si>
    <t xml:space="preserve">Transações com o controlador (State Grid) não identificadas ou divulgadas</t>
  </si>
  <si>
    <t xml:space="preserve">V</t>
  </si>
  <si>
    <t xml:space="preserve">Mútuos passivos subiram de 2.485.694 para 4.393.234 (LP)</t>
  </si>
  <si>
    <t xml:space="preserve">R14</t>
  </si>
  <si>
    <t xml:space="preserve">Consolidação do grupo</t>
  </si>
  <si>
    <t xml:space="preserve">DF25 nota 1 p. 41–42; nota 13 p. 69</t>
  </si>
  <si>
    <t xml:space="preserve">Integridade; apresentação</t>
  </si>
  <si>
    <t xml:space="preserve">Eliminações e componentes incorretos; julgamento de controle conjunto da Chapecoense (51%, acordo de acionistas — nota 13.9.3, p. 74)</t>
  </si>
  <si>
    <t xml:space="preserve">C</t>
  </si>
  <si>
    <t xml:space="preserve">Grupo com 4 distribuidoras, geração, transmissão e comercialização</t>
  </si>
  <si>
    <t xml:space="preserve">R15</t>
  </si>
  <si>
    <t xml:space="preserve">TI — medição, faturamento e interfaces</t>
  </si>
  <si>
    <t xml:space="preserve">DF25 p. 28 (PwC usou especialistas de TI)</t>
  </si>
  <si>
    <t xml:space="preserve">Integridade; exatidão; corte</t>
  </si>
  <si>
    <t xml:space="preserve">Dados de origem e interfaces incorretos</t>
  </si>
  <si>
    <t xml:space="preserve">Afeta R03; controles não testados</t>
  </si>
  <si>
    <t xml:space="preserve">R16</t>
  </si>
  <si>
    <t xml:space="preserve">Burla de controles pela administração</t>
  </si>
  <si>
    <t xml:space="preserve">NBC TA 240 item 32</t>
  </si>
  <si>
    <t xml:space="preserve">Todas</t>
  </si>
  <si>
    <t xml:space="preserve">Lançamentos manuais, estimativas enviesadas, transações incomuns</t>
  </si>
  <si>
    <t xml:space="preserve">Risco significativo por exigência da NBC TA 240 (item 28 e item 32)</t>
  </si>
  <si>
    <t xml:space="preserve">R17</t>
  </si>
  <si>
    <t xml:space="preserve">Continuidade e liquidez</t>
  </si>
  <si>
    <t xml:space="preserve">DF25 p. 34–35; p. 39/7</t>
  </si>
  <si>
    <t xml:space="preserve">Divulgação</t>
  </si>
  <si>
    <t xml:space="preserve">Liquidez corrente 0,93; serviço da dívida</t>
  </si>
  <si>
    <t xml:space="preserve">I</t>
  </si>
  <si>
    <t xml:space="preserve">Caixa operacional 7.162.797; LL 5.742.552; covenants cumpridos segundo a administração (p. 83, 85)</t>
  </si>
  <si>
    <t xml:space="preserve">R18</t>
  </si>
  <si>
    <t xml:space="preserve">Renovação das concessões (premissa do ativo financeiro)</t>
  </si>
  <si>
    <t xml:space="preserve">Fato Relevante 08/05/2026; fatos relevantes de 28/03/2025 citados</t>
  </si>
  <si>
    <t xml:space="preserve">Avaliação; divulgação</t>
  </si>
  <si>
    <t xml:space="preserve">Premissa de indenização ao fim da concessão afetada pela prorrogação de 30 anos</t>
  </si>
  <si>
    <t xml:space="preserve">S,M,I</t>
  </si>
  <si>
    <t xml:space="preserve">Não (vinculado a R01)</t>
  </si>
  <si>
    <t xml:space="preserve">Processo iniciado em 2025; aditivos assinados em 2026 — analisar no PT 540/560</t>
  </si>
  <si>
    <t xml:space="preserve">R19</t>
  </si>
  <si>
    <t xml:space="preserve">PIS/COFINS sobre ICMS — créditos e devolução a consumidores</t>
  </si>
  <si>
    <t xml:space="preserve">DF25 p. 34–35; nota 8 p. 62–63</t>
  </si>
  <si>
    <t xml:space="preserve">Avaliação; classificação; divulgação</t>
  </si>
  <si>
    <t xml:space="preserve">Ativo 4.096.542 e passivo 3.402.844 mal mensurados ou classificados</t>
  </si>
  <si>
    <t xml:space="preserve">Saldos relevantes ligados a decisões judiciais (STF tema 69)</t>
  </si>
  <si>
    <t xml:space="preserve">PT 330 — Respostas aos riscos avaliados (natureza, época, extensão, modalidade)</t>
  </si>
  <si>
    <t xml:space="preserve">Respostas gerais (330 item 5): ceticismo reforçado em estimativas, imprevisibilidade na seleção (amostragem aleatória com semente registrada), reconferência de toda fonte secundária. Riscos significativos (R01, R02, R03, R16): procedimentos substantivos específicos (330 item 21). Época 'interina' é planejada; nada foi executado na companhia.</t>
  </si>
  <si>
    <t xml:space="preserve">Procedimento</t>
  </si>
  <si>
    <t xml:space="preserve">Natureza</t>
  </si>
  <si>
    <t xml:space="preserve">Época</t>
  </si>
  <si>
    <t xml:space="preserve">Extensão</t>
  </si>
  <si>
    <t xml:space="preserve">Modalidade</t>
  </si>
  <si>
    <t xml:space="preserve">PT</t>
  </si>
  <si>
    <t xml:space="preserve">Reexecutar a movimentação da nota 11 e conciliar com BP, DRE (ajuste VNR na receita) e DFC</t>
  </si>
  <si>
    <t xml:space="preserve">Substantivo — recálculo</t>
  </si>
  <si>
    <t xml:space="preserve">Final</t>
  </si>
  <si>
    <t xml:space="preserve">100% da movimentação</t>
  </si>
  <si>
    <t xml:space="preserve">Realizado com evidência pública (B02: CC05/CC06)</t>
  </si>
  <si>
    <t xml:space="preserve">500</t>
  </si>
  <si>
    <t xml:space="preserve">Testar existência e valor de bens na base de remuneração por amostragem (MUS)</t>
  </si>
  <si>
    <t xml:space="preserve">Substantivo — detalhe</t>
  </si>
  <si>
    <t xml:space="preserve">Amostra estatística sobre população de 500.000 registros</t>
  </si>
  <si>
    <t xml:space="preserve">Simulado para fins didáticos</t>
  </si>
  <si>
    <t xml:space="preserve">530</t>
  </si>
  <si>
    <t xml:space="preserve">Avaliar método, premissas (VNR, índices) e viés; sensibilidade</t>
  </si>
  <si>
    <t xml:space="preserve">Substantivo — estimativa</t>
  </si>
  <si>
    <t xml:space="preserve">Premissas-chave</t>
  </si>
  <si>
    <t xml:space="preserve">Realizado com evidência pública + simulação</t>
  </si>
  <si>
    <t xml:space="preserve">540</t>
  </si>
  <si>
    <t xml:space="preserve">Inspecionar laudos de avaliação e base de remuneração homologada pela ANEEL</t>
  </si>
  <si>
    <t xml:space="preserve">Substantivo — inspeção</t>
  </si>
  <si>
    <t xml:space="preserve">Distribuidoras relevantes</t>
  </si>
  <si>
    <t xml:space="preserve">Planejado por falta de acesso</t>
  </si>
  <si>
    <t xml:space="preserve">Ler contratos de concessão e RAP; recalcular remuneração com dados públicos</t>
  </si>
  <si>
    <t xml:space="preserve">Substantivo</t>
  </si>
  <si>
    <t xml:space="preserve">Lote principal</t>
  </si>
  <si>
    <t xml:space="preserve">Planejado (contratos parcialmente no Drive)</t>
  </si>
  <si>
    <t xml:space="preserve">Analítico: receita de remuneração/ativo contratual médio</t>
  </si>
  <si>
    <t xml:space="preserve">Analítico substantivo</t>
  </si>
  <si>
    <t xml:space="preserve">Por segmento</t>
  </si>
  <si>
    <t xml:space="preserve">Realizado com evidência pública</t>
  </si>
  <si>
    <t xml:space="preserve">520</t>
  </si>
  <si>
    <t xml:space="preserve">Recalcular receita não faturada (carga cativa × tarifas por classe)</t>
  </si>
  <si>
    <t xml:space="preserve">Por distribuidora</t>
  </si>
  <si>
    <t xml:space="preserve">Comparar faturamento de janeiro/2026 com estimativa de dezembro/2025 (corte)</t>
  </si>
  <si>
    <t xml:space="preserve">Substantivo — eventos subsequentes</t>
  </si>
  <si>
    <t xml:space="preserve">Após fechamento</t>
  </si>
  <si>
    <t xml:space="preserve">Total</t>
  </si>
  <si>
    <t xml:space="preserve">560</t>
  </si>
  <si>
    <t xml:space="preserve">Testar controles de TI (ITGC) de medição e faturamento</t>
  </si>
  <si>
    <t xml:space="preserve">Teste de controles</t>
  </si>
  <si>
    <t xml:space="preserve">Interina</t>
  </si>
  <si>
    <t xml:space="preserve">Sistemas-chave</t>
  </si>
  <si>
    <t xml:space="preserve">330/402</t>
  </si>
  <si>
    <t xml:space="preserve">Analítico de receita por componente (tarifa, CDE, construção, VNR) 2025 × 2024</t>
  </si>
  <si>
    <t xml:space="preserve">Componentes da nota 26</t>
  </si>
  <si>
    <t xml:space="preserve">Conciliar receita de construção com adições de ativo contratual (DFC 4.963.868)</t>
  </si>
  <si>
    <t xml:space="preserve">Circularização de grandes clientes livres (modelo)</t>
  </si>
  <si>
    <t xml:space="preserve">Confirmação externa</t>
  </si>
  <si>
    <t xml:space="preserve">Seleção por valor</t>
  </si>
  <si>
    <t xml:space="preserve">Simulado/Planejado (modelo não enviado)</t>
  </si>
  <si>
    <t xml:space="preserve">505</t>
  </si>
  <si>
    <t xml:space="preserve">Recálculo de PDD e análise de aging</t>
  </si>
  <si>
    <t xml:space="preserve">Conciliar movimentação de dívida com DFC (captação 10.266.269; amortização 10.727.722)</t>
  </si>
  <si>
    <t xml:space="preserve">500/570</t>
  </si>
  <si>
    <t xml:space="preserve">Recalcular índices de covenants com dados públicos, nas definições divulgadas</t>
  </si>
  <si>
    <t xml:space="preserve">Índices consolidados</t>
  </si>
  <si>
    <t xml:space="preserve">Realizado com evidência pública (limitado às definições disponíveis)</t>
  </si>
  <si>
    <t xml:space="preserve">570</t>
  </si>
  <si>
    <t xml:space="preserve">Confirmação de saldos com bancos e agentes fiduciários (modelo)</t>
  </si>
  <si>
    <t xml:space="preserve">Principais contratos</t>
  </si>
  <si>
    <t xml:space="preserve">Simulado/Planejado (não enviado)</t>
  </si>
  <si>
    <t xml:space="preserve">Ler nota 22; analítico da movimentação; cartas de advogados (modelo)</t>
  </si>
  <si>
    <t xml:space="preserve">Processos relevantes</t>
  </si>
  <si>
    <t xml:space="preserve">Realizado com evidência pública + modelo não enviado</t>
  </si>
  <si>
    <t xml:space="preserve">501/505</t>
  </si>
  <si>
    <t xml:space="preserve">Conciliar derivativos com nota 34 e recalcular valor justo indicativo</t>
  </si>
  <si>
    <t xml:space="preserve">Planejado por falta de acesso (curvas e contratos)</t>
  </si>
  <si>
    <t xml:space="preserve">Analítico da movimentação dos ativos/passivos setoriais × atos ANEEL</t>
  </si>
  <si>
    <t xml:space="preserve">Realizado com evidência pública (parcial)</t>
  </si>
  <si>
    <t xml:space="preserve">Analítico de depreciação/amortização (DFC 2.397.217) sobre saldo médio</t>
  </si>
  <si>
    <t xml:space="preserve">Inspeção física e de documentos de adições</t>
  </si>
  <si>
    <t xml:space="preserve">Amostra</t>
  </si>
  <si>
    <t xml:space="preserve">501</t>
  </si>
  <si>
    <t xml:space="preserve">Confirmação bancária (modelo) e conciliações</t>
  </si>
  <si>
    <t xml:space="preserve">Todas as contas relevantes</t>
  </si>
  <si>
    <t xml:space="preserve">Conferir caixa DFC × BP</t>
  </si>
  <si>
    <t xml:space="preserve">Realizado com evidência pública (B02: CC03)</t>
  </si>
  <si>
    <t xml:space="preserve">Análise de aplicabilidade; inventário apenas se justificado</t>
  </si>
  <si>
    <t xml:space="preserve">Analítico</t>
  </si>
  <si>
    <t xml:space="preserve">Realizado com evidência pública (análise)</t>
  </si>
  <si>
    <t xml:space="preserve">Mapear partes relacionadas (nota 31) e testar completude por fontes externas</t>
  </si>
  <si>
    <t xml:space="preserve">Todas as partes divulgadas</t>
  </si>
  <si>
    <t xml:space="preserve">Realizado com evidência pública (parcial; FR truncado)</t>
  </si>
  <si>
    <t xml:space="preserve">550</t>
  </si>
  <si>
    <t xml:space="preserve">Mapear componentes e avaliar materialidade de componentes; testar eliminações</t>
  </si>
  <si>
    <t xml:space="preserve">Componentes significativos</t>
  </si>
  <si>
    <t xml:space="preserve">Realizado com evidência pública + planejado</t>
  </si>
  <si>
    <t xml:space="preserve">600</t>
  </si>
  <si>
    <t xml:space="preserve">Entendimento de TI (NBC TA 315 item 25–26) e controles complementares de prestadores</t>
  </si>
  <si>
    <t xml:space="preserve">Avaliação de risco</t>
  </si>
  <si>
    <t xml:space="preserve">Fluxos de receita</t>
  </si>
  <si>
    <t xml:space="preserve">315/402</t>
  </si>
  <si>
    <t xml:space="preserve">Teste de lançamentos contábeis (240 item 33(a)): critérios de seleção</t>
  </si>
  <si>
    <t xml:space="preserve">Lançamentos manuais e de fechamento</t>
  </si>
  <si>
    <t xml:space="preserve">Planejado por falta de acesso; critérios aplicados na base sintética</t>
  </si>
  <si>
    <t xml:space="preserve">240/530</t>
  </si>
  <si>
    <t xml:space="preserve">Revisão retrospectiva de estimativas (240 item 33(b))</t>
  </si>
  <si>
    <t xml:space="preserve">VNR, não faturada, PDD, provisões</t>
  </si>
  <si>
    <t xml:space="preserve">Realizado com evidência pública (comparação 2024→2025)</t>
  </si>
  <si>
    <t xml:space="preserve">240/540</t>
  </si>
  <si>
    <t xml:space="preserve">Avaliar razão de negócio de transações significativas incomuns (240 item 33(c))</t>
  </si>
  <si>
    <t xml:space="preserve">Mútuos com controlador; liquidação antecipada de debêntures</t>
  </si>
  <si>
    <t xml:space="preserve">240/550</t>
  </si>
  <si>
    <t xml:space="preserve">Análise de liquidez, vencimentos e covenants</t>
  </si>
  <si>
    <t xml:space="preserve">Consolidado</t>
  </si>
  <si>
    <t xml:space="preserve">Avaliar efeito da renovação nas premissas do ativo financeiro e classificação ajuste × divulgação</t>
  </si>
  <si>
    <t xml:space="preserve">Substantivo — estimativa / eventos subsequentes</t>
  </si>
  <si>
    <t xml:space="preserve">Distribuidoras renovadas</t>
  </si>
  <si>
    <t xml:space="preserve">540/560</t>
  </si>
  <si>
    <t xml:space="preserve">Ler nota 8; conciliar ativo e passivo de PIS/COFINS; analisar compensações</t>
  </si>
  <si>
    <t xml:space="preserve">Saldos consolidados</t>
  </si>
  <si>
    <t xml:space="preserve">500/520</t>
  </si>
  <si>
    <t xml:space="preserve">Programas de auditoria por ciclo (PT 300/330)</t>
  </si>
  <si>
    <t xml:space="preserve">Legenda: [Pub] realizado com evidência pública; [P] planejado por falta de acesso; [S] simulado. O estado de execução de cada procedimento é atualizado nos blocos seguintes.</t>
  </si>
  <si>
    <t xml:space="preserve">Código</t>
  </si>
  <si>
    <t xml:space="preserve">Ciclo</t>
  </si>
  <si>
    <t xml:space="preserve">Riscos</t>
  </si>
  <si>
    <t xml:space="preserve">Saldo-base</t>
  </si>
  <si>
    <t xml:space="preserve">Aplicabilidade e extensão</t>
  </si>
  <si>
    <t xml:space="preserve">Nº</t>
  </si>
  <si>
    <t xml:space="preserve">PG-REC</t>
  </si>
  <si>
    <t xml:space="preserve">Receitas</t>
  </si>
  <si>
    <t xml:space="preserve">R03, R04, R15, R16</t>
  </si>
  <si>
    <t xml:space="preserve">44.367.780 (DRE p. 36/4)</t>
  </si>
  <si>
    <t xml:space="preserve">Aplicável — maior classe de transações; presunção de fraude</t>
  </si>
  <si>
    <t xml:space="preserve">Analítico por componente da nota 26 (expectativa: variação tarifária + mercado) [Pub] — PT 520</t>
  </si>
  <si>
    <t xml:space="preserve">Conciliar receita de construção × adições de ativo contratual e intangível [Pub] — PT 520</t>
  </si>
  <si>
    <t xml:space="preserve">Recalcular receita não faturada e testar corte com faturamento subsequente [P] — PT 540/560</t>
  </si>
  <si>
    <t xml:space="preserve">Testar ITGC de medição/faturamento e controles de interface [P] — PT 330/402</t>
  </si>
  <si>
    <t xml:space="preserve">Teste de lançamentos contábeis em contas de receita (critérios: manuais, fim de período, valores redondos) [P] — PT 240</t>
  </si>
  <si>
    <t xml:space="preserve">PG-DISP</t>
  </si>
  <si>
    <t xml:space="preserve">Disponibilidades</t>
  </si>
  <si>
    <t xml:space="preserve">2.229.320 + TVM 675.762 (BP p. 34/2)</t>
  </si>
  <si>
    <t xml:space="preserve">Aplicável — saldo acima da materialidade global; risco baixo</t>
  </si>
  <si>
    <t xml:space="preserve">Conferir caixa da DFC × BP [Pub — feito no B02, CC03] — PT 500</t>
  </si>
  <si>
    <t xml:space="preserve">Confirmação bancária: modelo e controle de circularização (não enviado) [S/P] — PT 505</t>
  </si>
  <si>
    <t xml:space="preserve">Conciliações bancárias e extratos de janeiro/2026 [P] — PT 505</t>
  </si>
  <si>
    <t xml:space="preserve">Verificar restrições e garantias (cauções, nota 12) [Pub] — PT 500</t>
  </si>
  <si>
    <t xml:space="preserve">PG-EST</t>
  </si>
  <si>
    <t xml:space="preserve">236.566 (BP p. 34/2)</t>
  </si>
  <si>
    <t xml:space="preserve">Aplicabilidade limitada — 58% da materialidade global; 0,3% do ativo</t>
  </si>
  <si>
    <t xml:space="preserve">Analítico de variação 2025 × 2024 (+6,8%) [Pub] — PT 520</t>
  </si>
  <si>
    <t xml:space="preserve">Análise qualitativa: materiais de manutenção da distribuição; ausência de PAA [Pub] — PT 501</t>
  </si>
  <si>
    <t xml:space="preserve">Acompanhamento de inventário apenas se o risco aumentar (NBC TA 501 item 4) [P] — PT 501</t>
  </si>
  <si>
    <t xml:space="preserve">PG-IMOB</t>
  </si>
  <si>
    <t xml:space="preserve">Imobilizado (e intangível/ativos da concessão)</t>
  </si>
  <si>
    <t xml:space="preserve">R10, R01, R02</t>
  </si>
  <si>
    <t xml:space="preserve">9.375.879 + intangível 6.892.839 (BP p. 34/2)</t>
  </si>
  <si>
    <t xml:space="preserve">Aplicável — distinguir imobilizado societário da infraestrutura da concessão (ICPC 01)</t>
  </si>
  <si>
    <t xml:space="preserve">Movimentação das notas 14 e 16 e conciliação com DFC (aquisições 369.941) [Pub] — PT 500</t>
  </si>
  <si>
    <t xml:space="preserve">Analítico de depreciação/amortização sobre saldo médio [Pub] — PT 520</t>
  </si>
  <si>
    <t xml:space="preserve">Avaliar indicadores de redução ao valor recuperável (nenhuma provisão em 2025) [Pub] — PT 540</t>
  </si>
  <si>
    <t xml:space="preserve">Inspeção física e de documentos de adições [P] — PT 501</t>
  </si>
  <si>
    <t xml:space="preserve">Base sintética: testes de existência/valor no ativo financeiro da concessão [S] — PT 530</t>
  </si>
  <si>
    <t xml:space="preserve">PG-PASS</t>
  </si>
  <si>
    <t xml:space="preserve">Passivos</t>
  </si>
  <si>
    <t xml:space="preserve">R06, R07, R13, R17, R19</t>
  </si>
  <si>
    <t xml:space="preserve">Passivo total 57.595.420 (BP p. 35/3)</t>
  </si>
  <si>
    <t xml:space="preserve">Aplicável — dívida de 29.055.727 e provisões de 1.740.903</t>
  </si>
  <si>
    <t xml:space="preserve">Movimentação de empréstimos e debêntures × DFC [Pub] — PT 500</t>
  </si>
  <si>
    <t xml:space="preserve">Recalcular covenants nas definições divulgadas (notas 18–19) [Pub, limitado] — PT 570</t>
  </si>
  <si>
    <t xml:space="preserve">Busca de passivos não registrados: pagamentos subsequentes (ITR 1T26) [Pub, parcial] — PT 560</t>
  </si>
  <si>
    <t xml:space="preserve">Cartas a advogados e confirmações de credores (modelos não enviados) [S/P] — PT 505/501</t>
  </si>
  <si>
    <t xml:space="preserve">Fornecedores: analítico de prazo médio [Pub] — PT 520</t>
  </si>
  <si>
    <t xml:space="preserve">PG-ESTIM</t>
  </si>
  <si>
    <t xml:space="preserve">Estimativas</t>
  </si>
  <si>
    <t xml:space="preserve">R01, R02, R03, R05, R07, R08, R18</t>
  </si>
  <si>
    <t xml:space="preserve">AFC 29.623.619; ativo contratual 12.859.523; não faturada 1.763.858</t>
  </si>
  <si>
    <t xml:space="preserve">Aplicável — três PAA são estimativas</t>
  </si>
  <si>
    <t xml:space="preserve">Selecionar estimativa principal: VNR do ativo financeiro da concessão [Pub] — PT 540</t>
  </si>
  <si>
    <t xml:space="preserve">Sensibilidade reproduzível das premissas (índice de atualização, taxa) [S/Pub] — PT 540</t>
  </si>
  <si>
    <t xml:space="preserve">Revisão retrospectiva 2024 → 2025 (240 item 33(b)) [Pub] — PT 240/540</t>
  </si>
  <si>
    <t xml:space="preserve">Avaliar efeito da renovação das concessões (Fato Relevante 08/05/2026) [Pub] — PT 540/560</t>
  </si>
  <si>
    <t xml:space="preserve">Avaliar indicadores de viés da administração [Pub] — PT 540</t>
  </si>
  <si>
    <t xml:space="preserve">PT 240 — Fatores de risco de fraude (NBC TA 240 R1)</t>
  </si>
  <si>
    <t xml:space="preserve">Classificação dos fatores conforme a NBC TA 240. Fator de risco não é alegação de fraude.</t>
  </si>
  <si>
    <t xml:space="preserve">Categoria</t>
  </si>
  <si>
    <t xml:space="preserve">Fator</t>
  </si>
  <si>
    <t xml:space="preserve">Incentivo/pressão</t>
  </si>
  <si>
    <t xml:space="preserve">Remuneração e metas vinculadas a lucro e EBITDA; covenants financeiros (cross default)</t>
  </si>
  <si>
    <t xml:space="preserve">Notas 18–19 p. 82–85 (covenants); FR item 8 indisponível (truncado)</t>
  </si>
  <si>
    <t xml:space="preserve">Inferência</t>
  </si>
  <si>
    <t xml:space="preserve">Dividendos relevantes ao controlador (dividendos pagos 3.519.769 em 2025)</t>
  </si>
  <si>
    <t xml:space="preserve">DF25 p. 39/7</t>
  </si>
  <si>
    <t xml:space="preserve">Fato</t>
  </si>
  <si>
    <t xml:space="preserve">Oportunidade</t>
  </si>
  <si>
    <t xml:space="preserve">Estimativas complexas com alta subjetividade (VNR, receita não faturada, ativo contratual)</t>
  </si>
  <si>
    <t xml:space="preserve">PAA 1–3, DF25 p. 27–29</t>
  </si>
  <si>
    <t xml:space="preserve">Transações com o controlador (mútuos de 4.412.650)</t>
  </si>
  <si>
    <t xml:space="preserve">DF25 p. 35/3; nota 31</t>
  </si>
  <si>
    <t xml:space="preserve">Grupo complexo, com controladas em conjunto e reorganizações (incorporação da CPFL Geração em 2026)</t>
  </si>
  <si>
    <t xml:space="preserve">Nota 1 p. 41–42; nota 37.1 p. 113</t>
  </si>
  <si>
    <t xml:space="preserve">Atitude/racionalização</t>
  </si>
  <si>
    <t xml:space="preserve">Sem indícios públicos identificados; não testável sem acesso (entrevistas)</t>
  </si>
  <si>
    <t xml:space="preserve">Não avaliável</t>
  </si>
  <si>
    <t xml:space="preserve">Fator mitigador (não elimina o risco)</t>
  </si>
  <si>
    <t xml:space="preserve">Comitê de Auditoria e Conselho Fiscal com regimentos publicados; Novo Mercado; auditoria por firma de grande porte</t>
  </si>
  <si>
    <t xml:space="preserve">Drive pasta 03 (regimentos 2025/2026); FR 2025 item 1.1</t>
  </si>
  <si>
    <t xml:space="preserve">PT 250 — Mapa de leis e regulamentos</t>
  </si>
  <si>
    <t xml:space="preserve">Mapeamento para fins de auditoria; não é parecer jurídico.</t>
  </si>
  <si>
    <t xml:space="preserve">Categoria (250 itens 14–15)</t>
  </si>
  <si>
    <t xml:space="preserve">Lei / regulamento</t>
  </si>
  <si>
    <t xml:space="preserve">Efeito nas DF</t>
  </si>
  <si>
    <t xml:space="preserve">Procedimento e modalidade</t>
  </si>
  <si>
    <t xml:space="preserve">Efeito direto</t>
  </si>
  <si>
    <t xml:space="preserve">Lei 6.404/76 e Resoluções CVM (estrutura contábil; CPC aprovados pela CVM)</t>
  </si>
  <si>
    <t xml:space="preserve">DF25 nota 2.1 p. 45</t>
  </si>
  <si>
    <t xml:space="preserve">Elaboração e divulgação</t>
  </si>
  <si>
    <t xml:space="preserve">Ler DF e conferir aderência de divulgações-chave [Pub]</t>
  </si>
  <si>
    <t xml:space="preserve">Regulação tarifária ANEEL (PRORET, REH de reajuste)</t>
  </si>
  <si>
    <t xml:space="preserve">Nota 26.1–26.2 p. 100–101</t>
  </si>
  <si>
    <t xml:space="preserve">Receita, ativos/passivos setoriais</t>
  </si>
  <si>
    <t xml:space="preserve">Conferir REH citadas e efeitos (nota 26.2) [Pub]</t>
  </si>
  <si>
    <t xml:space="preserve">Contratos de concessão e Decreto 12.068/2024 (renovação)</t>
  </si>
  <si>
    <t xml:space="preserve">Nota 1 p. 41; Fato Relevante 08/05/2026</t>
  </si>
  <si>
    <t xml:space="preserve">Ativo financeiro da concessão</t>
  </si>
  <si>
    <t xml:space="preserve">Ler aditivos e cláusulas de indenização [P/Pub]</t>
  </si>
  <si>
    <t xml:space="preserve">Legislação tributária (IRPJ/CSLL, PIS/COFINS; tema 69 do STF — exclusão do ICMS)</t>
  </si>
  <si>
    <t xml:space="preserve">Nota 8 p. 62–63; nota 10</t>
  </si>
  <si>
    <t xml:space="preserve">Tributos, créditos e passivos com consumidores</t>
  </si>
  <si>
    <t xml:space="preserve">Analítico e leitura de notas [Pub]</t>
  </si>
  <si>
    <t xml:space="preserve">CDE e subsídios tarifários (Lei 12.783/2013; Lei 14.300/2022)</t>
  </si>
  <si>
    <t xml:space="preserve">Nota 26.3–26.4 p. 101</t>
  </si>
  <si>
    <t xml:space="preserve">Receita e contas a receber da CDE</t>
  </si>
  <si>
    <t xml:space="preserve">Conciliar receita CDE 3.103.700 [Pub]</t>
  </si>
  <si>
    <t xml:space="preserve">Outras com efeito relevante</t>
  </si>
  <si>
    <t xml:space="preserve">Lei 15.269/2025 (compensação por curtailment)</t>
  </si>
  <si>
    <t xml:space="preserve">Nota 37.2 p. 113</t>
  </si>
  <si>
    <t xml:space="preserve">Ativo contingente não reconhecido</t>
  </si>
  <si>
    <t xml:space="preserve">Avaliar divulgação [Pub]</t>
  </si>
  <si>
    <t xml:space="preserve">Lei Anticorrupção 12.846/2013 (política anticorrupção publicada)</t>
  </si>
  <si>
    <t xml:space="preserve">Drive pasta 03 (Política Anticorrupção)</t>
  </si>
  <si>
    <t xml:space="preserve">Contingências; reputação</t>
  </si>
  <si>
    <t xml:space="preserve">Indagação à administração e governança [P]</t>
  </si>
  <si>
    <t xml:space="preserve">Legislação ambiental (provisões de desmobilização 175.276; incêndio — perda possível de 51.712)</t>
  </si>
  <si>
    <t xml:space="preserve">BP p. 35/3; nota 22 p. 95</t>
  </si>
  <si>
    <t xml:space="preserve">Provisões e contingências</t>
  </si>
  <si>
    <t xml:space="preserve">Leitura de nota 22; cartas a advogados [Pub/P]</t>
  </si>
  <si>
    <t xml:space="preserve">Normas setoriais de qualidade (ONS/ANEEL — indicadores e penalidades)</t>
  </si>
  <si>
    <t xml:space="preserve">Bases ONS/CCEE (pasta 05; não validadas)</t>
  </si>
  <si>
    <t xml:space="preserve">Multas e compensações a consumidores</t>
  </si>
  <si>
    <t xml:space="preserve">Validar fonte antes de uso; indicador não prova infração [P]</t>
  </si>
  <si>
    <t xml:space="preserve">PT 300 — Cronograma</t>
  </si>
  <si>
    <t xml:space="preserve">Cronograma do trabalho acadêmico (prazo do enunciado: 25/10/2026).</t>
  </si>
  <si>
    <t xml:space="preserve">Fase</t>
  </si>
  <si>
    <t xml:space="preserve">Data</t>
  </si>
  <si>
    <t xml:space="preserve">Bloco</t>
  </si>
  <si>
    <t xml:space="preserve">PTs</t>
  </si>
  <si>
    <t xml:space="preserve">Planejamento (estratégia, riscos, materialidade)</t>
  </si>
  <si>
    <t xml:space="preserve">22/10/2026</t>
  </si>
  <si>
    <t xml:space="preserve">B03–B04</t>
  </si>
  <si>
    <t xml:space="preserve">PT EC–230, 240, 250, 300, 315, 320, 330</t>
  </si>
  <si>
    <t xml:space="preserve">Grupo e prestadores</t>
  </si>
  <si>
    <t xml:space="preserve">23/10/2026</t>
  </si>
  <si>
    <t xml:space="preserve">B05</t>
  </si>
  <si>
    <t xml:space="preserve">PT 402, 600</t>
  </si>
  <si>
    <t xml:space="preserve">Base sintética e testes</t>
  </si>
  <si>
    <t xml:space="preserve">B06–B08</t>
  </si>
  <si>
    <t xml:space="preserve">PT 500, 530, 450</t>
  </si>
  <si>
    <t xml:space="preserve">Abertura, analíticos, estimativas, partes relacionadas</t>
  </si>
  <si>
    <t xml:space="preserve">24/10/2026</t>
  </si>
  <si>
    <t xml:space="preserve">B09</t>
  </si>
  <si>
    <t xml:space="preserve">PT 510, 520, 540, 550</t>
  </si>
  <si>
    <t xml:space="preserve">Itens específicos, confirmações, eventos, continuidade</t>
  </si>
  <si>
    <t xml:space="preserve">B10</t>
  </si>
  <si>
    <t xml:space="preserve">PT 501, 505, 560, 570</t>
  </si>
  <si>
    <t xml:space="preserve">Comunicações e conclusão</t>
  </si>
  <si>
    <t xml:space="preserve">25/10/2026</t>
  </si>
  <si>
    <t xml:space="preserve">B11</t>
  </si>
  <si>
    <t xml:space="preserve">PT 260, 265, 580; fechamento 450/500</t>
  </si>
  <si>
    <t xml:space="preserve">Revisão e entrega</t>
  </si>
  <si>
    <t xml:space="preserve">B12–B13</t>
  </si>
  <si>
    <t xml:space="preserve">Revisão transversal; Word/PDF; GitHub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</si>
</sst>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%"/>
    <numFmt numFmtId="167" formatCode="0.00"/>
    <numFmt numFmtId="168" formatCode="#,##0"/>
    <numFmt numFmtId="169" formatCode="General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5" hidden="false" customHeight="false" outlineLevel="0" collapsed="false">
      <c r="A5" s="5" t="s">
        <v>8</v>
      </c>
      <c r="B5" s="6" t="n">
        <v>8091246</v>
      </c>
      <c r="C5" s="5" t="s">
        <v>9</v>
      </c>
      <c r="D5" s="5" t="s">
        <v>10</v>
      </c>
      <c r="E5" s="5" t="s">
        <v>11</v>
      </c>
    </row>
    <row r="6" customFormat="false" ht="15" hidden="false" customHeight="false" outlineLevel="0" collapsed="false">
      <c r="A6" s="5" t="s">
        <v>12</v>
      </c>
      <c r="B6" s="6" t="n">
        <v>44367780</v>
      </c>
      <c r="C6" s="5" t="s">
        <v>9</v>
      </c>
      <c r="D6" s="5" t="s">
        <v>13</v>
      </c>
      <c r="E6" s="5" t="s">
        <v>14</v>
      </c>
    </row>
    <row r="7" customFormat="false" ht="15" hidden="false" customHeight="false" outlineLevel="0" collapsed="false">
      <c r="A7" s="5" t="s">
        <v>15</v>
      </c>
      <c r="B7" s="6" t="n">
        <v>81099930</v>
      </c>
      <c r="C7" s="5" t="s">
        <v>9</v>
      </c>
      <c r="D7" s="5" t="s">
        <v>16</v>
      </c>
      <c r="E7" s="5" t="s">
        <v>17</v>
      </c>
    </row>
    <row r="8" customFormat="false" ht="15" hidden="false" customHeight="false" outlineLevel="0" collapsed="false">
      <c r="A8" s="5" t="s">
        <v>18</v>
      </c>
      <c r="B8" s="6" t="n">
        <v>23504510</v>
      </c>
      <c r="C8" s="5" t="s">
        <v>9</v>
      </c>
      <c r="D8" s="5" t="s">
        <v>19</v>
      </c>
      <c r="E8" s="5" t="s">
        <v>20</v>
      </c>
    </row>
    <row r="9" customFormat="false" ht="15" hidden="false" customHeight="false" outlineLevel="0" collapsed="false">
      <c r="A9" s="5" t="s">
        <v>21</v>
      </c>
      <c r="B9" s="6" t="n">
        <v>1285173</v>
      </c>
      <c r="C9" s="5" t="s">
        <v>9</v>
      </c>
      <c r="D9" s="5" t="s">
        <v>22</v>
      </c>
      <c r="E9" s="5" t="s">
        <v>23</v>
      </c>
    </row>
    <row r="10" customFormat="false" ht="15" hidden="false" customHeight="false" outlineLevel="0" collapsed="false">
      <c r="A10" s="5" t="s">
        <v>24</v>
      </c>
      <c r="B10" s="7" t="n">
        <v>0.05</v>
      </c>
      <c r="C10" s="5" t="s">
        <v>25</v>
      </c>
      <c r="D10" s="5" t="s">
        <v>26</v>
      </c>
      <c r="E10" s="5"/>
    </row>
    <row r="11" customFormat="false" ht="15" hidden="false" customHeight="false" outlineLevel="0" collapsed="false">
      <c r="A11" s="5" t="s">
        <v>27</v>
      </c>
      <c r="B11" s="7" t="n">
        <v>0.005</v>
      </c>
      <c r="C11" s="5" t="s">
        <v>25</v>
      </c>
      <c r="D11" s="5" t="s">
        <v>28</v>
      </c>
      <c r="E11" s="5"/>
    </row>
    <row r="12" customFormat="false" ht="15" hidden="false" customHeight="false" outlineLevel="0" collapsed="false">
      <c r="A12" s="5" t="s">
        <v>29</v>
      </c>
      <c r="B12" s="7" t="n">
        <v>0.005</v>
      </c>
      <c r="C12" s="5" t="s">
        <v>25</v>
      </c>
      <c r="D12" s="5" t="s">
        <v>28</v>
      </c>
      <c r="E12" s="5"/>
    </row>
    <row r="13" customFormat="false" ht="15" hidden="false" customHeight="false" outlineLevel="0" collapsed="false">
      <c r="A13" s="5" t="s">
        <v>30</v>
      </c>
      <c r="B13" s="7" t="n">
        <v>0.01</v>
      </c>
      <c r="C13" s="5" t="s">
        <v>25</v>
      </c>
      <c r="D13" s="5" t="s">
        <v>28</v>
      </c>
      <c r="E13" s="5"/>
    </row>
    <row r="14" customFormat="false" ht="22.35" hidden="false" customHeight="false" outlineLevel="0" collapsed="false">
      <c r="A14" s="5" t="s">
        <v>31</v>
      </c>
      <c r="B14" s="7" t="n">
        <v>0.75</v>
      </c>
      <c r="C14" s="5" t="s">
        <v>25</v>
      </c>
      <c r="D14" s="5" t="s">
        <v>32</v>
      </c>
      <c r="E14" s="5" t="s">
        <v>33</v>
      </c>
    </row>
    <row r="15" customFormat="false" ht="15" hidden="false" customHeight="false" outlineLevel="0" collapsed="false">
      <c r="A15" s="5" t="s">
        <v>34</v>
      </c>
      <c r="B15" s="7" t="n">
        <v>0.05</v>
      </c>
      <c r="C15" s="5" t="s">
        <v>25</v>
      </c>
      <c r="D15" s="5" t="s">
        <v>35</v>
      </c>
      <c r="E15" s="5"/>
    </row>
    <row r="17" customFormat="false" ht="15" hidden="false" customHeight="false" outlineLevel="0" collapsed="false">
      <c r="A17" s="5" t="s">
        <v>36</v>
      </c>
      <c r="B17" s="8" t="n">
        <f aca="false">B5*B10</f>
        <v>404562.3</v>
      </c>
      <c r="C17" s="5" t="s">
        <v>9</v>
      </c>
      <c r="D17" s="5" t="s">
        <v>37</v>
      </c>
      <c r="E17" s="5"/>
    </row>
    <row r="18" customFormat="false" ht="15" hidden="false" customHeight="false" outlineLevel="0" collapsed="false">
      <c r="A18" s="5" t="s">
        <v>38</v>
      </c>
      <c r="B18" s="8" t="n">
        <f aca="false">B6*B11</f>
        <v>221838.9</v>
      </c>
      <c r="C18" s="5" t="s">
        <v>9</v>
      </c>
      <c r="D18" s="5" t="s">
        <v>37</v>
      </c>
      <c r="E18" s="5"/>
    </row>
    <row r="19" customFormat="false" ht="15" hidden="false" customHeight="false" outlineLevel="0" collapsed="false">
      <c r="A19" s="5" t="s">
        <v>39</v>
      </c>
      <c r="B19" s="8" t="n">
        <f aca="false">B7*B12</f>
        <v>405499.65</v>
      </c>
      <c r="C19" s="5" t="s">
        <v>9</v>
      </c>
      <c r="D19" s="5" t="s">
        <v>37</v>
      </c>
      <c r="E19" s="5"/>
    </row>
    <row r="20" customFormat="false" ht="15" hidden="false" customHeight="false" outlineLevel="0" collapsed="false">
      <c r="A20" s="5" t="s">
        <v>40</v>
      </c>
      <c r="B20" s="8" t="n">
        <f aca="false">B8*B13</f>
        <v>235045.1</v>
      </c>
      <c r="C20" s="5" t="s">
        <v>9</v>
      </c>
      <c r="D20" s="5" t="s">
        <v>37</v>
      </c>
      <c r="E20" s="5"/>
    </row>
    <row r="21" customFormat="false" ht="15" hidden="false" customHeight="false" outlineLevel="0" collapsed="false">
      <c r="A21" s="9" t="s">
        <v>41</v>
      </c>
      <c r="B21" s="10" t="n">
        <f aca="false">B17</f>
        <v>404562.3</v>
      </c>
      <c r="C21" s="9" t="s">
        <v>9</v>
      </c>
      <c r="D21" s="9" t="s">
        <v>37</v>
      </c>
      <c r="E21" s="9"/>
    </row>
    <row r="22" customFormat="false" ht="15" hidden="false" customHeight="false" outlineLevel="0" collapsed="false">
      <c r="A22" s="5" t="s">
        <v>42</v>
      </c>
      <c r="B22" s="8" t="n">
        <f aca="false">B21*B14</f>
        <v>303421.725</v>
      </c>
      <c r="C22" s="5" t="s">
        <v>9</v>
      </c>
      <c r="D22" s="5" t="s">
        <v>37</v>
      </c>
      <c r="E22" s="5"/>
    </row>
    <row r="23" customFormat="false" ht="15" hidden="false" customHeight="false" outlineLevel="0" collapsed="false">
      <c r="A23" s="5" t="s">
        <v>43</v>
      </c>
      <c r="B23" s="8" t="n">
        <f aca="false">B21*B15</f>
        <v>20228.115</v>
      </c>
      <c r="C23" s="5" t="s">
        <v>9</v>
      </c>
      <c r="D23" s="5" t="s">
        <v>37</v>
      </c>
      <c r="E23" s="5"/>
    </row>
    <row r="24" customFormat="false" ht="15" hidden="false" customHeight="false" outlineLevel="0" collapsed="false">
      <c r="A24" s="5" t="s">
        <v>44</v>
      </c>
      <c r="B24" s="8" t="n">
        <f aca="false">B5-B9</f>
        <v>6806073</v>
      </c>
      <c r="C24" s="5" t="s">
        <v>9</v>
      </c>
      <c r="D24" s="5" t="s">
        <v>37</v>
      </c>
      <c r="E24" s="5"/>
    </row>
    <row r="25" customFormat="false" ht="15" hidden="false" customHeight="false" outlineLevel="0" collapsed="false">
      <c r="A25" s="5" t="s">
        <v>45</v>
      </c>
      <c r="B25" s="8" t="n">
        <f aca="false">B24*B10</f>
        <v>340303.65</v>
      </c>
      <c r="C25" s="5" t="s">
        <v>9</v>
      </c>
      <c r="D25" s="5" t="s">
        <v>37</v>
      </c>
      <c r="E25" s="5"/>
    </row>
    <row r="26" customFormat="false" ht="15" hidden="false" customHeight="false" outlineLevel="0" collapsed="false">
      <c r="A26" s="5" t="s">
        <v>46</v>
      </c>
      <c r="B26" s="8" t="n">
        <f aca="false">B21-B25</f>
        <v>64258.65</v>
      </c>
      <c r="C26" s="5" t="s">
        <v>9</v>
      </c>
      <c r="D26" s="5" t="s">
        <v>37</v>
      </c>
      <c r="E26" s="5"/>
    </row>
    <row r="27" customFormat="false" ht="15" hidden="false" customHeight="false" outlineLevel="0" collapsed="false">
      <c r="A27" s="5" t="s">
        <v>47</v>
      </c>
      <c r="B27" s="8" t="n">
        <f aca="false">B21*0.6</f>
        <v>242737.38</v>
      </c>
      <c r="C27" s="5" t="s">
        <v>9</v>
      </c>
      <c r="D27" s="5" t="s">
        <v>37</v>
      </c>
      <c r="E27" s="5"/>
    </row>
    <row r="28" customFormat="false" ht="15" hidden="false" customHeight="false" outlineLevel="0" collapsed="false">
      <c r="A28" s="5" t="s">
        <v>48</v>
      </c>
      <c r="B28" s="8" t="n">
        <f aca="false">B21*0.5</f>
        <v>202281.15</v>
      </c>
      <c r="C28" s="5" t="s">
        <v>9</v>
      </c>
      <c r="D28" s="5" t="s">
        <v>37</v>
      </c>
      <c r="E28" s="5"/>
    </row>
    <row r="29" customFormat="false" ht="15" hidden="false" customHeight="false" outlineLevel="0" collapsed="false">
      <c r="A29" s="5" t="s">
        <v>49</v>
      </c>
      <c r="B29" s="11" t="n">
        <f aca="false">236566/B21</f>
        <v>0.584745538573416</v>
      </c>
      <c r="C29" s="5" t="s">
        <v>50</v>
      </c>
      <c r="D29" s="5" t="s">
        <v>37</v>
      </c>
      <c r="E29" s="5"/>
    </row>
    <row r="30" customFormat="false" ht="15" hidden="false" customHeight="false" outlineLevel="0" collapsed="false">
      <c r="A30" s="5" t="s">
        <v>51</v>
      </c>
      <c r="B30" s="11" t="n">
        <f aca="false">2229320/B21</f>
        <v>5.51044919410434</v>
      </c>
      <c r="C30" s="5" t="s">
        <v>50</v>
      </c>
      <c r="D30" s="5" t="s">
        <v>37</v>
      </c>
      <c r="E30" s="5"/>
    </row>
    <row r="32" customFormat="false" ht="51.75" hidden="false" customHeight="true" outlineLevel="0" collapsed="false">
      <c r="A32" s="12" t="s">
        <v>52</v>
      </c>
      <c r="B32" s="12"/>
      <c r="C32" s="12"/>
      <c r="D32" s="12"/>
      <c r="E32" s="12"/>
    </row>
    <row r="33" customFormat="false" ht="51.75" hidden="false" customHeight="true" outlineLevel="0" collapsed="false">
      <c r="A33" s="12" t="s">
        <v>53</v>
      </c>
      <c r="B33" s="12"/>
      <c r="C33" s="12"/>
      <c r="D33" s="12"/>
      <c r="E33" s="12"/>
    </row>
    <row r="34" customFormat="false" ht="51.75" hidden="false" customHeight="true" outlineLevel="0" collapsed="false">
      <c r="A34" s="12" t="s">
        <v>54</v>
      </c>
      <c r="B34" s="12"/>
      <c r="C34" s="12"/>
      <c r="D34" s="12"/>
      <c r="E34" s="12"/>
    </row>
  </sheetData>
  <mergeCells count="4">
    <mergeCell ref="A3:E3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42"/>
    <col collapsed="false" customWidth="true" hidden="false" outlineLevel="0" max="14" min="14" style="0" width="9"/>
    <col collapsed="false" customWidth="true" hidden="false" outlineLevel="0" max="15" min="15" style="0" width="26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2.8" hidden="false" customHeight="false" outlineLevel="0" collapsed="false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  <c r="M4" s="4" t="s">
        <v>69</v>
      </c>
      <c r="N4" s="4" t="s">
        <v>70</v>
      </c>
      <c r="O4" s="4" t="s">
        <v>71</v>
      </c>
    </row>
    <row r="5" customFormat="false" ht="22.35" hidden="false" customHeight="false" outlineLevel="0" collapsed="false">
      <c r="A5" s="5" t="s">
        <v>72</v>
      </c>
      <c r="B5" s="5" t="s">
        <v>73</v>
      </c>
      <c r="C5" s="13" t="n">
        <v>29623619</v>
      </c>
      <c r="D5" s="5" t="s">
        <v>74</v>
      </c>
      <c r="E5" s="5" t="s">
        <v>75</v>
      </c>
      <c r="F5" s="5" t="s">
        <v>76</v>
      </c>
      <c r="G5" s="5" t="s">
        <v>77</v>
      </c>
      <c r="H5" s="14" t="n">
        <v>3</v>
      </c>
      <c r="I5" s="14" t="n">
        <v>3</v>
      </c>
      <c r="J5" s="15" t="n">
        <f aca="false">H5*I5</f>
        <v>9</v>
      </c>
      <c r="K5" s="5" t="s">
        <v>78</v>
      </c>
      <c r="L5" s="5" t="s">
        <v>79</v>
      </c>
      <c r="M5" s="5" t="s">
        <v>80</v>
      </c>
      <c r="N5" s="16" t="n">
        <f aca="false">C5/Materialidade!$B$21</f>
        <v>73.2238742957512</v>
      </c>
      <c r="O5" s="5" t="s">
        <v>81</v>
      </c>
    </row>
    <row r="6" customFormat="false" ht="22.35" hidden="false" customHeight="false" outlineLevel="0" collapsed="false">
      <c r="A6" s="5" t="s">
        <v>82</v>
      </c>
      <c r="B6" s="5" t="s">
        <v>83</v>
      </c>
      <c r="C6" s="13" t="n">
        <v>12859523</v>
      </c>
      <c r="D6" s="5" t="s">
        <v>84</v>
      </c>
      <c r="E6" s="5" t="s">
        <v>85</v>
      </c>
      <c r="F6" s="5" t="s">
        <v>86</v>
      </c>
      <c r="G6" s="5" t="s">
        <v>87</v>
      </c>
      <c r="H6" s="14" t="n">
        <v>3</v>
      </c>
      <c r="I6" s="14" t="n">
        <v>3</v>
      </c>
      <c r="J6" s="15" t="n">
        <f aca="false">H6*I6</f>
        <v>9</v>
      </c>
      <c r="K6" s="5" t="s">
        <v>78</v>
      </c>
      <c r="L6" s="5" t="s">
        <v>79</v>
      </c>
      <c r="M6" s="5" t="s">
        <v>88</v>
      </c>
      <c r="N6" s="16" t="n">
        <f aca="false">C6/Materialidade!$B$21</f>
        <v>31.7862613496117</v>
      </c>
      <c r="O6" s="5" t="s">
        <v>81</v>
      </c>
    </row>
    <row r="7" customFormat="false" ht="22.35" hidden="false" customHeight="false" outlineLevel="0" collapsed="false">
      <c r="A7" s="5" t="s">
        <v>89</v>
      </c>
      <c r="B7" s="5" t="s">
        <v>90</v>
      </c>
      <c r="C7" s="13" t="n">
        <v>1763858</v>
      </c>
      <c r="D7" s="5" t="s">
        <v>91</v>
      </c>
      <c r="E7" s="5" t="s">
        <v>92</v>
      </c>
      <c r="F7" s="5" t="s">
        <v>93</v>
      </c>
      <c r="G7" s="5" t="s">
        <v>77</v>
      </c>
      <c r="H7" s="14" t="n">
        <v>3</v>
      </c>
      <c r="I7" s="14" t="n">
        <v>3</v>
      </c>
      <c r="J7" s="15" t="n">
        <f aca="false">H7*I7</f>
        <v>9</v>
      </c>
      <c r="K7" s="5" t="s">
        <v>78</v>
      </c>
      <c r="L7" s="5" t="s">
        <v>79</v>
      </c>
      <c r="M7" s="5" t="s">
        <v>94</v>
      </c>
      <c r="N7" s="16" t="n">
        <f aca="false">C7/Materialidade!$B$21</f>
        <v>4.35991687806798</v>
      </c>
      <c r="O7" s="5" t="s">
        <v>81</v>
      </c>
    </row>
    <row r="8" customFormat="false" ht="32.8" hidden="false" customHeight="false" outlineLevel="0" collapsed="false">
      <c r="A8" s="5" t="s">
        <v>95</v>
      </c>
      <c r="B8" s="5" t="s">
        <v>96</v>
      </c>
      <c r="C8" s="13" t="n">
        <v>44367780</v>
      </c>
      <c r="D8" s="5" t="s">
        <v>97</v>
      </c>
      <c r="E8" s="5" t="s">
        <v>98</v>
      </c>
      <c r="F8" s="5" t="s">
        <v>99</v>
      </c>
      <c r="G8" s="5" t="s">
        <v>100</v>
      </c>
      <c r="H8" s="14" t="n">
        <v>2</v>
      </c>
      <c r="I8" s="14" t="n">
        <v>3</v>
      </c>
      <c r="J8" s="15" t="n">
        <f aca="false">H8*I8</f>
        <v>6</v>
      </c>
      <c r="K8" s="5" t="s">
        <v>101</v>
      </c>
      <c r="L8" s="5" t="s">
        <v>102</v>
      </c>
      <c r="M8" s="5" t="s">
        <v>103</v>
      </c>
      <c r="N8" s="16" t="n">
        <f aca="false">C8/Materialidade!$B$21</f>
        <v>109.668597395259</v>
      </c>
      <c r="O8" s="5" t="s">
        <v>81</v>
      </c>
    </row>
    <row r="9" customFormat="false" ht="22.35" hidden="false" customHeight="false" outlineLevel="0" collapsed="false">
      <c r="A9" s="5" t="s">
        <v>104</v>
      </c>
      <c r="B9" s="5" t="s">
        <v>105</v>
      </c>
      <c r="C9" s="13" t="n">
        <v>6377562</v>
      </c>
      <c r="D9" s="5" t="s">
        <v>106</v>
      </c>
      <c r="E9" s="5" t="s">
        <v>107</v>
      </c>
      <c r="F9" s="5" t="s">
        <v>108</v>
      </c>
      <c r="G9" s="5" t="s">
        <v>109</v>
      </c>
      <c r="H9" s="14" t="n">
        <v>2</v>
      </c>
      <c r="I9" s="14" t="n">
        <v>3</v>
      </c>
      <c r="J9" s="15" t="n">
        <f aca="false">H9*I9</f>
        <v>6</v>
      </c>
      <c r="K9" s="5" t="s">
        <v>101</v>
      </c>
      <c r="L9" s="5" t="s">
        <v>110</v>
      </c>
      <c r="M9" s="5" t="s">
        <v>111</v>
      </c>
      <c r="N9" s="16" t="n">
        <f aca="false">C9/Materialidade!$B$21</f>
        <v>15.7641035756421</v>
      </c>
      <c r="O9" s="5" t="s">
        <v>81</v>
      </c>
    </row>
    <row r="10" customFormat="false" ht="32.8" hidden="false" customHeight="false" outlineLevel="0" collapsed="false">
      <c r="A10" s="5" t="s">
        <v>112</v>
      </c>
      <c r="B10" s="5" t="s">
        <v>113</v>
      </c>
      <c r="C10" s="13" t="n">
        <v>29055727</v>
      </c>
      <c r="D10" s="5" t="s">
        <v>114</v>
      </c>
      <c r="E10" s="5" t="s">
        <v>115</v>
      </c>
      <c r="F10" s="5" t="s">
        <v>116</v>
      </c>
      <c r="G10" s="5" t="s">
        <v>117</v>
      </c>
      <c r="H10" s="14" t="n">
        <v>2</v>
      </c>
      <c r="I10" s="14" t="n">
        <v>3</v>
      </c>
      <c r="J10" s="15" t="n">
        <f aca="false">H10*I10</f>
        <v>6</v>
      </c>
      <c r="K10" s="5" t="s">
        <v>101</v>
      </c>
      <c r="L10" s="5" t="s">
        <v>110</v>
      </c>
      <c r="M10" s="5" t="s">
        <v>118</v>
      </c>
      <c r="N10" s="16" t="n">
        <f aca="false">C10/Materialidade!$B$21</f>
        <v>71.8201547697351</v>
      </c>
      <c r="O10" s="5" t="s">
        <v>81</v>
      </c>
    </row>
    <row r="11" customFormat="false" ht="22.35" hidden="false" customHeight="false" outlineLevel="0" collapsed="false">
      <c r="A11" s="5" t="s">
        <v>119</v>
      </c>
      <c r="B11" s="5" t="s">
        <v>120</v>
      </c>
      <c r="C11" s="13" t="n">
        <v>1740903</v>
      </c>
      <c r="D11" s="5" t="s">
        <v>121</v>
      </c>
      <c r="E11" s="5" t="s">
        <v>122</v>
      </c>
      <c r="F11" s="5" t="s">
        <v>123</v>
      </c>
      <c r="G11" s="5" t="s">
        <v>124</v>
      </c>
      <c r="H11" s="14" t="n">
        <v>2</v>
      </c>
      <c r="I11" s="14" t="n">
        <v>3</v>
      </c>
      <c r="J11" s="15" t="n">
        <f aca="false">H11*I11</f>
        <v>6</v>
      </c>
      <c r="K11" s="5" t="s">
        <v>101</v>
      </c>
      <c r="L11" s="5" t="s">
        <v>110</v>
      </c>
      <c r="M11" s="5" t="s">
        <v>125</v>
      </c>
      <c r="N11" s="16" t="n">
        <f aca="false">C11/Materialidade!$B$21</f>
        <v>4.30317654413177</v>
      </c>
      <c r="O11" s="5" t="s">
        <v>81</v>
      </c>
    </row>
    <row r="12" customFormat="false" ht="22.35" hidden="false" customHeight="false" outlineLevel="0" collapsed="false">
      <c r="A12" s="5" t="s">
        <v>126</v>
      </c>
      <c r="B12" s="5" t="s">
        <v>127</v>
      </c>
      <c r="C12" s="13" t="n">
        <v>595863</v>
      </c>
      <c r="D12" s="5" t="s">
        <v>128</v>
      </c>
      <c r="E12" s="5" t="s">
        <v>129</v>
      </c>
      <c r="F12" s="5" t="s">
        <v>130</v>
      </c>
      <c r="G12" s="5" t="s">
        <v>131</v>
      </c>
      <c r="H12" s="14" t="n">
        <v>2</v>
      </c>
      <c r="I12" s="14" t="n">
        <v>2</v>
      </c>
      <c r="J12" s="15" t="n">
        <f aca="false">H12*I12</f>
        <v>4</v>
      </c>
      <c r="K12" s="5" t="s">
        <v>101</v>
      </c>
      <c r="L12" s="5" t="s">
        <v>110</v>
      </c>
      <c r="M12" s="5" t="s">
        <v>132</v>
      </c>
      <c r="N12" s="16" t="n">
        <f aca="false">C12/Materialidade!$B$21</f>
        <v>1.4728584447933</v>
      </c>
      <c r="O12" s="5" t="s">
        <v>81</v>
      </c>
    </row>
    <row r="13" customFormat="false" ht="22.35" hidden="false" customHeight="false" outlineLevel="0" collapsed="false">
      <c r="A13" s="5" t="s">
        <v>133</v>
      </c>
      <c r="B13" s="5" t="s">
        <v>134</v>
      </c>
      <c r="C13" s="13" t="n">
        <v>2402307</v>
      </c>
      <c r="D13" s="5" t="s">
        <v>135</v>
      </c>
      <c r="E13" s="5" t="s">
        <v>136</v>
      </c>
      <c r="F13" s="5" t="s">
        <v>137</v>
      </c>
      <c r="G13" s="5" t="s">
        <v>138</v>
      </c>
      <c r="H13" s="14" t="n">
        <v>2</v>
      </c>
      <c r="I13" s="14" t="n">
        <v>3</v>
      </c>
      <c r="J13" s="15" t="n">
        <f aca="false">H13*I13</f>
        <v>6</v>
      </c>
      <c r="K13" s="5" t="s">
        <v>101</v>
      </c>
      <c r="L13" s="5" t="s">
        <v>110</v>
      </c>
      <c r="M13" s="5" t="s">
        <v>139</v>
      </c>
      <c r="N13" s="16" t="n">
        <f aca="false">C13/Materialidade!$B$21</f>
        <v>5.93803970365009</v>
      </c>
      <c r="O13" s="5" t="s">
        <v>81</v>
      </c>
    </row>
    <row r="14" customFormat="false" ht="22.35" hidden="false" customHeight="false" outlineLevel="0" collapsed="false">
      <c r="A14" s="5" t="s">
        <v>140</v>
      </c>
      <c r="B14" s="5" t="s">
        <v>141</v>
      </c>
      <c r="C14" s="13" t="n">
        <v>16268718</v>
      </c>
      <c r="D14" s="5" t="s">
        <v>142</v>
      </c>
      <c r="E14" s="5" t="s">
        <v>143</v>
      </c>
      <c r="F14" s="5" t="s">
        <v>144</v>
      </c>
      <c r="G14" s="5" t="s">
        <v>145</v>
      </c>
      <c r="H14" s="14" t="n">
        <v>2</v>
      </c>
      <c r="I14" s="14" t="n">
        <v>2</v>
      </c>
      <c r="J14" s="15" t="n">
        <f aca="false">H14*I14</f>
        <v>4</v>
      </c>
      <c r="K14" s="5" t="s">
        <v>101</v>
      </c>
      <c r="L14" s="5" t="s">
        <v>110</v>
      </c>
      <c r="M14" s="5" t="s">
        <v>146</v>
      </c>
      <c r="N14" s="16" t="n">
        <f aca="false">C14/Materialidade!$B$21</f>
        <v>40.2131340463508</v>
      </c>
      <c r="O14" s="5" t="s">
        <v>81</v>
      </c>
    </row>
    <row r="15" customFormat="false" ht="22.35" hidden="false" customHeight="false" outlineLevel="0" collapsed="false">
      <c r="A15" s="5" t="s">
        <v>147</v>
      </c>
      <c r="B15" s="5" t="s">
        <v>148</v>
      </c>
      <c r="C15" s="13" t="n">
        <v>2229320</v>
      </c>
      <c r="D15" s="5" t="s">
        <v>149</v>
      </c>
      <c r="E15" s="5" t="s">
        <v>150</v>
      </c>
      <c r="F15" s="5" t="s">
        <v>151</v>
      </c>
      <c r="G15" s="5" t="s">
        <v>152</v>
      </c>
      <c r="H15" s="14" t="n">
        <v>1</v>
      </c>
      <c r="I15" s="14" t="n">
        <v>2</v>
      </c>
      <c r="J15" s="15" t="n">
        <f aca="false">H15*I15</f>
        <v>2</v>
      </c>
      <c r="K15" s="5" t="s">
        <v>153</v>
      </c>
      <c r="L15" s="5" t="s">
        <v>110</v>
      </c>
      <c r="M15" s="5" t="s">
        <v>154</v>
      </c>
      <c r="N15" s="16" t="n">
        <f aca="false">C15/Materialidade!$B$21</f>
        <v>5.51044919410434</v>
      </c>
      <c r="O15" s="5" t="s">
        <v>81</v>
      </c>
    </row>
    <row r="16" customFormat="false" ht="22.35" hidden="false" customHeight="false" outlineLevel="0" collapsed="false">
      <c r="A16" s="5" t="s">
        <v>155</v>
      </c>
      <c r="B16" s="5" t="s">
        <v>156</v>
      </c>
      <c r="C16" s="13" t="n">
        <v>236566</v>
      </c>
      <c r="D16" s="5" t="s">
        <v>16</v>
      </c>
      <c r="E16" s="5" t="s">
        <v>157</v>
      </c>
      <c r="F16" s="5" t="s">
        <v>158</v>
      </c>
      <c r="G16" s="5" t="s">
        <v>152</v>
      </c>
      <c r="H16" s="14" t="n">
        <v>1</v>
      </c>
      <c r="I16" s="14" t="n">
        <v>1</v>
      </c>
      <c r="J16" s="15" t="n">
        <f aca="false">H16*I16</f>
        <v>1</v>
      </c>
      <c r="K16" s="5" t="s">
        <v>153</v>
      </c>
      <c r="L16" s="5" t="s">
        <v>110</v>
      </c>
      <c r="M16" s="5" t="s">
        <v>159</v>
      </c>
      <c r="N16" s="16" t="n">
        <f aca="false">C16/Materialidade!$B$21</f>
        <v>0.584745538573416</v>
      </c>
      <c r="O16" s="5" t="s">
        <v>81</v>
      </c>
    </row>
    <row r="17" customFormat="false" ht="22.35" hidden="false" customHeight="false" outlineLevel="0" collapsed="false">
      <c r="A17" s="5" t="s">
        <v>160</v>
      </c>
      <c r="B17" s="5" t="s">
        <v>161</v>
      </c>
      <c r="C17" s="13" t="n">
        <v>4412650</v>
      </c>
      <c r="D17" s="5" t="s">
        <v>162</v>
      </c>
      <c r="E17" s="5" t="s">
        <v>163</v>
      </c>
      <c r="F17" s="5" t="s">
        <v>164</v>
      </c>
      <c r="G17" s="5" t="s">
        <v>165</v>
      </c>
      <c r="H17" s="14" t="n">
        <v>2</v>
      </c>
      <c r="I17" s="14" t="n">
        <v>3</v>
      </c>
      <c r="J17" s="15" t="n">
        <f aca="false">H17*I17</f>
        <v>6</v>
      </c>
      <c r="K17" s="5" t="s">
        <v>101</v>
      </c>
      <c r="L17" s="5" t="s">
        <v>110</v>
      </c>
      <c r="M17" s="5" t="s">
        <v>166</v>
      </c>
      <c r="N17" s="16" t="n">
        <f aca="false">C17/Materialidade!$B$21</f>
        <v>10.9072199757615</v>
      </c>
      <c r="O17" s="5" t="s">
        <v>81</v>
      </c>
    </row>
    <row r="18" customFormat="false" ht="32.8" hidden="false" customHeight="false" outlineLevel="0" collapsed="false">
      <c r="A18" s="5" t="s">
        <v>167</v>
      </c>
      <c r="B18" s="5" t="s">
        <v>168</v>
      </c>
      <c r="C18" s="13" t="n">
        <v>81099930</v>
      </c>
      <c r="D18" s="5" t="s">
        <v>169</v>
      </c>
      <c r="E18" s="5" t="s">
        <v>170</v>
      </c>
      <c r="F18" s="5" t="s">
        <v>171</v>
      </c>
      <c r="G18" s="5" t="s">
        <v>172</v>
      </c>
      <c r="H18" s="14" t="n">
        <v>2</v>
      </c>
      <c r="I18" s="14" t="n">
        <v>3</v>
      </c>
      <c r="J18" s="15" t="n">
        <f aca="false">H18*I18</f>
        <v>6</v>
      </c>
      <c r="K18" s="5" t="s">
        <v>101</v>
      </c>
      <c r="L18" s="5" t="s">
        <v>110</v>
      </c>
      <c r="M18" s="5" t="s">
        <v>173</v>
      </c>
      <c r="N18" s="16" t="n">
        <f aca="false">C18/Materialidade!$B$21</f>
        <v>200.463389693009</v>
      </c>
      <c r="O18" s="5" t="s">
        <v>81</v>
      </c>
    </row>
    <row r="19" customFormat="false" ht="22.35" hidden="false" customHeight="false" outlineLevel="0" collapsed="false">
      <c r="A19" s="5" t="s">
        <v>174</v>
      </c>
      <c r="B19" s="5" t="s">
        <v>175</v>
      </c>
      <c r="C19" s="13" t="s">
        <v>152</v>
      </c>
      <c r="D19" s="5" t="s">
        <v>176</v>
      </c>
      <c r="E19" s="5" t="s">
        <v>177</v>
      </c>
      <c r="F19" s="5" t="s">
        <v>178</v>
      </c>
      <c r="G19" s="5" t="s">
        <v>172</v>
      </c>
      <c r="H19" s="14" t="n">
        <v>2</v>
      </c>
      <c r="I19" s="14" t="n">
        <v>3</v>
      </c>
      <c r="J19" s="15" t="n">
        <f aca="false">H19*I19</f>
        <v>6</v>
      </c>
      <c r="K19" s="5" t="s">
        <v>101</v>
      </c>
      <c r="L19" s="5" t="s">
        <v>110</v>
      </c>
      <c r="M19" s="5" t="s">
        <v>179</v>
      </c>
      <c r="N19" s="16" t="s">
        <v>152</v>
      </c>
      <c r="O19" s="5" t="s">
        <v>81</v>
      </c>
    </row>
    <row r="20" customFormat="false" ht="22.35" hidden="false" customHeight="false" outlineLevel="0" collapsed="false">
      <c r="A20" s="5" t="s">
        <v>180</v>
      </c>
      <c r="B20" s="5" t="s">
        <v>181</v>
      </c>
      <c r="C20" s="13" t="s">
        <v>152</v>
      </c>
      <c r="D20" s="5" t="s">
        <v>182</v>
      </c>
      <c r="E20" s="5" t="s">
        <v>183</v>
      </c>
      <c r="F20" s="5" t="s">
        <v>184</v>
      </c>
      <c r="G20" s="5" t="s">
        <v>165</v>
      </c>
      <c r="H20" s="14" t="n">
        <v>2</v>
      </c>
      <c r="I20" s="14" t="n">
        <v>3</v>
      </c>
      <c r="J20" s="15" t="n">
        <f aca="false">H20*I20</f>
        <v>6</v>
      </c>
      <c r="K20" s="5" t="s">
        <v>78</v>
      </c>
      <c r="L20" s="5" t="s">
        <v>79</v>
      </c>
      <c r="M20" s="5" t="s">
        <v>185</v>
      </c>
      <c r="N20" s="16" t="s">
        <v>152</v>
      </c>
      <c r="O20" s="5" t="s">
        <v>81</v>
      </c>
    </row>
    <row r="21" customFormat="false" ht="22.35" hidden="false" customHeight="false" outlineLevel="0" collapsed="false">
      <c r="A21" s="5" t="s">
        <v>186</v>
      </c>
      <c r="B21" s="5" t="s">
        <v>187</v>
      </c>
      <c r="C21" s="13"/>
      <c r="D21" s="5" t="s">
        <v>188</v>
      </c>
      <c r="E21" s="5" t="s">
        <v>189</v>
      </c>
      <c r="F21" s="5" t="s">
        <v>190</v>
      </c>
      <c r="G21" s="5" t="s">
        <v>191</v>
      </c>
      <c r="H21" s="14" t="n">
        <v>1</v>
      </c>
      <c r="I21" s="14" t="n">
        <v>3</v>
      </c>
      <c r="J21" s="15" t="n">
        <f aca="false">H21*I21</f>
        <v>3</v>
      </c>
      <c r="K21" s="5" t="s">
        <v>153</v>
      </c>
      <c r="L21" s="5" t="s">
        <v>110</v>
      </c>
      <c r="M21" s="5" t="s">
        <v>192</v>
      </c>
      <c r="N21" s="16" t="s">
        <v>152</v>
      </c>
      <c r="O21" s="5" t="s">
        <v>81</v>
      </c>
    </row>
    <row r="22" customFormat="false" ht="22.35" hidden="false" customHeight="false" outlineLevel="0" collapsed="false">
      <c r="A22" s="5" t="s">
        <v>193</v>
      </c>
      <c r="B22" s="5" t="s">
        <v>194</v>
      </c>
      <c r="C22" s="13"/>
      <c r="D22" s="5" t="s">
        <v>195</v>
      </c>
      <c r="E22" s="5" t="s">
        <v>196</v>
      </c>
      <c r="F22" s="5" t="s">
        <v>197</v>
      </c>
      <c r="G22" s="5" t="s">
        <v>198</v>
      </c>
      <c r="H22" s="14" t="n">
        <v>2</v>
      </c>
      <c r="I22" s="14" t="n">
        <v>3</v>
      </c>
      <c r="J22" s="15" t="n">
        <f aca="false">H22*I22</f>
        <v>6</v>
      </c>
      <c r="K22" s="5" t="s">
        <v>101</v>
      </c>
      <c r="L22" s="5" t="s">
        <v>199</v>
      </c>
      <c r="M22" s="5" t="s">
        <v>200</v>
      </c>
      <c r="N22" s="16" t="s">
        <v>152</v>
      </c>
      <c r="O22" s="5" t="s">
        <v>81</v>
      </c>
    </row>
    <row r="23" customFormat="false" ht="22.35" hidden="false" customHeight="false" outlineLevel="0" collapsed="false">
      <c r="A23" s="5" t="s">
        <v>201</v>
      </c>
      <c r="B23" s="5" t="s">
        <v>202</v>
      </c>
      <c r="C23" s="13"/>
      <c r="D23" s="5" t="s">
        <v>203</v>
      </c>
      <c r="E23" s="5" t="s">
        <v>204</v>
      </c>
      <c r="F23" s="5" t="s">
        <v>205</v>
      </c>
      <c r="G23" s="5" t="s">
        <v>117</v>
      </c>
      <c r="H23" s="14" t="n">
        <v>2</v>
      </c>
      <c r="I23" s="14" t="n">
        <v>3</v>
      </c>
      <c r="J23" s="15" t="n">
        <f aca="false">H23*I23</f>
        <v>6</v>
      </c>
      <c r="K23" s="5" t="s">
        <v>101</v>
      </c>
      <c r="L23" s="5" t="s">
        <v>110</v>
      </c>
      <c r="M23" s="5" t="s">
        <v>206</v>
      </c>
      <c r="N23" s="16" t="s">
        <v>152</v>
      </c>
      <c r="O23" s="5" t="s">
        <v>81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208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62</v>
      </c>
      <c r="B4" s="4" t="s">
        <v>209</v>
      </c>
      <c r="C4" s="4" t="s">
        <v>210</v>
      </c>
      <c r="D4" s="4" t="s">
        <v>211</v>
      </c>
      <c r="E4" s="4" t="s">
        <v>212</v>
      </c>
      <c r="F4" s="4" t="s">
        <v>213</v>
      </c>
      <c r="G4" s="4" t="s">
        <v>214</v>
      </c>
    </row>
    <row r="5" customFormat="false" ht="22.35" hidden="false" customHeight="false" outlineLevel="0" collapsed="false">
      <c r="A5" s="5" t="s">
        <v>72</v>
      </c>
      <c r="B5" s="5" t="s">
        <v>215</v>
      </c>
      <c r="C5" s="5" t="s">
        <v>216</v>
      </c>
      <c r="D5" s="5" t="s">
        <v>217</v>
      </c>
      <c r="E5" s="5" t="s">
        <v>218</v>
      </c>
      <c r="F5" s="5" t="s">
        <v>219</v>
      </c>
      <c r="G5" s="5" t="s">
        <v>220</v>
      </c>
    </row>
    <row r="6" customFormat="false" ht="22.35" hidden="false" customHeight="false" outlineLevel="0" collapsed="false">
      <c r="A6" s="5" t="s">
        <v>72</v>
      </c>
      <c r="B6" s="5" t="s">
        <v>221</v>
      </c>
      <c r="C6" s="5" t="s">
        <v>222</v>
      </c>
      <c r="D6" s="5" t="s">
        <v>217</v>
      </c>
      <c r="E6" s="5" t="s">
        <v>223</v>
      </c>
      <c r="F6" s="5" t="s">
        <v>224</v>
      </c>
      <c r="G6" s="5" t="s">
        <v>225</v>
      </c>
    </row>
    <row r="7" customFormat="false" ht="22.35" hidden="false" customHeight="false" outlineLevel="0" collapsed="false">
      <c r="A7" s="5" t="s">
        <v>72</v>
      </c>
      <c r="B7" s="5" t="s">
        <v>226</v>
      </c>
      <c r="C7" s="5" t="s">
        <v>227</v>
      </c>
      <c r="D7" s="5" t="s">
        <v>217</v>
      </c>
      <c r="E7" s="5" t="s">
        <v>228</v>
      </c>
      <c r="F7" s="5" t="s">
        <v>229</v>
      </c>
      <c r="G7" s="5" t="s">
        <v>230</v>
      </c>
    </row>
    <row r="8" customFormat="false" ht="22.35" hidden="false" customHeight="false" outlineLevel="0" collapsed="false">
      <c r="A8" s="5" t="s">
        <v>72</v>
      </c>
      <c r="B8" s="5" t="s">
        <v>231</v>
      </c>
      <c r="C8" s="5" t="s">
        <v>232</v>
      </c>
      <c r="D8" s="5" t="s">
        <v>217</v>
      </c>
      <c r="E8" s="5" t="s">
        <v>233</v>
      </c>
      <c r="F8" s="5" t="s">
        <v>234</v>
      </c>
      <c r="G8" s="5" t="s">
        <v>230</v>
      </c>
    </row>
    <row r="9" customFormat="false" ht="15" hidden="false" customHeight="false" outlineLevel="0" collapsed="false">
      <c r="A9" s="5" t="s">
        <v>82</v>
      </c>
      <c r="B9" s="5" t="s">
        <v>235</v>
      </c>
      <c r="C9" s="5" t="s">
        <v>236</v>
      </c>
      <c r="D9" s="5" t="s">
        <v>217</v>
      </c>
      <c r="E9" s="5" t="s">
        <v>237</v>
      </c>
      <c r="F9" s="5" t="s">
        <v>238</v>
      </c>
      <c r="G9" s="5" t="s">
        <v>230</v>
      </c>
    </row>
    <row r="10" customFormat="false" ht="15" hidden="false" customHeight="false" outlineLevel="0" collapsed="false">
      <c r="A10" s="5" t="s">
        <v>82</v>
      </c>
      <c r="B10" s="5" t="s">
        <v>239</v>
      </c>
      <c r="C10" s="5" t="s">
        <v>240</v>
      </c>
      <c r="D10" s="5" t="s">
        <v>217</v>
      </c>
      <c r="E10" s="5" t="s">
        <v>241</v>
      </c>
      <c r="F10" s="5" t="s">
        <v>242</v>
      </c>
      <c r="G10" s="5" t="s">
        <v>243</v>
      </c>
    </row>
    <row r="11" customFormat="false" ht="15" hidden="false" customHeight="false" outlineLevel="0" collapsed="false">
      <c r="A11" s="5" t="s">
        <v>89</v>
      </c>
      <c r="B11" s="5" t="s">
        <v>244</v>
      </c>
      <c r="C11" s="5" t="s">
        <v>216</v>
      </c>
      <c r="D11" s="5" t="s">
        <v>217</v>
      </c>
      <c r="E11" s="5" t="s">
        <v>245</v>
      </c>
      <c r="F11" s="5" t="s">
        <v>234</v>
      </c>
      <c r="G11" s="5" t="s">
        <v>230</v>
      </c>
    </row>
    <row r="12" customFormat="false" ht="22.35" hidden="false" customHeight="false" outlineLevel="0" collapsed="false">
      <c r="A12" s="5" t="s">
        <v>89</v>
      </c>
      <c r="B12" s="5" t="s">
        <v>246</v>
      </c>
      <c r="C12" s="5" t="s">
        <v>247</v>
      </c>
      <c r="D12" s="5" t="s">
        <v>248</v>
      </c>
      <c r="E12" s="5" t="s">
        <v>249</v>
      </c>
      <c r="F12" s="5" t="s">
        <v>234</v>
      </c>
      <c r="G12" s="5" t="s">
        <v>250</v>
      </c>
    </row>
    <row r="13" customFormat="false" ht="15" hidden="false" customHeight="false" outlineLevel="0" collapsed="false">
      <c r="A13" s="5" t="s">
        <v>89</v>
      </c>
      <c r="B13" s="5" t="s">
        <v>251</v>
      </c>
      <c r="C13" s="5" t="s">
        <v>252</v>
      </c>
      <c r="D13" s="5" t="s">
        <v>253</v>
      </c>
      <c r="E13" s="5" t="s">
        <v>254</v>
      </c>
      <c r="F13" s="5" t="s">
        <v>234</v>
      </c>
      <c r="G13" s="5" t="s">
        <v>255</v>
      </c>
    </row>
    <row r="14" customFormat="false" ht="22.35" hidden="false" customHeight="false" outlineLevel="0" collapsed="false">
      <c r="A14" s="5" t="s">
        <v>95</v>
      </c>
      <c r="B14" s="5" t="s">
        <v>256</v>
      </c>
      <c r="C14" s="5" t="s">
        <v>240</v>
      </c>
      <c r="D14" s="5" t="s">
        <v>217</v>
      </c>
      <c r="E14" s="5" t="s">
        <v>257</v>
      </c>
      <c r="F14" s="5" t="s">
        <v>242</v>
      </c>
      <c r="G14" s="5" t="s">
        <v>243</v>
      </c>
    </row>
    <row r="15" customFormat="false" ht="22.35" hidden="false" customHeight="false" outlineLevel="0" collapsed="false">
      <c r="A15" s="5" t="s">
        <v>95</v>
      </c>
      <c r="B15" s="5" t="s">
        <v>258</v>
      </c>
      <c r="C15" s="5" t="s">
        <v>236</v>
      </c>
      <c r="D15" s="5" t="s">
        <v>217</v>
      </c>
      <c r="E15" s="5" t="s">
        <v>249</v>
      </c>
      <c r="F15" s="5" t="s">
        <v>242</v>
      </c>
      <c r="G15" s="5" t="s">
        <v>243</v>
      </c>
    </row>
    <row r="16" customFormat="false" ht="15" hidden="false" customHeight="false" outlineLevel="0" collapsed="false">
      <c r="A16" s="5" t="s">
        <v>104</v>
      </c>
      <c r="B16" s="5" t="s">
        <v>259</v>
      </c>
      <c r="C16" s="5" t="s">
        <v>260</v>
      </c>
      <c r="D16" s="5" t="s">
        <v>217</v>
      </c>
      <c r="E16" s="5" t="s">
        <v>261</v>
      </c>
      <c r="F16" s="5" t="s">
        <v>262</v>
      </c>
      <c r="G16" s="5" t="s">
        <v>263</v>
      </c>
    </row>
    <row r="17" customFormat="false" ht="15" hidden="false" customHeight="false" outlineLevel="0" collapsed="false">
      <c r="A17" s="5" t="s">
        <v>104</v>
      </c>
      <c r="B17" s="5" t="s">
        <v>264</v>
      </c>
      <c r="C17" s="5" t="s">
        <v>236</v>
      </c>
      <c r="D17" s="5" t="s">
        <v>217</v>
      </c>
      <c r="E17" s="5" t="s">
        <v>245</v>
      </c>
      <c r="F17" s="5" t="s">
        <v>234</v>
      </c>
      <c r="G17" s="5" t="s">
        <v>230</v>
      </c>
    </row>
    <row r="18" customFormat="false" ht="22.35" hidden="false" customHeight="false" outlineLevel="0" collapsed="false">
      <c r="A18" s="5" t="s">
        <v>112</v>
      </c>
      <c r="B18" s="5" t="s">
        <v>265</v>
      </c>
      <c r="C18" s="5" t="s">
        <v>236</v>
      </c>
      <c r="D18" s="5" t="s">
        <v>217</v>
      </c>
      <c r="E18" s="5" t="s">
        <v>249</v>
      </c>
      <c r="F18" s="5" t="s">
        <v>242</v>
      </c>
      <c r="G18" s="5" t="s">
        <v>266</v>
      </c>
    </row>
    <row r="19" customFormat="false" ht="22.35" hidden="false" customHeight="false" outlineLevel="0" collapsed="false">
      <c r="A19" s="5" t="s">
        <v>112</v>
      </c>
      <c r="B19" s="5" t="s">
        <v>267</v>
      </c>
      <c r="C19" s="5" t="s">
        <v>236</v>
      </c>
      <c r="D19" s="5" t="s">
        <v>217</v>
      </c>
      <c r="E19" s="5" t="s">
        <v>268</v>
      </c>
      <c r="F19" s="5" t="s">
        <v>269</v>
      </c>
      <c r="G19" s="5" t="s">
        <v>270</v>
      </c>
    </row>
    <row r="20" customFormat="false" ht="15" hidden="false" customHeight="false" outlineLevel="0" collapsed="false">
      <c r="A20" s="5" t="s">
        <v>112</v>
      </c>
      <c r="B20" s="5" t="s">
        <v>271</v>
      </c>
      <c r="C20" s="5" t="s">
        <v>260</v>
      </c>
      <c r="D20" s="5" t="s">
        <v>217</v>
      </c>
      <c r="E20" s="5" t="s">
        <v>272</v>
      </c>
      <c r="F20" s="5" t="s">
        <v>273</v>
      </c>
      <c r="G20" s="5" t="s">
        <v>263</v>
      </c>
    </row>
    <row r="21" customFormat="false" ht="22.35" hidden="false" customHeight="false" outlineLevel="0" collapsed="false">
      <c r="A21" s="5" t="s">
        <v>119</v>
      </c>
      <c r="B21" s="5" t="s">
        <v>274</v>
      </c>
      <c r="C21" s="5" t="s">
        <v>236</v>
      </c>
      <c r="D21" s="5" t="s">
        <v>217</v>
      </c>
      <c r="E21" s="5" t="s">
        <v>275</v>
      </c>
      <c r="F21" s="5" t="s">
        <v>276</v>
      </c>
      <c r="G21" s="5" t="s">
        <v>277</v>
      </c>
    </row>
    <row r="22" customFormat="false" ht="22.35" hidden="false" customHeight="false" outlineLevel="0" collapsed="false">
      <c r="A22" s="5" t="s">
        <v>126</v>
      </c>
      <c r="B22" s="5" t="s">
        <v>278</v>
      </c>
      <c r="C22" s="5" t="s">
        <v>236</v>
      </c>
      <c r="D22" s="5" t="s">
        <v>217</v>
      </c>
      <c r="E22" s="5" t="s">
        <v>272</v>
      </c>
      <c r="F22" s="5" t="s">
        <v>279</v>
      </c>
      <c r="G22" s="5" t="s">
        <v>230</v>
      </c>
    </row>
    <row r="23" customFormat="false" ht="15" hidden="false" customHeight="false" outlineLevel="0" collapsed="false">
      <c r="A23" s="5" t="s">
        <v>133</v>
      </c>
      <c r="B23" s="5" t="s">
        <v>280</v>
      </c>
      <c r="C23" s="5" t="s">
        <v>240</v>
      </c>
      <c r="D23" s="5" t="s">
        <v>217</v>
      </c>
      <c r="E23" s="5" t="s">
        <v>245</v>
      </c>
      <c r="F23" s="5" t="s">
        <v>281</v>
      </c>
      <c r="G23" s="5" t="s">
        <v>243</v>
      </c>
    </row>
    <row r="24" customFormat="false" ht="15" hidden="false" customHeight="false" outlineLevel="0" collapsed="false">
      <c r="A24" s="5" t="s">
        <v>140</v>
      </c>
      <c r="B24" s="5" t="s">
        <v>282</v>
      </c>
      <c r="C24" s="5" t="s">
        <v>240</v>
      </c>
      <c r="D24" s="5" t="s">
        <v>217</v>
      </c>
      <c r="E24" s="5" t="s">
        <v>249</v>
      </c>
      <c r="F24" s="5" t="s">
        <v>242</v>
      </c>
      <c r="G24" s="5" t="s">
        <v>243</v>
      </c>
    </row>
    <row r="25" customFormat="false" ht="15" hidden="false" customHeight="false" outlineLevel="0" collapsed="false">
      <c r="A25" s="5" t="s">
        <v>140</v>
      </c>
      <c r="B25" s="5" t="s">
        <v>283</v>
      </c>
      <c r="C25" s="5" t="s">
        <v>236</v>
      </c>
      <c r="D25" s="5" t="s">
        <v>217</v>
      </c>
      <c r="E25" s="5" t="s">
        <v>284</v>
      </c>
      <c r="F25" s="5" t="s">
        <v>234</v>
      </c>
      <c r="G25" s="5" t="s">
        <v>285</v>
      </c>
    </row>
    <row r="26" customFormat="false" ht="15" hidden="false" customHeight="false" outlineLevel="0" collapsed="false">
      <c r="A26" s="5" t="s">
        <v>147</v>
      </c>
      <c r="B26" s="5" t="s">
        <v>286</v>
      </c>
      <c r="C26" s="5" t="s">
        <v>260</v>
      </c>
      <c r="D26" s="5" t="s">
        <v>217</v>
      </c>
      <c r="E26" s="5" t="s">
        <v>287</v>
      </c>
      <c r="F26" s="5" t="s">
        <v>273</v>
      </c>
      <c r="G26" s="5" t="s">
        <v>263</v>
      </c>
    </row>
    <row r="27" customFormat="false" ht="22.35" hidden="false" customHeight="false" outlineLevel="0" collapsed="false">
      <c r="A27" s="5" t="s">
        <v>147</v>
      </c>
      <c r="B27" s="5" t="s">
        <v>288</v>
      </c>
      <c r="C27" s="5" t="s">
        <v>236</v>
      </c>
      <c r="D27" s="5" t="s">
        <v>217</v>
      </c>
      <c r="E27" s="5" t="s">
        <v>249</v>
      </c>
      <c r="F27" s="5" t="s">
        <v>289</v>
      </c>
      <c r="G27" s="5" t="s">
        <v>220</v>
      </c>
    </row>
    <row r="28" customFormat="false" ht="15" hidden="false" customHeight="false" outlineLevel="0" collapsed="false">
      <c r="A28" s="5" t="s">
        <v>155</v>
      </c>
      <c r="B28" s="5" t="s">
        <v>290</v>
      </c>
      <c r="C28" s="5" t="s">
        <v>291</v>
      </c>
      <c r="D28" s="5" t="s">
        <v>217</v>
      </c>
      <c r="E28" s="5" t="s">
        <v>249</v>
      </c>
      <c r="F28" s="5" t="s">
        <v>292</v>
      </c>
      <c r="G28" s="5" t="s">
        <v>285</v>
      </c>
    </row>
    <row r="29" customFormat="false" ht="22.35" hidden="false" customHeight="false" outlineLevel="0" collapsed="false">
      <c r="A29" s="5" t="s">
        <v>160</v>
      </c>
      <c r="B29" s="5" t="s">
        <v>293</v>
      </c>
      <c r="C29" s="5" t="s">
        <v>236</v>
      </c>
      <c r="D29" s="5" t="s">
        <v>217</v>
      </c>
      <c r="E29" s="5" t="s">
        <v>294</v>
      </c>
      <c r="F29" s="5" t="s">
        <v>295</v>
      </c>
      <c r="G29" s="5" t="s">
        <v>296</v>
      </c>
    </row>
    <row r="30" customFormat="false" ht="22.35" hidden="false" customHeight="false" outlineLevel="0" collapsed="false">
      <c r="A30" s="5" t="s">
        <v>167</v>
      </c>
      <c r="B30" s="5" t="s">
        <v>297</v>
      </c>
      <c r="C30" s="5" t="s">
        <v>236</v>
      </c>
      <c r="D30" s="5" t="s">
        <v>217</v>
      </c>
      <c r="E30" s="5" t="s">
        <v>298</v>
      </c>
      <c r="F30" s="5" t="s">
        <v>299</v>
      </c>
      <c r="G30" s="5" t="s">
        <v>300</v>
      </c>
    </row>
    <row r="31" customFormat="false" ht="22.35" hidden="false" customHeight="false" outlineLevel="0" collapsed="false">
      <c r="A31" s="5" t="s">
        <v>174</v>
      </c>
      <c r="B31" s="5" t="s">
        <v>301</v>
      </c>
      <c r="C31" s="5" t="s">
        <v>302</v>
      </c>
      <c r="D31" s="5" t="s">
        <v>253</v>
      </c>
      <c r="E31" s="5" t="s">
        <v>303</v>
      </c>
      <c r="F31" s="5" t="s">
        <v>234</v>
      </c>
      <c r="G31" s="5" t="s">
        <v>304</v>
      </c>
    </row>
    <row r="32" customFormat="false" ht="22.35" hidden="false" customHeight="false" outlineLevel="0" collapsed="false">
      <c r="A32" s="5" t="s">
        <v>180</v>
      </c>
      <c r="B32" s="5" t="s">
        <v>305</v>
      </c>
      <c r="C32" s="5" t="s">
        <v>236</v>
      </c>
      <c r="D32" s="5" t="s">
        <v>217</v>
      </c>
      <c r="E32" s="5" t="s">
        <v>306</v>
      </c>
      <c r="F32" s="5" t="s">
        <v>307</v>
      </c>
      <c r="G32" s="5" t="s">
        <v>308</v>
      </c>
    </row>
    <row r="33" customFormat="false" ht="22.35" hidden="false" customHeight="false" outlineLevel="0" collapsed="false">
      <c r="A33" s="5" t="s">
        <v>180</v>
      </c>
      <c r="B33" s="5" t="s">
        <v>309</v>
      </c>
      <c r="C33" s="5" t="s">
        <v>236</v>
      </c>
      <c r="D33" s="5" t="s">
        <v>217</v>
      </c>
      <c r="E33" s="5" t="s">
        <v>310</v>
      </c>
      <c r="F33" s="5" t="s">
        <v>311</v>
      </c>
      <c r="G33" s="5" t="s">
        <v>312</v>
      </c>
    </row>
    <row r="34" customFormat="false" ht="22.35" hidden="false" customHeight="false" outlineLevel="0" collapsed="false">
      <c r="A34" s="5" t="s">
        <v>180</v>
      </c>
      <c r="B34" s="5" t="s">
        <v>313</v>
      </c>
      <c r="C34" s="5" t="s">
        <v>236</v>
      </c>
      <c r="D34" s="5" t="s">
        <v>217</v>
      </c>
      <c r="E34" s="5" t="s">
        <v>314</v>
      </c>
      <c r="F34" s="5" t="s">
        <v>281</v>
      </c>
      <c r="G34" s="5" t="s">
        <v>315</v>
      </c>
    </row>
    <row r="35" customFormat="false" ht="15" hidden="false" customHeight="false" outlineLevel="0" collapsed="false">
      <c r="A35" s="5" t="s">
        <v>186</v>
      </c>
      <c r="B35" s="5" t="s">
        <v>316</v>
      </c>
      <c r="C35" s="5" t="s">
        <v>291</v>
      </c>
      <c r="D35" s="5" t="s">
        <v>217</v>
      </c>
      <c r="E35" s="5" t="s">
        <v>317</v>
      </c>
      <c r="F35" s="5" t="s">
        <v>242</v>
      </c>
      <c r="G35" s="5" t="s">
        <v>270</v>
      </c>
    </row>
    <row r="36" customFormat="false" ht="22.35" hidden="false" customHeight="false" outlineLevel="0" collapsed="false">
      <c r="A36" s="5" t="s">
        <v>193</v>
      </c>
      <c r="B36" s="5" t="s">
        <v>318</v>
      </c>
      <c r="C36" s="5" t="s">
        <v>319</v>
      </c>
      <c r="D36" s="5" t="s">
        <v>217</v>
      </c>
      <c r="E36" s="5" t="s">
        <v>320</v>
      </c>
      <c r="F36" s="5" t="s">
        <v>242</v>
      </c>
      <c r="G36" s="5" t="s">
        <v>321</v>
      </c>
    </row>
    <row r="37" customFormat="false" ht="15" hidden="false" customHeight="false" outlineLevel="0" collapsed="false">
      <c r="A37" s="5" t="s">
        <v>201</v>
      </c>
      <c r="B37" s="5" t="s">
        <v>322</v>
      </c>
      <c r="C37" s="5" t="s">
        <v>236</v>
      </c>
      <c r="D37" s="5" t="s">
        <v>217</v>
      </c>
      <c r="E37" s="5" t="s">
        <v>323</v>
      </c>
      <c r="F37" s="5" t="s">
        <v>281</v>
      </c>
      <c r="G37" s="5" t="s">
        <v>324</v>
      </c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72"/>
    <col collapsed="false" customWidth="true" hidden="false" outlineLevel="0" max="7" min="7" style="0" width="5"/>
  </cols>
  <sheetData>
    <row r="1" customFormat="false" ht="1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326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327</v>
      </c>
      <c r="B4" s="4" t="s">
        <v>328</v>
      </c>
      <c r="C4" s="4" t="s">
        <v>329</v>
      </c>
      <c r="D4" s="4" t="s">
        <v>330</v>
      </c>
      <c r="E4" s="4" t="s">
        <v>331</v>
      </c>
      <c r="F4" s="4" t="s">
        <v>209</v>
      </c>
      <c r="G4" s="4" t="s">
        <v>332</v>
      </c>
    </row>
    <row r="5" customFormat="false" ht="22.35" hidden="false" customHeight="false" outlineLevel="0" collapsed="false">
      <c r="A5" s="5" t="s">
        <v>333</v>
      </c>
      <c r="B5" s="5" t="s">
        <v>334</v>
      </c>
      <c r="C5" s="5" t="s">
        <v>335</v>
      </c>
      <c r="D5" s="5" t="s">
        <v>336</v>
      </c>
      <c r="E5" s="5" t="s">
        <v>337</v>
      </c>
      <c r="F5" s="5" t="s">
        <v>338</v>
      </c>
      <c r="G5" s="5" t="n">
        <v>1</v>
      </c>
    </row>
    <row r="6" customFormat="false" ht="22.35" hidden="false" customHeight="false" outlineLevel="0" collapsed="false">
      <c r="A6" s="5" t="s">
        <v>333</v>
      </c>
      <c r="B6" s="5" t="s">
        <v>334</v>
      </c>
      <c r="C6" s="5" t="s">
        <v>335</v>
      </c>
      <c r="D6" s="5" t="s">
        <v>336</v>
      </c>
      <c r="E6" s="5" t="s">
        <v>337</v>
      </c>
      <c r="F6" s="5" t="s">
        <v>339</v>
      </c>
      <c r="G6" s="5" t="n">
        <v>2</v>
      </c>
    </row>
    <row r="7" customFormat="false" ht="22.35" hidden="false" customHeight="false" outlineLevel="0" collapsed="false">
      <c r="A7" s="5" t="s">
        <v>333</v>
      </c>
      <c r="B7" s="5" t="s">
        <v>334</v>
      </c>
      <c r="C7" s="5" t="s">
        <v>335</v>
      </c>
      <c r="D7" s="5" t="s">
        <v>336</v>
      </c>
      <c r="E7" s="5" t="s">
        <v>337</v>
      </c>
      <c r="F7" s="5" t="s">
        <v>340</v>
      </c>
      <c r="G7" s="5" t="n">
        <v>3</v>
      </c>
    </row>
    <row r="8" customFormat="false" ht="22.35" hidden="false" customHeight="false" outlineLevel="0" collapsed="false">
      <c r="A8" s="5" t="s">
        <v>333</v>
      </c>
      <c r="B8" s="5" t="s">
        <v>334</v>
      </c>
      <c r="C8" s="5" t="s">
        <v>335</v>
      </c>
      <c r="D8" s="5" t="s">
        <v>336</v>
      </c>
      <c r="E8" s="5" t="s">
        <v>337</v>
      </c>
      <c r="F8" s="5" t="s">
        <v>341</v>
      </c>
      <c r="G8" s="5" t="n">
        <v>4</v>
      </c>
    </row>
    <row r="9" customFormat="false" ht="22.35" hidden="false" customHeight="false" outlineLevel="0" collapsed="false">
      <c r="A9" s="5" t="s">
        <v>333</v>
      </c>
      <c r="B9" s="5" t="s">
        <v>334</v>
      </c>
      <c r="C9" s="5" t="s">
        <v>335</v>
      </c>
      <c r="D9" s="5" t="s">
        <v>336</v>
      </c>
      <c r="E9" s="5" t="s">
        <v>337</v>
      </c>
      <c r="F9" s="5" t="s">
        <v>342</v>
      </c>
      <c r="G9" s="5" t="n">
        <v>5</v>
      </c>
    </row>
    <row r="10" customFormat="false" ht="22.35" hidden="false" customHeight="false" outlineLevel="0" collapsed="false">
      <c r="A10" s="5" t="s">
        <v>343</v>
      </c>
      <c r="B10" s="5" t="s">
        <v>344</v>
      </c>
      <c r="C10" s="5" t="s">
        <v>147</v>
      </c>
      <c r="D10" s="5" t="s">
        <v>345</v>
      </c>
      <c r="E10" s="5" t="s">
        <v>346</v>
      </c>
      <c r="F10" s="5" t="s">
        <v>347</v>
      </c>
      <c r="G10" s="5" t="n">
        <v>1</v>
      </c>
    </row>
    <row r="11" customFormat="false" ht="22.35" hidden="false" customHeight="false" outlineLevel="0" collapsed="false">
      <c r="A11" s="5" t="s">
        <v>343</v>
      </c>
      <c r="B11" s="5" t="s">
        <v>344</v>
      </c>
      <c r="C11" s="5" t="s">
        <v>147</v>
      </c>
      <c r="D11" s="5" t="s">
        <v>345</v>
      </c>
      <c r="E11" s="5" t="s">
        <v>346</v>
      </c>
      <c r="F11" s="5" t="s">
        <v>348</v>
      </c>
      <c r="G11" s="5" t="n">
        <v>2</v>
      </c>
    </row>
    <row r="12" customFormat="false" ht="22.35" hidden="false" customHeight="false" outlineLevel="0" collapsed="false">
      <c r="A12" s="5" t="s">
        <v>343</v>
      </c>
      <c r="B12" s="5" t="s">
        <v>344</v>
      </c>
      <c r="C12" s="5" t="s">
        <v>147</v>
      </c>
      <c r="D12" s="5" t="s">
        <v>345</v>
      </c>
      <c r="E12" s="5" t="s">
        <v>346</v>
      </c>
      <c r="F12" s="5" t="s">
        <v>349</v>
      </c>
      <c r="G12" s="5" t="n">
        <v>3</v>
      </c>
    </row>
    <row r="13" customFormat="false" ht="22.35" hidden="false" customHeight="false" outlineLevel="0" collapsed="false">
      <c r="A13" s="5" t="s">
        <v>343</v>
      </c>
      <c r="B13" s="5" t="s">
        <v>344</v>
      </c>
      <c r="C13" s="5" t="s">
        <v>147</v>
      </c>
      <c r="D13" s="5" t="s">
        <v>345</v>
      </c>
      <c r="E13" s="5" t="s">
        <v>346</v>
      </c>
      <c r="F13" s="5" t="s">
        <v>350</v>
      </c>
      <c r="G13" s="5" t="n">
        <v>4</v>
      </c>
    </row>
    <row r="14" customFormat="false" ht="22.35" hidden="false" customHeight="false" outlineLevel="0" collapsed="false">
      <c r="A14" s="5" t="s">
        <v>351</v>
      </c>
      <c r="B14" s="5" t="s">
        <v>156</v>
      </c>
      <c r="C14" s="5" t="s">
        <v>155</v>
      </c>
      <c r="D14" s="5" t="s">
        <v>352</v>
      </c>
      <c r="E14" s="5" t="s">
        <v>353</v>
      </c>
      <c r="F14" s="5" t="s">
        <v>354</v>
      </c>
      <c r="G14" s="5" t="n">
        <v>1</v>
      </c>
    </row>
    <row r="15" customFormat="false" ht="22.35" hidden="false" customHeight="false" outlineLevel="0" collapsed="false">
      <c r="A15" s="5" t="s">
        <v>351</v>
      </c>
      <c r="B15" s="5" t="s">
        <v>156</v>
      </c>
      <c r="C15" s="5" t="s">
        <v>155</v>
      </c>
      <c r="D15" s="5" t="s">
        <v>352</v>
      </c>
      <c r="E15" s="5" t="s">
        <v>353</v>
      </c>
      <c r="F15" s="5" t="s">
        <v>355</v>
      </c>
      <c r="G15" s="5" t="n">
        <v>2</v>
      </c>
    </row>
    <row r="16" customFormat="false" ht="22.35" hidden="false" customHeight="false" outlineLevel="0" collapsed="false">
      <c r="A16" s="5" t="s">
        <v>351</v>
      </c>
      <c r="B16" s="5" t="s">
        <v>156</v>
      </c>
      <c r="C16" s="5" t="s">
        <v>155</v>
      </c>
      <c r="D16" s="5" t="s">
        <v>352</v>
      </c>
      <c r="E16" s="5" t="s">
        <v>353</v>
      </c>
      <c r="F16" s="5" t="s">
        <v>356</v>
      </c>
      <c r="G16" s="5" t="n">
        <v>3</v>
      </c>
    </row>
    <row r="17" customFormat="false" ht="32.8" hidden="false" customHeight="false" outlineLevel="0" collapsed="false">
      <c r="A17" s="5" t="s">
        <v>357</v>
      </c>
      <c r="B17" s="5" t="s">
        <v>358</v>
      </c>
      <c r="C17" s="5" t="s">
        <v>359</v>
      </c>
      <c r="D17" s="5" t="s">
        <v>360</v>
      </c>
      <c r="E17" s="5" t="s">
        <v>361</v>
      </c>
      <c r="F17" s="5" t="s">
        <v>362</v>
      </c>
      <c r="G17" s="5" t="n">
        <v>1</v>
      </c>
    </row>
    <row r="18" customFormat="false" ht="32.8" hidden="false" customHeight="false" outlineLevel="0" collapsed="false">
      <c r="A18" s="5" t="s">
        <v>357</v>
      </c>
      <c r="B18" s="5" t="s">
        <v>358</v>
      </c>
      <c r="C18" s="5" t="s">
        <v>359</v>
      </c>
      <c r="D18" s="5" t="s">
        <v>360</v>
      </c>
      <c r="E18" s="5" t="s">
        <v>361</v>
      </c>
      <c r="F18" s="5" t="s">
        <v>363</v>
      </c>
      <c r="G18" s="5" t="n">
        <v>2</v>
      </c>
    </row>
    <row r="19" customFormat="false" ht="32.8" hidden="false" customHeight="false" outlineLevel="0" collapsed="false">
      <c r="A19" s="5" t="s">
        <v>357</v>
      </c>
      <c r="B19" s="5" t="s">
        <v>358</v>
      </c>
      <c r="C19" s="5" t="s">
        <v>359</v>
      </c>
      <c r="D19" s="5" t="s">
        <v>360</v>
      </c>
      <c r="E19" s="5" t="s">
        <v>361</v>
      </c>
      <c r="F19" s="5" t="s">
        <v>364</v>
      </c>
      <c r="G19" s="5" t="n">
        <v>3</v>
      </c>
    </row>
    <row r="20" customFormat="false" ht="32.8" hidden="false" customHeight="false" outlineLevel="0" collapsed="false">
      <c r="A20" s="5" t="s">
        <v>357</v>
      </c>
      <c r="B20" s="5" t="s">
        <v>358</v>
      </c>
      <c r="C20" s="5" t="s">
        <v>359</v>
      </c>
      <c r="D20" s="5" t="s">
        <v>360</v>
      </c>
      <c r="E20" s="5" t="s">
        <v>361</v>
      </c>
      <c r="F20" s="5" t="s">
        <v>365</v>
      </c>
      <c r="G20" s="5" t="n">
        <v>4</v>
      </c>
    </row>
    <row r="21" customFormat="false" ht="32.8" hidden="false" customHeight="false" outlineLevel="0" collapsed="false">
      <c r="A21" s="5" t="s">
        <v>357</v>
      </c>
      <c r="B21" s="5" t="s">
        <v>358</v>
      </c>
      <c r="C21" s="5" t="s">
        <v>359</v>
      </c>
      <c r="D21" s="5" t="s">
        <v>360</v>
      </c>
      <c r="E21" s="5" t="s">
        <v>361</v>
      </c>
      <c r="F21" s="5" t="s">
        <v>366</v>
      </c>
      <c r="G21" s="5" t="n">
        <v>5</v>
      </c>
    </row>
    <row r="22" customFormat="false" ht="22.35" hidden="false" customHeight="false" outlineLevel="0" collapsed="false">
      <c r="A22" s="5" t="s">
        <v>367</v>
      </c>
      <c r="B22" s="5" t="s">
        <v>368</v>
      </c>
      <c r="C22" s="5" t="s">
        <v>369</v>
      </c>
      <c r="D22" s="5" t="s">
        <v>370</v>
      </c>
      <c r="E22" s="5" t="s">
        <v>371</v>
      </c>
      <c r="F22" s="5" t="s">
        <v>372</v>
      </c>
      <c r="G22" s="5" t="n">
        <v>1</v>
      </c>
    </row>
    <row r="23" customFormat="false" ht="22.35" hidden="false" customHeight="false" outlineLevel="0" collapsed="false">
      <c r="A23" s="5" t="s">
        <v>367</v>
      </c>
      <c r="B23" s="5" t="s">
        <v>368</v>
      </c>
      <c r="C23" s="5" t="s">
        <v>369</v>
      </c>
      <c r="D23" s="5" t="s">
        <v>370</v>
      </c>
      <c r="E23" s="5" t="s">
        <v>371</v>
      </c>
      <c r="F23" s="5" t="s">
        <v>373</v>
      </c>
      <c r="G23" s="5" t="n">
        <v>2</v>
      </c>
    </row>
    <row r="24" customFormat="false" ht="22.35" hidden="false" customHeight="false" outlineLevel="0" collapsed="false">
      <c r="A24" s="5" t="s">
        <v>367</v>
      </c>
      <c r="B24" s="5" t="s">
        <v>368</v>
      </c>
      <c r="C24" s="5" t="s">
        <v>369</v>
      </c>
      <c r="D24" s="5" t="s">
        <v>370</v>
      </c>
      <c r="E24" s="5" t="s">
        <v>371</v>
      </c>
      <c r="F24" s="5" t="s">
        <v>374</v>
      </c>
      <c r="G24" s="5" t="n">
        <v>3</v>
      </c>
    </row>
    <row r="25" customFormat="false" ht="22.35" hidden="false" customHeight="false" outlineLevel="0" collapsed="false">
      <c r="A25" s="5" t="s">
        <v>367</v>
      </c>
      <c r="B25" s="5" t="s">
        <v>368</v>
      </c>
      <c r="C25" s="5" t="s">
        <v>369</v>
      </c>
      <c r="D25" s="5" t="s">
        <v>370</v>
      </c>
      <c r="E25" s="5" t="s">
        <v>371</v>
      </c>
      <c r="F25" s="5" t="s">
        <v>375</v>
      </c>
      <c r="G25" s="5" t="n">
        <v>4</v>
      </c>
    </row>
    <row r="26" customFormat="false" ht="22.35" hidden="false" customHeight="false" outlineLevel="0" collapsed="false">
      <c r="A26" s="5" t="s">
        <v>367</v>
      </c>
      <c r="B26" s="5" t="s">
        <v>368</v>
      </c>
      <c r="C26" s="5" t="s">
        <v>369</v>
      </c>
      <c r="D26" s="5" t="s">
        <v>370</v>
      </c>
      <c r="E26" s="5" t="s">
        <v>371</v>
      </c>
      <c r="F26" s="5" t="s">
        <v>376</v>
      </c>
      <c r="G26" s="5" t="n">
        <v>5</v>
      </c>
    </row>
    <row r="27" customFormat="false" ht="22.35" hidden="false" customHeight="false" outlineLevel="0" collapsed="false">
      <c r="A27" s="5" t="s">
        <v>377</v>
      </c>
      <c r="B27" s="5" t="s">
        <v>378</v>
      </c>
      <c r="C27" s="5" t="s">
        <v>379</v>
      </c>
      <c r="D27" s="5" t="s">
        <v>380</v>
      </c>
      <c r="E27" s="5" t="s">
        <v>381</v>
      </c>
      <c r="F27" s="5" t="s">
        <v>382</v>
      </c>
      <c r="G27" s="5" t="n">
        <v>1</v>
      </c>
    </row>
    <row r="28" customFormat="false" ht="22.35" hidden="false" customHeight="false" outlineLevel="0" collapsed="false">
      <c r="A28" s="5" t="s">
        <v>377</v>
      </c>
      <c r="B28" s="5" t="s">
        <v>378</v>
      </c>
      <c r="C28" s="5" t="s">
        <v>379</v>
      </c>
      <c r="D28" s="5" t="s">
        <v>380</v>
      </c>
      <c r="E28" s="5" t="s">
        <v>381</v>
      </c>
      <c r="F28" s="5" t="s">
        <v>383</v>
      </c>
      <c r="G28" s="5" t="n">
        <v>2</v>
      </c>
    </row>
    <row r="29" customFormat="false" ht="22.35" hidden="false" customHeight="false" outlineLevel="0" collapsed="false">
      <c r="A29" s="5" t="s">
        <v>377</v>
      </c>
      <c r="B29" s="5" t="s">
        <v>378</v>
      </c>
      <c r="C29" s="5" t="s">
        <v>379</v>
      </c>
      <c r="D29" s="5" t="s">
        <v>380</v>
      </c>
      <c r="E29" s="5" t="s">
        <v>381</v>
      </c>
      <c r="F29" s="5" t="s">
        <v>384</v>
      </c>
      <c r="G29" s="5" t="n">
        <v>3</v>
      </c>
    </row>
    <row r="30" customFormat="false" ht="22.35" hidden="false" customHeight="false" outlineLevel="0" collapsed="false">
      <c r="A30" s="5" t="s">
        <v>377</v>
      </c>
      <c r="B30" s="5" t="s">
        <v>378</v>
      </c>
      <c r="C30" s="5" t="s">
        <v>379</v>
      </c>
      <c r="D30" s="5" t="s">
        <v>380</v>
      </c>
      <c r="E30" s="5" t="s">
        <v>381</v>
      </c>
      <c r="F30" s="5" t="s">
        <v>385</v>
      </c>
      <c r="G30" s="5" t="n">
        <v>4</v>
      </c>
    </row>
    <row r="31" customFormat="false" ht="22.35" hidden="false" customHeight="false" outlineLevel="0" collapsed="false">
      <c r="A31" s="5" t="s">
        <v>377</v>
      </c>
      <c r="B31" s="5" t="s">
        <v>378</v>
      </c>
      <c r="C31" s="5" t="s">
        <v>379</v>
      </c>
      <c r="D31" s="5" t="s">
        <v>380</v>
      </c>
      <c r="E31" s="5" t="s">
        <v>381</v>
      </c>
      <c r="F31" s="5" t="s">
        <v>386</v>
      </c>
      <c r="G31" s="5" t="n">
        <v>5</v>
      </c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388</v>
      </c>
      <c r="B3" s="3"/>
      <c r="C3" s="3"/>
      <c r="D3" s="3"/>
    </row>
    <row r="4" customFormat="false" ht="15" hidden="false" customHeight="false" outlineLevel="0" collapsed="false">
      <c r="A4" s="4" t="s">
        <v>389</v>
      </c>
      <c r="B4" s="4" t="s">
        <v>390</v>
      </c>
      <c r="C4" s="4" t="s">
        <v>60</v>
      </c>
      <c r="D4" s="4" t="s">
        <v>210</v>
      </c>
    </row>
    <row r="5" customFormat="false" ht="22.35" hidden="false" customHeight="false" outlineLevel="0" collapsed="false">
      <c r="A5" s="5" t="s">
        <v>391</v>
      </c>
      <c r="B5" s="5" t="s">
        <v>392</v>
      </c>
      <c r="C5" s="5" t="s">
        <v>393</v>
      </c>
      <c r="D5" s="5" t="s">
        <v>394</v>
      </c>
    </row>
    <row r="6" customFormat="false" ht="15" hidden="false" customHeight="false" outlineLevel="0" collapsed="false">
      <c r="A6" s="5" t="s">
        <v>391</v>
      </c>
      <c r="B6" s="5" t="s">
        <v>395</v>
      </c>
      <c r="C6" s="5" t="s">
        <v>396</v>
      </c>
      <c r="D6" s="5" t="s">
        <v>397</v>
      </c>
    </row>
    <row r="7" customFormat="false" ht="15" hidden="false" customHeight="false" outlineLevel="0" collapsed="false">
      <c r="A7" s="5" t="s">
        <v>398</v>
      </c>
      <c r="B7" s="5" t="s">
        <v>399</v>
      </c>
      <c r="C7" s="5" t="s">
        <v>400</v>
      </c>
      <c r="D7" s="5" t="s">
        <v>397</v>
      </c>
    </row>
    <row r="8" customFormat="false" ht="15" hidden="false" customHeight="false" outlineLevel="0" collapsed="false">
      <c r="A8" s="5" t="s">
        <v>398</v>
      </c>
      <c r="B8" s="5" t="s">
        <v>401</v>
      </c>
      <c r="C8" s="5" t="s">
        <v>402</v>
      </c>
      <c r="D8" s="5" t="s">
        <v>397</v>
      </c>
    </row>
    <row r="9" customFormat="false" ht="22.35" hidden="false" customHeight="false" outlineLevel="0" collapsed="false">
      <c r="A9" s="5" t="s">
        <v>398</v>
      </c>
      <c r="B9" s="5" t="s">
        <v>403</v>
      </c>
      <c r="C9" s="5" t="s">
        <v>404</v>
      </c>
      <c r="D9" s="5" t="s">
        <v>397</v>
      </c>
    </row>
    <row r="10" customFormat="false" ht="15" hidden="false" customHeight="false" outlineLevel="0" collapsed="false">
      <c r="A10" s="5" t="s">
        <v>405</v>
      </c>
      <c r="B10" s="5" t="s">
        <v>406</v>
      </c>
      <c r="C10" s="5" t="s">
        <v>152</v>
      </c>
      <c r="D10" s="5" t="s">
        <v>407</v>
      </c>
    </row>
    <row r="11" customFormat="false" ht="22.35" hidden="false" customHeight="false" outlineLevel="0" collapsed="false">
      <c r="A11" s="5" t="s">
        <v>408</v>
      </c>
      <c r="B11" s="5" t="s">
        <v>409</v>
      </c>
      <c r="C11" s="5" t="s">
        <v>410</v>
      </c>
      <c r="D11" s="5" t="s">
        <v>397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411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412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413</v>
      </c>
      <c r="B4" s="4" t="s">
        <v>414</v>
      </c>
      <c r="C4" s="4" t="s">
        <v>60</v>
      </c>
      <c r="D4" s="4" t="s">
        <v>415</v>
      </c>
      <c r="E4" s="4" t="s">
        <v>416</v>
      </c>
    </row>
    <row r="5" customFormat="false" ht="22.35" hidden="false" customHeight="false" outlineLevel="0" collapsed="false">
      <c r="A5" s="5" t="s">
        <v>417</v>
      </c>
      <c r="B5" s="5" t="s">
        <v>418</v>
      </c>
      <c r="C5" s="5" t="s">
        <v>419</v>
      </c>
      <c r="D5" s="5" t="s">
        <v>420</v>
      </c>
      <c r="E5" s="5" t="s">
        <v>421</v>
      </c>
    </row>
    <row r="6" customFormat="false" ht="15" hidden="false" customHeight="false" outlineLevel="0" collapsed="false">
      <c r="A6" s="5" t="s">
        <v>417</v>
      </c>
      <c r="B6" s="5" t="s">
        <v>422</v>
      </c>
      <c r="C6" s="5" t="s">
        <v>423</v>
      </c>
      <c r="D6" s="5" t="s">
        <v>424</v>
      </c>
      <c r="E6" s="5" t="s">
        <v>425</v>
      </c>
    </row>
    <row r="7" customFormat="false" ht="15" hidden="false" customHeight="false" outlineLevel="0" collapsed="false">
      <c r="A7" s="5" t="s">
        <v>417</v>
      </c>
      <c r="B7" s="5" t="s">
        <v>426</v>
      </c>
      <c r="C7" s="5" t="s">
        <v>427</v>
      </c>
      <c r="D7" s="5" t="s">
        <v>428</v>
      </c>
      <c r="E7" s="5" t="s">
        <v>429</v>
      </c>
    </row>
    <row r="8" customFormat="false" ht="22.35" hidden="false" customHeight="false" outlineLevel="0" collapsed="false">
      <c r="A8" s="5" t="s">
        <v>417</v>
      </c>
      <c r="B8" s="5" t="s">
        <v>430</v>
      </c>
      <c r="C8" s="5" t="s">
        <v>431</v>
      </c>
      <c r="D8" s="5" t="s">
        <v>432</v>
      </c>
      <c r="E8" s="5" t="s">
        <v>433</v>
      </c>
    </row>
    <row r="9" customFormat="false" ht="15" hidden="false" customHeight="false" outlineLevel="0" collapsed="false">
      <c r="A9" s="5" t="s">
        <v>417</v>
      </c>
      <c r="B9" s="5" t="s">
        <v>434</v>
      </c>
      <c r="C9" s="5" t="s">
        <v>435</v>
      </c>
      <c r="D9" s="5" t="s">
        <v>436</v>
      </c>
      <c r="E9" s="5" t="s">
        <v>437</v>
      </c>
    </row>
    <row r="10" customFormat="false" ht="15" hidden="false" customHeight="false" outlineLevel="0" collapsed="false">
      <c r="A10" s="5" t="s">
        <v>438</v>
      </c>
      <c r="B10" s="5" t="s">
        <v>439</v>
      </c>
      <c r="C10" s="5" t="s">
        <v>440</v>
      </c>
      <c r="D10" s="5" t="s">
        <v>441</v>
      </c>
      <c r="E10" s="5" t="s">
        <v>442</v>
      </c>
    </row>
    <row r="11" customFormat="false" ht="15" hidden="false" customHeight="false" outlineLevel="0" collapsed="false">
      <c r="A11" s="5" t="s">
        <v>438</v>
      </c>
      <c r="B11" s="5" t="s">
        <v>443</v>
      </c>
      <c r="C11" s="5" t="s">
        <v>444</v>
      </c>
      <c r="D11" s="5" t="s">
        <v>445</v>
      </c>
      <c r="E11" s="5" t="s">
        <v>446</v>
      </c>
    </row>
    <row r="12" customFormat="false" ht="22.35" hidden="false" customHeight="false" outlineLevel="0" collapsed="false">
      <c r="A12" s="5" t="s">
        <v>438</v>
      </c>
      <c r="B12" s="5" t="s">
        <v>447</v>
      </c>
      <c r="C12" s="5" t="s">
        <v>448</v>
      </c>
      <c r="D12" s="5" t="s">
        <v>449</v>
      </c>
      <c r="E12" s="5" t="s">
        <v>450</v>
      </c>
    </row>
    <row r="13" customFormat="false" ht="22.35" hidden="false" customHeight="false" outlineLevel="0" collapsed="false">
      <c r="A13" s="5" t="s">
        <v>438</v>
      </c>
      <c r="B13" s="5" t="s">
        <v>451</v>
      </c>
      <c r="C13" s="5" t="s">
        <v>452</v>
      </c>
      <c r="D13" s="5" t="s">
        <v>453</v>
      </c>
      <c r="E13" s="5" t="s">
        <v>454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1</v>
      </c>
    </row>
    <row r="3" customFormat="false" ht="48" hidden="false" customHeight="true" outlineLevel="0" collapsed="false">
      <c r="A3" s="3" t="s">
        <v>456</v>
      </c>
      <c r="B3" s="3"/>
      <c r="C3" s="3"/>
      <c r="D3" s="3"/>
    </row>
    <row r="4" customFormat="false" ht="15" hidden="false" customHeight="false" outlineLevel="0" collapsed="false">
      <c r="A4" s="4" t="s">
        <v>457</v>
      </c>
      <c r="B4" s="4" t="s">
        <v>458</v>
      </c>
      <c r="C4" s="4" t="s">
        <v>459</v>
      </c>
      <c r="D4" s="4" t="s">
        <v>460</v>
      </c>
    </row>
    <row r="5" customFormat="false" ht="15" hidden="false" customHeight="false" outlineLevel="0" collapsed="false">
      <c r="A5" s="5" t="s">
        <v>461</v>
      </c>
      <c r="B5" s="5" t="s">
        <v>462</v>
      </c>
      <c r="C5" s="5" t="s">
        <v>463</v>
      </c>
      <c r="D5" s="5" t="s">
        <v>464</v>
      </c>
    </row>
    <row r="6" customFormat="false" ht="15" hidden="false" customHeight="false" outlineLevel="0" collapsed="false">
      <c r="A6" s="5" t="s">
        <v>465</v>
      </c>
      <c r="B6" s="5" t="s">
        <v>466</v>
      </c>
      <c r="C6" s="5" t="s">
        <v>467</v>
      </c>
      <c r="D6" s="5" t="s">
        <v>468</v>
      </c>
    </row>
    <row r="7" customFormat="false" ht="15" hidden="false" customHeight="false" outlineLevel="0" collapsed="false">
      <c r="A7" s="5" t="s">
        <v>469</v>
      </c>
      <c r="B7" s="5" t="s">
        <v>466</v>
      </c>
      <c r="C7" s="5" t="s">
        <v>470</v>
      </c>
      <c r="D7" s="5" t="s">
        <v>471</v>
      </c>
    </row>
    <row r="8" customFormat="false" ht="15" hidden="false" customHeight="false" outlineLevel="0" collapsed="false">
      <c r="A8" s="5" t="s">
        <v>472</v>
      </c>
      <c r="B8" s="5" t="s">
        <v>473</v>
      </c>
      <c r="C8" s="5" t="s">
        <v>474</v>
      </c>
      <c r="D8" s="5" t="s">
        <v>475</v>
      </c>
    </row>
    <row r="9" customFormat="false" ht="15" hidden="false" customHeight="false" outlineLevel="0" collapsed="false">
      <c r="A9" s="5" t="s">
        <v>476</v>
      </c>
      <c r="B9" s="5" t="s">
        <v>473</v>
      </c>
      <c r="C9" s="5" t="s">
        <v>477</v>
      </c>
      <c r="D9" s="5" t="s">
        <v>478</v>
      </c>
    </row>
    <row r="10" customFormat="false" ht="15" hidden="false" customHeight="false" outlineLevel="0" collapsed="false">
      <c r="A10" s="5" t="s">
        <v>479</v>
      </c>
      <c r="B10" s="5" t="s">
        <v>480</v>
      </c>
      <c r="C10" s="5" t="s">
        <v>481</v>
      </c>
      <c r="D10" s="5" t="s">
        <v>482</v>
      </c>
    </row>
    <row r="11" customFormat="false" ht="15" hidden="false" customHeight="false" outlineLevel="0" collapsed="false">
      <c r="A11" s="5" t="s">
        <v>483</v>
      </c>
      <c r="B11" s="5" t="s">
        <v>480</v>
      </c>
      <c r="C11" s="5" t="s">
        <v>484</v>
      </c>
      <c r="D11" s="5" t="s">
        <v>485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2026-10-23T01:26:11Z</dcterms:created>
  <dc:creator>openpyxl</dc:creator>
  <dc:description/>
  <dc:language>en-US</dc:language>
  <cp:lastModifiedBy/>
  <dcterms:modified xsi:type="dcterms:W3CDTF">2026-10-23T01:26:11Z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