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265_Matriz" sheetId="1" state="visible" r:id="rId3"/>
    <sheet name="PT450_Consolidado" sheetId="2" state="visible" r:id="rId4"/>
    <sheet name="PT500_Matriz" sheetId="3" state="visible" r:id="rId5"/>
    <sheet name="PT260_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<sst xmlns="http://schemas.openxmlformats.org/spreadsheetml/2006/main" count="330" uniqueCount="265">
  <si>
    <t xml:space="preserve">PT 265 — Matriz de deficiências de controle (condição, critério, causa, efeito, recomendação, evidência)</t>
  </si>
  <si>
    <t xml:space="preserve">Categorias: R = real, sustentada por evidência pública; H = hipótese dependente de acesso; S = exclusivamente sintética (base simulada); X = erro de extração/arredondamento do preparador (não é da companhia).</t>
  </si>
  <si>
    <t xml:space="preserve">Ref.</t>
  </si>
  <si>
    <t xml:space="preserve">Cat.</t>
  </si>
  <si>
    <t xml:space="preserve">Condição</t>
  </si>
  <si>
    <t xml:space="preserve">Critério</t>
  </si>
  <si>
    <t xml:space="preserve">Causa (provável)</t>
  </si>
  <si>
    <t xml:space="preserve">Efeito</t>
  </si>
  <si>
    <t xml:space="preserve">Recomendação</t>
  </si>
  <si>
    <t xml:space="preserve">Evidência / fonte</t>
  </si>
  <si>
    <t xml:space="preserve">Avaliação de significância (item 8)</t>
  </si>
  <si>
    <t xml:space="preserve">DC-01</t>
  </si>
  <si>
    <t xml:space="preserve">S</t>
  </si>
  <si>
    <t xml:space="preserve">Base sintética: 1.000 bens duplicados, 1.000 baixados com valor, 2.000 valores divergentes do recálculo e 996 categorias incoerentes</t>
  </si>
  <si>
    <t xml:space="preserve">Cadastro deve refletir bens existentes, ativos e corretamente classificados (CPC 47/ICPC 01; MCSE)</t>
  </si>
  <si>
    <t xml:space="preserve">Simulada pelo desenho do exercício</t>
  </si>
  <si>
    <t xml:space="preserve">Superavaliação líquida simulada de R$ 117,5 mi (38,7% da execução)</t>
  </si>
  <si>
    <t xml:space="preserve">Na vida real: controles de unitização, baixa tempestiva e chave única por bem; conciliação cadastro × razão</t>
  </si>
  <si>
    <t xml:space="preserve">PT 530 e PT 450; CPFL_B08_Amostragem_Testes_Distorcoes.xlsx</t>
  </si>
  <si>
    <t xml:space="preserve">Seria significativa em ambiente real (volume e reincidência). NÃO é deficiência da CPFL: resultado só da simulação</t>
  </si>
  <si>
    <t xml:space="preserve">DC-02</t>
  </si>
  <si>
    <t xml:space="preserve">H</t>
  </si>
  <si>
    <t xml:space="preserve">Diferença de +R$ 150 mi no VNR 2025 da CPFL Paulista sem explicação pública (+12,2% no consolidado)</t>
  </si>
  <si>
    <t xml:space="preserve">Estimativa deve seguir método e premissas consistentes (CPC 46; nota 4)</t>
  </si>
  <si>
    <t xml:space="preserve">Desconhecida: possíveis ajustes de base, índices ou falha de controle sobre o cálculo</t>
  </si>
  <si>
    <t xml:space="preserve">Possível superavaliação de ativo e receita; ou explicação legítima</t>
  </si>
  <si>
    <t xml:space="preserve">Indagar e obter o cálculo; testar controles de revisão do VNR</t>
  </si>
  <si>
    <t xml:space="preserve">PT 520 e PT 540; DFs individuais notas 11; DF25 nota 26.2</t>
  </si>
  <si>
    <t xml:space="preserve">Não avaliável sem acesso; NÃO classificada como deficiência</t>
  </si>
  <si>
    <t xml:space="preserve">DC-03</t>
  </si>
  <si>
    <t xml:space="preserve">Reconhecimento do débito do IRRF Jantus (139.291) em 31/12/2025 não demonstrado nas notas</t>
  </si>
  <si>
    <t xml:space="preserve">Obrigação presente após decisão definitiva deve ser reconhecida (CPC 25; CPC 24)</t>
  </si>
  <si>
    <t xml:space="preserve">Desconhecida</t>
  </si>
  <si>
    <t xml:space="preserve">Se não reconhecido: passivo subavaliado (46% da execução)</t>
  </si>
  <si>
    <t xml:space="preserve">Verificar rubrica e lançamento; controles de monitoramento jurídico-fiscal</t>
  </si>
  <si>
    <t xml:space="preserve">DF25 nota 22 p. 96; nota 10 p. 68</t>
  </si>
  <si>
    <t xml:space="preserve">Não avaliável sem acesso</t>
  </si>
  <si>
    <t xml:space="preserve">DC-04</t>
  </si>
  <si>
    <t xml:space="preserve">R</t>
  </si>
  <si>
    <t xml:space="preserve">Divulgação da renovação das concessões em 2025 (nota 1.3) sem quantificar o efeito possível sobre a classificação de ~99,9% do ativo financeiro da concessão</t>
  </si>
  <si>
    <t xml:space="preserve">Divulgar fontes de incerteza de estimativa com risco de ajuste relevante (CPC 26 item 125)</t>
  </si>
  <si>
    <t xml:space="preserve">Julgamento da administração (aditivos ainda não assinados)</t>
  </si>
  <si>
    <t xml:space="preserve">Usuário não dimensiona o efeito que se materializou em 2026 (29.599.494 reclassificados)</t>
  </si>
  <si>
    <t xml:space="preserve">Discutir com a governança a suficiência da divulgação (PT 260)</t>
  </si>
  <si>
    <t xml:space="preserve">DF25 nota 1.3 p. 44; ITR 2T26 nota 11 p. 49</t>
  </si>
  <si>
    <t xml:space="preserve">Ponto de divulgação, não de controle interno; NÃO caracterizado como deficiência de controle</t>
  </si>
  <si>
    <t xml:space="preserve">DC-05</t>
  </si>
  <si>
    <t xml:space="preserve">Controles de TI sobre medição e faturamento (R15) e sobre a receita não faturada (R03) não testados</t>
  </si>
  <si>
    <t xml:space="preserve">NBC TA 315 (R2); NBC TA 330 itens 8 e 18</t>
  </si>
  <si>
    <t xml:space="preserve">Ausência de acesso do aluno</t>
  </si>
  <si>
    <t xml:space="preserve">—</t>
  </si>
  <si>
    <t xml:space="preserve">Testar controles gerais de TI e de aplicação</t>
  </si>
  <si>
    <t xml:space="preserve">PT 315; PT 330</t>
  </si>
  <si>
    <t xml:space="preserve">Ausência de acesso NÃO é deficiência da companhia</t>
  </si>
  <si>
    <t xml:space="preserve">DC-06</t>
  </si>
  <si>
    <t xml:space="preserve">Divergências de transcrição corrigidas (DV01, DV11–DV13, DV17, DV18)</t>
  </si>
  <si>
    <t xml:space="preserve">Documentação de auditoria exata (NBC TA 230)</t>
  </si>
  <si>
    <t xml:space="preserve">Erro do preparador (leitura de imagens)</t>
  </si>
  <si>
    <t xml:space="preserve">Nenhum nas DF da companhia</t>
  </si>
  <si>
    <t xml:space="preserve">Manter dupla conferência e conciliação por fórmula</t>
  </si>
  <si>
    <t xml:space="preserve">Apêndice A do dossiê</t>
  </si>
  <si>
    <t xml:space="preserve">Controle de qualidade do trabalho (PT 220), não da companhia</t>
  </si>
  <si>
    <t xml:space="preserve">Conclusão: nenhuma deficiência significativa de controle interno da CPFL foi identificada com evidência pública; DC-02 e DC-03 dependem de acesso; DC-01 é sintética.</t>
  </si>
  <si>
    <t xml:space="preserve">PT 450 — Consolidação final das distorções e divergências (sem duplicar exceções e projeções)</t>
  </si>
  <si>
    <t xml:space="preserve">Categorias: R = real, sustentada por evidência pública; H = hipótese dependente de acesso; S = exclusivamente sintética (base simulada); X = erro de extração/arredondamento do preparador (não é da companhia). Valores em R$ mil.</t>
  </si>
  <si>
    <t xml:space="preserve">Item</t>
  </si>
  <si>
    <t xml:space="preserve">Afirmação</t>
  </si>
  <si>
    <t xml:space="preserve">Tipo (A6) / natureza</t>
  </si>
  <si>
    <t xml:space="preserve">Valor (R$ mil)</t>
  </si>
  <si>
    <t xml:space="preserve">% execução</t>
  </si>
  <si>
    <t xml:space="preserve">Correção</t>
  </si>
  <si>
    <t xml:space="preserve">Avaliação</t>
  </si>
  <si>
    <t xml:space="preserve">DS-01</t>
  </si>
  <si>
    <t xml:space="preserve">Base sintética: duplicidades (T1)</t>
  </si>
  <si>
    <t xml:space="preserve">Existência</t>
  </si>
  <si>
    <t xml:space="preserve">Factual na simulação</t>
  </si>
  <si>
    <t xml:space="preserve">Simulada (não houve correção real)</t>
  </si>
  <si>
    <t xml:space="preserve">Acumulada só na simulação</t>
  </si>
  <si>
    <t xml:space="preserve">DS-02</t>
  </si>
  <si>
    <t xml:space="preserve">Base sintética: bens baixados mantidos (T2)</t>
  </si>
  <si>
    <t xml:space="preserve">Simulada</t>
  </si>
  <si>
    <t xml:space="preserve">Idem</t>
  </si>
  <si>
    <t xml:space="preserve">DS-03</t>
  </si>
  <si>
    <t xml:space="preserve">Base sintética: superavaliação de valor (T3+)</t>
  </si>
  <si>
    <t xml:space="preserve">DS-04</t>
  </si>
  <si>
    <t xml:space="preserve">Base sintética: subavaliação de valor (T3−)</t>
  </si>
  <si>
    <t xml:space="preserve">Não compensa a superavaliação na avaliação bruta</t>
  </si>
  <si>
    <t xml:space="preserve">DS-05</t>
  </si>
  <si>
    <t xml:space="preserve">Base sintética: classificação de categoria (T4)</t>
  </si>
  <si>
    <t xml:space="preserve">Classificação</t>
  </si>
  <si>
    <t xml:space="preserve">Por natureza (A5)</t>
  </si>
  <si>
    <t xml:space="preserve">Sem efeito no saldo</t>
  </si>
  <si>
    <t xml:space="preserve">DS-06</t>
  </si>
  <si>
    <t xml:space="preserve">Margem para distorção não detectada (UML residual do MUS)</t>
  </si>
  <si>
    <t xml:space="preserve">Existência/avaliação</t>
  </si>
  <si>
    <t xml:space="preserve">Risco de amostragem (não é distorção)</t>
  </si>
  <si>
    <t xml:space="preserve">Não somar como distorção; usar só na avaliação de suficiência</t>
  </si>
  <si>
    <t xml:space="preserve">DH-01</t>
  </si>
  <si>
    <t xml:space="preserve">IRRF Jantus: débito de 139.291 em 31/12/2025 (reconhecimento não demonstrado)</t>
  </si>
  <si>
    <t xml:space="preserve">Integridade (passivo)</t>
  </si>
  <si>
    <t xml:space="preserve">Potencial factual — pendente</t>
  </si>
  <si>
    <t xml:space="preserve">Não aplicável (não verificado)</t>
  </si>
  <si>
    <t xml:space="preserve">Não acumulado: hipótese. Se confirmado o não reconhecimento: 46% da execução</t>
  </si>
  <si>
    <t xml:space="preserve">DH-02</t>
  </si>
  <si>
    <t xml:space="preserve">VNR 2025 acima da expectativa (+139.479; Paulista +150.451)</t>
  </si>
  <si>
    <t xml:space="preserve">Diferença analítica não explicada (não é distorção)</t>
  </si>
  <si>
    <t xml:space="preserve">Não acumulado: não há base para afirmar distorção (PT 520/540)</t>
  </si>
  <si>
    <t xml:space="preserve">DQ-01</t>
  </si>
  <si>
    <t xml:space="preserve">Renovação: divulgação sem quantificação do efeito possível (nota 1.3)</t>
  </si>
  <si>
    <t xml:space="preserve">Divulgação</t>
  </si>
  <si>
    <t xml:space="preserve">Qualitativa / julgamento</t>
  </si>
  <si>
    <t xml:space="preserve">Discussão com a governança (planejada)</t>
  </si>
  <si>
    <t xml:space="preserve">Não caracterizada como distorção relevante; ponto de comunicação</t>
  </si>
  <si>
    <t xml:space="preserve">DX-01</t>
  </si>
  <si>
    <t xml:space="preserve">X</t>
  </si>
  <si>
    <t xml:space="preserve">Erros de transcrição do preparador (DV01, DV11–DV13, DV17, DV18)</t>
  </si>
  <si>
    <t xml:space="preserve">Extração (não é da companhia)</t>
  </si>
  <si>
    <t xml:space="preserve">Corrigidos no dossiê</t>
  </si>
  <si>
    <t xml:space="preserve">Excluídos da acumulação</t>
  </si>
  <si>
    <t xml:space="preserve">DX-02</t>
  </si>
  <si>
    <t xml:space="preserve">Diferenças de soma ±1 a ±3 (arredondamento, nota 2.4)</t>
  </si>
  <si>
    <t xml:space="preserve">Arredondamento</t>
  </si>
  <si>
    <t xml:space="preserve">Excluídas da acumulação</t>
  </si>
  <si>
    <t xml:space="preserve">Distorções REAIS da companhia acumuladas (evidência sustentada)</t>
  </si>
  <si>
    <t xml:space="preserve">Nenhuma distorção da CPFL foi sustentada por evidência pública</t>
  </si>
  <si>
    <t xml:space="preserve">Distorção sintética líquida (DS-01 a DS-05)</t>
  </si>
  <si>
    <t xml:space="preserve">Igual ao PT 530 (117.484); não é constatação sobre a CPFL</t>
  </si>
  <si>
    <t xml:space="preserve">Superavaliação sintética bruta (DS-01 + DS-02 + DS-03)</t>
  </si>
  <si>
    <t xml:space="preserve">Gatilho D-B04-01 (50%): não acionado</t>
  </si>
  <si>
    <t xml:space="preserve">Hipóteses pendentes (DH-01 + DH-02) — apenas para dimensionar o risco remanescente</t>
  </si>
  <si>
    <t xml:space="preserve">Mesmo somadas, &lt; materialidade global (404.562); não acumuladas</t>
  </si>
  <si>
    <t xml:space="preserve">PT 500 — Matriz de evidência por risco/afirmação: relevância, confiabilidade, suficiência e lacunas</t>
  </si>
  <si>
    <t xml:space="preserve">Suficiência: S = suficiente para a conclusão limitada do exercício; P = parcial; I = insuficiente (procedimento permanece planejado).</t>
  </si>
  <si>
    <t xml:space="preserve">Risco</t>
  </si>
  <si>
    <t xml:space="preserve">Assunto</t>
  </si>
  <si>
    <t xml:space="preserve">Afirmações</t>
  </si>
  <si>
    <t xml:space="preserve">Evidência obtida (fonte)</t>
  </si>
  <si>
    <t xml:space="preserve">Relevância</t>
  </si>
  <si>
    <t xml:space="preserve">Confiabilidade</t>
  </si>
  <si>
    <t xml:space="preserve">Suficiência</t>
  </si>
  <si>
    <t xml:space="preserve">Lacuna / procedimento planejado</t>
  </si>
  <si>
    <t xml:space="preserve">PT</t>
  </si>
  <si>
    <t xml:space="preserve">R01</t>
  </si>
  <si>
    <t xml:space="preserve">Ativo financeiro da concessão</t>
  </si>
  <si>
    <t xml:space="preserve">Avaliação, classificação</t>
  </si>
  <si>
    <t xml:space="preserve">Movimentação reexecutada; saldos por distribuidora; analítico VNR; sensibilidade; renovação (ITR 2T26); testes na base sintética</t>
  </si>
  <si>
    <t xml:space="preserve">Alta</t>
  </si>
  <si>
    <t xml:space="preserve">Alta (DF auditadas) / sintética: nenhuma sobre a CPFL</t>
  </si>
  <si>
    <t xml:space="preserve">P</t>
  </si>
  <si>
    <t xml:space="preserve">Base homologada, laudo, cálculo da Paulista, cadastro real</t>
  </si>
  <si>
    <t xml:space="preserve">500/520/530/540</t>
  </si>
  <si>
    <t xml:space="preserve">R02</t>
  </si>
  <si>
    <t xml:space="preserve">Ativo contratual</t>
  </si>
  <si>
    <t xml:space="preserve">Avaliação, exatidão</t>
  </si>
  <si>
    <t xml:space="preserve">Saldos e PAA 1 da PwC; programa PG-ESTIM</t>
  </si>
  <si>
    <t xml:space="preserve">Média</t>
  </si>
  <si>
    <t xml:space="preserve">I</t>
  </si>
  <si>
    <t xml:space="preserve">Modelo de remuneração das transmissoras; medições de obras</t>
  </si>
  <si>
    <t xml:space="preserve">315/330/540</t>
  </si>
  <si>
    <t xml:space="preserve">R03</t>
  </si>
  <si>
    <t xml:space="preserve">Receita não faturada</t>
  </si>
  <si>
    <t xml:space="preserve">Ocorrência, corte</t>
  </si>
  <si>
    <t xml:space="preserve">Saldo 1.763.858 e PAA 2; analíticos de receita</t>
  </si>
  <si>
    <t xml:space="preserve">Controles de medição e faturamento; recálculo por classe</t>
  </si>
  <si>
    <t xml:space="preserve">315/330/520</t>
  </si>
  <si>
    <t xml:space="preserve">R04</t>
  </si>
  <si>
    <t xml:space="preserve">Demais receitas</t>
  </si>
  <si>
    <t xml:space="preserve">Ocorrência, exatidão</t>
  </si>
  <si>
    <t xml:space="preserve">Variações por componente; RTA 2025 (nota 26.2)</t>
  </si>
  <si>
    <t xml:space="preserve">Testes de detalhe em faturas</t>
  </si>
  <si>
    <t xml:space="preserve">520</t>
  </si>
  <si>
    <t xml:space="preserve">R06</t>
  </si>
  <si>
    <t xml:space="preserve">Dívidas e debêntures</t>
  </si>
  <si>
    <t xml:space="preserve">Integridade, classificação</t>
  </si>
  <si>
    <t xml:space="preserve">Notas 18–19; vencimentos (nota 34 g); captações de 2026</t>
  </si>
  <si>
    <t xml:space="preserve">Confirmações CF-04 (não enviadas); escrituras</t>
  </si>
  <si>
    <t xml:space="preserve">505/570</t>
  </si>
  <si>
    <t xml:space="preserve">R07</t>
  </si>
  <si>
    <t xml:space="preserve">Provisões e contingências</t>
  </si>
  <si>
    <t xml:space="preserve">Integridade, avaliação</t>
  </si>
  <si>
    <t xml:space="preserve">Movimentação conciliada; casos individuais; IRRF Jantus</t>
  </si>
  <si>
    <t xml:space="preserve">Média (prognósticos da administração)</t>
  </si>
  <si>
    <t xml:space="preserve">Carta jurídica CF-08 (não enviada)</t>
  </si>
  <si>
    <t xml:space="preserve">501/560</t>
  </si>
  <si>
    <t xml:space="preserve">R13</t>
  </si>
  <si>
    <t xml:space="preserve">Partes relacionadas</t>
  </si>
  <si>
    <t xml:space="preserve">Integridade, divulgação</t>
  </si>
  <si>
    <t xml:space="preserve">Nota 31 conciliada com o BP; política; comunicados 2026</t>
  </si>
  <si>
    <t xml:space="preserve">Média (lista da própria entidade)</t>
  </si>
  <si>
    <t xml:space="preserve">Atas, contratos, FR íntegro, CF-02/03</t>
  </si>
  <si>
    <t xml:space="preserve">550/505</t>
  </si>
  <si>
    <t xml:space="preserve">R14</t>
  </si>
  <si>
    <t xml:space="preserve">Consolidação</t>
  </si>
  <si>
    <t xml:space="preserve">Integridade, apresentação</t>
  </si>
  <si>
    <t xml:space="preserve">Mapa do grupo; segmentos conciliados; julgamento Chapecoense</t>
  </si>
  <si>
    <t xml:space="preserve">Instruções aos componentes; eliminações</t>
  </si>
  <si>
    <t xml:space="preserve">600/501</t>
  </si>
  <si>
    <t xml:space="preserve">R16</t>
  </si>
  <si>
    <t xml:space="preserve">Burla de controles</t>
  </si>
  <si>
    <t xml:space="preserve">Todas</t>
  </si>
  <si>
    <t xml:space="preserve">Indicador de viés no VNR (não conclusivo); análise de estimativas</t>
  </si>
  <si>
    <t xml:space="preserve">Teste de lançamentos manuais (NBC TA 240 item 32)</t>
  </si>
  <si>
    <t xml:space="preserve">240/540</t>
  </si>
  <si>
    <t xml:space="preserve">R17</t>
  </si>
  <si>
    <t xml:space="preserve">Continuidade</t>
  </si>
  <si>
    <t xml:space="preserve">Liquidez, vencimentos, release (2,30x), captações</t>
  </si>
  <si>
    <t xml:space="preserve">Média (release não auditado)</t>
  </si>
  <si>
    <t xml:space="preserve">Previsão de caixa; recálculo contratual de covenants</t>
  </si>
  <si>
    <t xml:space="preserve">570</t>
  </si>
  <si>
    <t xml:space="preserve">Saldos de abertura</t>
  </si>
  <si>
    <t xml:space="preserve">61 linhas DF24 × DF25 sem diferença</t>
  </si>
  <si>
    <t xml:space="preserve">Papéis do antecessor (não acessíveis)</t>
  </si>
  <si>
    <t xml:space="preserve">510</t>
  </si>
  <si>
    <t xml:space="preserve">Eventos subsequentes</t>
  </si>
  <si>
    <t xml:space="preserve">Notas 37/22; ITRs 1T26 e 2T26; RI até 23/10/2026</t>
  </si>
  <si>
    <t xml:space="preserve">Indagações, atas, representação formal</t>
  </si>
  <si>
    <t xml:space="preserve">560/580</t>
  </si>
  <si>
    <t xml:space="preserve">Leitura do relatório da PwC</t>
  </si>
  <si>
    <t xml:space="preserve">Usada como contexto (PAA, opinião), nunca como substituta de evidência própria</t>
  </si>
  <si>
    <t xml:space="preserve">200/700</t>
  </si>
  <si>
    <t xml:space="preserve">PT 260 — Assuntos a comunicar à governança e onde estão documentados (comunicação NÃO enviada)</t>
  </si>
  <si>
    <t xml:space="preserve">Destinatário pretendido: Comitê de Auditoria / Conselho de Administração. Nenhuma comunicação foi enviada.</t>
  </si>
  <si>
    <t xml:space="preserve">Item 260</t>
  </si>
  <si>
    <t xml:space="preserve">Conteúdo no exercício</t>
  </si>
  <si>
    <t xml:space="preserve">Origem</t>
  </si>
  <si>
    <t xml:space="preserve">14</t>
  </si>
  <si>
    <t xml:space="preserve">Responsabilidades do auditor</t>
  </si>
  <si>
    <t xml:space="preserve">Trabalho acadêmico; sem opinião; base NBC TA 200</t>
  </si>
  <si>
    <t xml:space="preserve">PT 200/210</t>
  </si>
  <si>
    <t xml:space="preserve">15</t>
  </si>
  <si>
    <t xml:space="preserve">Alcance e época planejados</t>
  </si>
  <si>
    <t xml:space="preserve">Perímetro consolidado; materialidade; riscos significativos R01, R02, R03, R16; cronograma</t>
  </si>
  <si>
    <t xml:space="preserve">PT 300/315/320</t>
  </si>
  <si>
    <t xml:space="preserve">16(a)</t>
  </si>
  <si>
    <t xml:space="preserve">Aspectos qualitativos das práticas contábeis</t>
  </si>
  <si>
    <t xml:space="preserve">VNR (nível 3); divulgação da renovação; julgamento de controle conjunto da Chapecoense</t>
  </si>
  <si>
    <t xml:space="preserve">PT 540/600</t>
  </si>
  <si>
    <t xml:space="preserve">16(b)</t>
  </si>
  <si>
    <t xml:space="preserve">Dificuldades significativas</t>
  </si>
  <si>
    <t xml:space="preserve">Falta de acesso a sistemas, pessoas e terceiros; FR truncado; relatório 2024 ausente do PDF</t>
  </si>
  <si>
    <t xml:space="preserve">PT 500/510</t>
  </si>
  <si>
    <t xml:space="preserve">16(c)</t>
  </si>
  <si>
    <t xml:space="preserve">Assuntos significativos discutidos com a administração</t>
  </si>
  <si>
    <t xml:space="preserve">Nenhuma discussão ocorreu (planejado: VNR Paulista, IRRF Jantus)</t>
  </si>
  <si>
    <t xml:space="preserve">PT 520/560</t>
  </si>
  <si>
    <t xml:space="preserve">16(d)</t>
  </si>
  <si>
    <t xml:space="preserve">Representações solicitadas</t>
  </si>
  <si>
    <t xml:space="preserve">Minuta de carta de representação (não enviada)</t>
  </si>
  <si>
    <t xml:space="preserve">PT 580</t>
  </si>
  <si>
    <t xml:space="preserve">16(e)</t>
  </si>
  <si>
    <t xml:space="preserve">Outros assuntos relevantes</t>
  </si>
  <si>
    <t xml:space="preserve">Partes relacionadas (mútuo SGEL); continuidade (CCL negativo)</t>
  </si>
  <si>
    <t xml:space="preserve">PT 550/570</t>
  </si>
  <si>
    <t xml:space="preserve">17</t>
  </si>
  <si>
    <t xml:space="preserve">Independência (entidade listada)</t>
  </si>
  <si>
    <t xml:space="preserve">Declaração do aluno: sem vínculo com o Grupo CPFL</t>
  </si>
  <si>
    <t xml:space="preserve">PT 200</t>
  </si>
  <si>
    <t xml:space="preserve">265 item 9</t>
  </si>
  <si>
    <t xml:space="preserve">Deficiências significativas por escrito</t>
  </si>
  <si>
    <t xml:space="preserve">Nenhuma deficiência significativa da CPFL identificada com evidência pública</t>
  </si>
  <si>
    <t xml:space="preserve">PT 265</t>
  </si>
  <si>
    <t xml:space="preserve">450 item 12</t>
  </si>
  <si>
    <t xml:space="preserve">Distorções não corrigidas</t>
  </si>
  <si>
    <t xml:space="preserve">Nenhuma real; distorções sintéticas apresentadas apenas como resultado didático</t>
  </si>
  <si>
    <t xml:space="preserve">PT 450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</si>
</sst>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4.9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52.2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</row>
    <row r="7" customFormat="false" ht="39.55" hidden="false" customHeight="false" outlineLevel="0" collapsed="false">
      <c r="A7" s="5" t="s">
        <v>29</v>
      </c>
      <c r="B7" s="5" t="s">
        <v>21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</row>
    <row r="8" customFormat="false" ht="64.9" hidden="false" customHeight="false" outlineLevel="0" collapsed="false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 t="s">
        <v>45</v>
      </c>
    </row>
    <row r="9" customFormat="false" ht="39.55" hidden="false" customHeight="false" outlineLevel="0" collapsed="false">
      <c r="A9" s="5" t="s">
        <v>46</v>
      </c>
      <c r="B9" s="5" t="s">
        <v>21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5" t="s">
        <v>53</v>
      </c>
    </row>
    <row r="10" customFormat="false" ht="39.55" hidden="false" customHeight="false" outlineLevel="0" collapsed="false">
      <c r="A10" s="6" t="s">
        <v>54</v>
      </c>
      <c r="B10" s="6" t="s">
        <v>38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</row>
    <row r="12" customFormat="false" ht="77.6" hidden="false" customHeight="false" outlineLevel="0" collapsed="false">
      <c r="A12" s="7"/>
      <c r="B12" s="7"/>
      <c r="C12" s="7" t="s">
        <v>62</v>
      </c>
      <c r="D12" s="7"/>
      <c r="E12" s="7"/>
      <c r="F12" s="7"/>
      <c r="G12" s="7"/>
      <c r="H12" s="7"/>
      <c r="I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30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</row>
    <row r="5" customFormat="false" ht="26.85" hidden="false" customHeight="false" outlineLevel="0" collapsed="false">
      <c r="A5" s="4" t="s">
        <v>72</v>
      </c>
      <c r="B5" s="4" t="s">
        <v>12</v>
      </c>
      <c r="C5" s="4" t="s">
        <v>73</v>
      </c>
      <c r="D5" s="4" t="s">
        <v>74</v>
      </c>
      <c r="E5" s="4" t="s">
        <v>75</v>
      </c>
      <c r="F5" s="8" t="n">
        <v>59975.2</v>
      </c>
      <c r="G5" s="9" t="n">
        <f aca="false">F5/303421.73</f>
        <v>0.197662837134308</v>
      </c>
      <c r="H5" s="4" t="s">
        <v>76</v>
      </c>
      <c r="I5" s="4" t="s">
        <v>77</v>
      </c>
    </row>
    <row r="6" customFormat="false" ht="26.85" hidden="false" customHeight="false" outlineLevel="0" collapsed="false">
      <c r="A6" s="4" t="s">
        <v>78</v>
      </c>
      <c r="B6" s="4" t="s">
        <v>12</v>
      </c>
      <c r="C6" s="4" t="s">
        <v>79</v>
      </c>
      <c r="D6" s="4" t="s">
        <v>74</v>
      </c>
      <c r="E6" s="4" t="s">
        <v>75</v>
      </c>
      <c r="F6" s="8" t="n">
        <v>56070.25</v>
      </c>
      <c r="G6" s="9" t="n">
        <f aca="false">F6/303421.73</f>
        <v>0.184793126055935</v>
      </c>
      <c r="H6" s="4" t="s">
        <v>80</v>
      </c>
      <c r="I6" s="4" t="s">
        <v>81</v>
      </c>
    </row>
    <row r="7" customFormat="false" ht="26.85" hidden="false" customHeight="false" outlineLevel="0" collapsed="false">
      <c r="A7" s="4" t="s">
        <v>82</v>
      </c>
      <c r="B7" s="4" t="s">
        <v>12</v>
      </c>
      <c r="C7" s="4" t="s">
        <v>83</v>
      </c>
      <c r="D7" s="4" t="s">
        <v>71</v>
      </c>
      <c r="E7" s="4" t="s">
        <v>75</v>
      </c>
      <c r="F7" s="8" t="n">
        <v>8250.7</v>
      </c>
      <c r="G7" s="9" t="n">
        <f aca="false">F7/303421.73</f>
        <v>0.027192185609119</v>
      </c>
      <c r="H7" s="4" t="s">
        <v>80</v>
      </c>
      <c r="I7" s="4" t="s">
        <v>81</v>
      </c>
    </row>
    <row r="8" customFormat="false" ht="26.85" hidden="false" customHeight="false" outlineLevel="0" collapsed="false">
      <c r="A8" s="4" t="s">
        <v>84</v>
      </c>
      <c r="B8" s="4" t="s">
        <v>12</v>
      </c>
      <c r="C8" s="4" t="s">
        <v>85</v>
      </c>
      <c r="D8" s="4" t="s">
        <v>71</v>
      </c>
      <c r="E8" s="4" t="s">
        <v>75</v>
      </c>
      <c r="F8" s="8" t="n">
        <v>-6811.81</v>
      </c>
      <c r="G8" s="9" t="n">
        <f aca="false">F8/303421.73</f>
        <v>-0.0224499741663196</v>
      </c>
      <c r="H8" s="4" t="s">
        <v>80</v>
      </c>
      <c r="I8" s="4" t="s">
        <v>86</v>
      </c>
    </row>
    <row r="9" customFormat="false" ht="26.85" hidden="false" customHeight="false" outlineLevel="0" collapsed="false">
      <c r="A9" s="4" t="s">
        <v>87</v>
      </c>
      <c r="B9" s="4" t="s">
        <v>12</v>
      </c>
      <c r="C9" s="4" t="s">
        <v>88</v>
      </c>
      <c r="D9" s="4" t="s">
        <v>89</v>
      </c>
      <c r="E9" s="4" t="s">
        <v>90</v>
      </c>
      <c r="F9" s="8" t="n">
        <v>0</v>
      </c>
      <c r="G9" s="9" t="n">
        <f aca="false">F9/303421.73</f>
        <v>0</v>
      </c>
      <c r="H9" s="4" t="s">
        <v>80</v>
      </c>
      <c r="I9" s="4" t="s">
        <v>91</v>
      </c>
    </row>
    <row r="10" customFormat="false" ht="26.85" hidden="false" customHeight="false" outlineLevel="0" collapsed="false">
      <c r="A10" s="4" t="s">
        <v>92</v>
      </c>
      <c r="B10" s="4" t="s">
        <v>12</v>
      </c>
      <c r="C10" s="4" t="s">
        <v>93</v>
      </c>
      <c r="D10" s="4" t="s">
        <v>94</v>
      </c>
      <c r="E10" s="4" t="s">
        <v>95</v>
      </c>
      <c r="F10" s="8" t="n">
        <v>178890.8</v>
      </c>
      <c r="G10" s="9" t="n">
        <f aca="false">F10/303421.73</f>
        <v>0.589578076692134</v>
      </c>
      <c r="H10" s="4" t="s">
        <v>50</v>
      </c>
      <c r="I10" s="4" t="s">
        <v>96</v>
      </c>
    </row>
    <row r="11" customFormat="false" ht="39.55" hidden="false" customHeight="false" outlineLevel="0" collapsed="false">
      <c r="A11" s="5" t="s">
        <v>97</v>
      </c>
      <c r="B11" s="5" t="s">
        <v>21</v>
      </c>
      <c r="C11" s="5" t="s">
        <v>98</v>
      </c>
      <c r="D11" s="5" t="s">
        <v>99</v>
      </c>
      <c r="E11" s="5" t="s">
        <v>100</v>
      </c>
      <c r="F11" s="10" t="n">
        <v>139291</v>
      </c>
      <c r="G11" s="11" t="n">
        <f aca="false">F11/303421.73</f>
        <v>0.459067318612942</v>
      </c>
      <c r="H11" s="5" t="s">
        <v>101</v>
      </c>
      <c r="I11" s="5" t="s">
        <v>102</v>
      </c>
    </row>
    <row r="12" customFormat="false" ht="39.55" hidden="false" customHeight="false" outlineLevel="0" collapsed="false">
      <c r="A12" s="5" t="s">
        <v>103</v>
      </c>
      <c r="B12" s="5" t="s">
        <v>21</v>
      </c>
      <c r="C12" s="5" t="s">
        <v>104</v>
      </c>
      <c r="D12" s="5" t="s">
        <v>71</v>
      </c>
      <c r="E12" s="5" t="s">
        <v>105</v>
      </c>
      <c r="F12" s="10" t="n">
        <v>139479</v>
      </c>
      <c r="G12" s="11" t="n">
        <f aca="false">F12/303421.73</f>
        <v>0.459686918270488</v>
      </c>
      <c r="H12" s="5" t="s">
        <v>50</v>
      </c>
      <c r="I12" s="5" t="s">
        <v>106</v>
      </c>
    </row>
    <row r="13" customFormat="false" ht="26.85" hidden="false" customHeight="false" outlineLevel="0" collapsed="false">
      <c r="A13" s="6" t="s">
        <v>107</v>
      </c>
      <c r="B13" s="6" t="s">
        <v>38</v>
      </c>
      <c r="C13" s="6" t="s">
        <v>108</v>
      </c>
      <c r="D13" s="6" t="s">
        <v>109</v>
      </c>
      <c r="E13" s="6" t="s">
        <v>110</v>
      </c>
      <c r="F13" s="12"/>
      <c r="G13" s="13"/>
      <c r="H13" s="6" t="s">
        <v>111</v>
      </c>
      <c r="I13" s="6" t="s">
        <v>112</v>
      </c>
    </row>
    <row r="14" customFormat="false" ht="26.85" hidden="false" customHeight="false" outlineLevel="0" collapsed="false">
      <c r="A14" s="14" t="s">
        <v>113</v>
      </c>
      <c r="B14" s="14" t="s">
        <v>114</v>
      </c>
      <c r="C14" s="14" t="s">
        <v>115</v>
      </c>
      <c r="D14" s="14" t="s">
        <v>50</v>
      </c>
      <c r="E14" s="14" t="s">
        <v>116</v>
      </c>
      <c r="F14" s="15"/>
      <c r="G14" s="16"/>
      <c r="H14" s="14" t="s">
        <v>117</v>
      </c>
      <c r="I14" s="14" t="s">
        <v>118</v>
      </c>
    </row>
    <row r="15" customFormat="false" ht="26.85" hidden="false" customHeight="false" outlineLevel="0" collapsed="false">
      <c r="A15" s="14" t="s">
        <v>119</v>
      </c>
      <c r="B15" s="14" t="s">
        <v>114</v>
      </c>
      <c r="C15" s="14" t="s">
        <v>120</v>
      </c>
      <c r="D15" s="14" t="s">
        <v>50</v>
      </c>
      <c r="E15" s="14" t="s">
        <v>121</v>
      </c>
      <c r="F15" s="15"/>
      <c r="G15" s="16"/>
      <c r="H15" s="14" t="s">
        <v>50</v>
      </c>
      <c r="I15" s="14" t="s">
        <v>122</v>
      </c>
    </row>
    <row r="17" customFormat="false" ht="26.85" hidden="false" customHeight="false" outlineLevel="0" collapsed="false">
      <c r="A17" s="17"/>
      <c r="B17" s="17"/>
      <c r="C17" s="17" t="s">
        <v>123</v>
      </c>
      <c r="D17" s="17"/>
      <c r="E17" s="17"/>
      <c r="F17" s="18" t="n">
        <v>0</v>
      </c>
      <c r="G17" s="19" t="n">
        <f aca="false">F17/303421.73</f>
        <v>0</v>
      </c>
      <c r="H17" s="17"/>
      <c r="I17" s="17" t="s">
        <v>124</v>
      </c>
    </row>
    <row r="18" customFormat="false" ht="26.85" hidden="false" customHeight="false" outlineLevel="0" collapsed="false">
      <c r="A18" s="20"/>
      <c r="B18" s="20"/>
      <c r="C18" s="20" t="s">
        <v>125</v>
      </c>
      <c r="D18" s="20"/>
      <c r="E18" s="20"/>
      <c r="F18" s="21" t="n">
        <f aca="false">SUM(F5:F9)</f>
        <v>117484.34</v>
      </c>
      <c r="G18" s="22" t="n">
        <f aca="false">F18/303421.73</f>
        <v>0.387198174633043</v>
      </c>
      <c r="H18" s="20"/>
      <c r="I18" s="20" t="s">
        <v>126</v>
      </c>
    </row>
    <row r="19" customFormat="false" ht="26.85" hidden="false" customHeight="false" outlineLevel="0" collapsed="false">
      <c r="A19" s="20"/>
      <c r="B19" s="20"/>
      <c r="C19" s="20" t="s">
        <v>127</v>
      </c>
      <c r="D19" s="20"/>
      <c r="E19" s="20"/>
      <c r="F19" s="21" t="n">
        <f aca="false">F5+F6+F7</f>
        <v>124296.15</v>
      </c>
      <c r="G19" s="22" t="n">
        <f aca="false">F19/303421.73</f>
        <v>0.409648148799363</v>
      </c>
      <c r="H19" s="20"/>
      <c r="I19" s="20" t="s">
        <v>128</v>
      </c>
    </row>
    <row r="20" customFormat="false" ht="39.55" hidden="false" customHeight="false" outlineLevel="0" collapsed="false">
      <c r="A20" s="23"/>
      <c r="B20" s="23"/>
      <c r="C20" s="23" t="s">
        <v>129</v>
      </c>
      <c r="D20" s="23"/>
      <c r="E20" s="23"/>
      <c r="F20" s="24" t="n">
        <f aca="false">F11+F12</f>
        <v>278770</v>
      </c>
      <c r="G20" s="25" t="n">
        <f aca="false">F20/303421.73</f>
        <v>0.91875423688343</v>
      </c>
      <c r="H20" s="23"/>
      <c r="I20" s="2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7" min="5" style="0" width="14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6.85" hidden="false" customHeight="fals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</row>
    <row r="5" customFormat="false" ht="64.9" hidden="false" customHeight="false" outlineLevel="0" collapsed="false">
      <c r="A5" s="26" t="s">
        <v>142</v>
      </c>
      <c r="B5" s="26" t="s">
        <v>143</v>
      </c>
      <c r="C5" s="26" t="s">
        <v>144</v>
      </c>
      <c r="D5" s="26" t="s">
        <v>145</v>
      </c>
      <c r="E5" s="26" t="s">
        <v>146</v>
      </c>
      <c r="F5" s="26" t="s">
        <v>147</v>
      </c>
      <c r="G5" s="26" t="s">
        <v>148</v>
      </c>
      <c r="H5" s="26" t="s">
        <v>149</v>
      </c>
      <c r="I5" s="26" t="s">
        <v>150</v>
      </c>
    </row>
    <row r="6" customFormat="false" ht="26.85" hidden="false" customHeight="false" outlineLevel="0" collapsed="false">
      <c r="A6" s="26" t="s">
        <v>151</v>
      </c>
      <c r="B6" s="26" t="s">
        <v>152</v>
      </c>
      <c r="C6" s="26" t="s">
        <v>153</v>
      </c>
      <c r="D6" s="26" t="s">
        <v>154</v>
      </c>
      <c r="E6" s="26" t="s">
        <v>155</v>
      </c>
      <c r="F6" s="26" t="s">
        <v>146</v>
      </c>
      <c r="G6" s="26" t="s">
        <v>156</v>
      </c>
      <c r="H6" s="26" t="s">
        <v>157</v>
      </c>
      <c r="I6" s="26" t="s">
        <v>158</v>
      </c>
    </row>
    <row r="7" customFormat="false" ht="26.85" hidden="false" customHeight="false" outlineLevel="0" collapsed="false">
      <c r="A7" s="26" t="s">
        <v>159</v>
      </c>
      <c r="B7" s="26" t="s">
        <v>160</v>
      </c>
      <c r="C7" s="26" t="s">
        <v>161</v>
      </c>
      <c r="D7" s="26" t="s">
        <v>162</v>
      </c>
      <c r="E7" s="26" t="s">
        <v>155</v>
      </c>
      <c r="F7" s="26" t="s">
        <v>146</v>
      </c>
      <c r="G7" s="26" t="s">
        <v>156</v>
      </c>
      <c r="H7" s="26" t="s">
        <v>163</v>
      </c>
      <c r="I7" s="26" t="s">
        <v>164</v>
      </c>
    </row>
    <row r="8" customFormat="false" ht="26.85" hidden="false" customHeight="false" outlineLevel="0" collapsed="false">
      <c r="A8" s="26" t="s">
        <v>165</v>
      </c>
      <c r="B8" s="26" t="s">
        <v>166</v>
      </c>
      <c r="C8" s="26" t="s">
        <v>167</v>
      </c>
      <c r="D8" s="26" t="s">
        <v>168</v>
      </c>
      <c r="E8" s="26" t="s">
        <v>155</v>
      </c>
      <c r="F8" s="26" t="s">
        <v>146</v>
      </c>
      <c r="G8" s="26" t="s">
        <v>148</v>
      </c>
      <c r="H8" s="26" t="s">
        <v>169</v>
      </c>
      <c r="I8" s="26" t="s">
        <v>170</v>
      </c>
    </row>
    <row r="9" customFormat="false" ht="26.85" hidden="false" customHeight="false" outlineLevel="0" collapsed="false">
      <c r="A9" s="26" t="s">
        <v>171</v>
      </c>
      <c r="B9" s="26" t="s">
        <v>172</v>
      </c>
      <c r="C9" s="26" t="s">
        <v>173</v>
      </c>
      <c r="D9" s="26" t="s">
        <v>174</v>
      </c>
      <c r="E9" s="26" t="s">
        <v>146</v>
      </c>
      <c r="F9" s="26" t="s">
        <v>146</v>
      </c>
      <c r="G9" s="26" t="s">
        <v>148</v>
      </c>
      <c r="H9" s="26" t="s">
        <v>175</v>
      </c>
      <c r="I9" s="26" t="s">
        <v>176</v>
      </c>
    </row>
    <row r="10" customFormat="false" ht="64.9" hidden="false" customHeight="false" outlineLevel="0" collapsed="false">
      <c r="A10" s="26" t="s">
        <v>177</v>
      </c>
      <c r="B10" s="26" t="s">
        <v>178</v>
      </c>
      <c r="C10" s="26" t="s">
        <v>179</v>
      </c>
      <c r="D10" s="26" t="s">
        <v>180</v>
      </c>
      <c r="E10" s="26" t="s">
        <v>146</v>
      </c>
      <c r="F10" s="26" t="s">
        <v>181</v>
      </c>
      <c r="G10" s="26" t="s">
        <v>148</v>
      </c>
      <c r="H10" s="26" t="s">
        <v>182</v>
      </c>
      <c r="I10" s="26" t="s">
        <v>183</v>
      </c>
    </row>
    <row r="11" customFormat="false" ht="39.55" hidden="false" customHeight="false" outlineLevel="0" collapsed="false">
      <c r="A11" s="26" t="s">
        <v>184</v>
      </c>
      <c r="B11" s="26" t="s">
        <v>185</v>
      </c>
      <c r="C11" s="26" t="s">
        <v>186</v>
      </c>
      <c r="D11" s="26" t="s">
        <v>187</v>
      </c>
      <c r="E11" s="26" t="s">
        <v>146</v>
      </c>
      <c r="F11" s="26" t="s">
        <v>188</v>
      </c>
      <c r="G11" s="26" t="s">
        <v>148</v>
      </c>
      <c r="H11" s="26" t="s">
        <v>189</v>
      </c>
      <c r="I11" s="26" t="s">
        <v>190</v>
      </c>
    </row>
    <row r="12" customFormat="false" ht="26.85" hidden="false" customHeight="false" outlineLevel="0" collapsed="false">
      <c r="A12" s="26" t="s">
        <v>191</v>
      </c>
      <c r="B12" s="26" t="s">
        <v>192</v>
      </c>
      <c r="C12" s="26" t="s">
        <v>193</v>
      </c>
      <c r="D12" s="26" t="s">
        <v>194</v>
      </c>
      <c r="E12" s="26" t="s">
        <v>146</v>
      </c>
      <c r="F12" s="26" t="s">
        <v>146</v>
      </c>
      <c r="G12" s="26" t="s">
        <v>148</v>
      </c>
      <c r="H12" s="26" t="s">
        <v>195</v>
      </c>
      <c r="I12" s="26" t="s">
        <v>196</v>
      </c>
    </row>
    <row r="13" customFormat="false" ht="26.85" hidden="false" customHeight="false" outlineLevel="0" collapsed="false">
      <c r="A13" s="26" t="s">
        <v>197</v>
      </c>
      <c r="B13" s="26" t="s">
        <v>198</v>
      </c>
      <c r="C13" s="26" t="s">
        <v>199</v>
      </c>
      <c r="D13" s="26" t="s">
        <v>200</v>
      </c>
      <c r="E13" s="26" t="s">
        <v>155</v>
      </c>
      <c r="F13" s="26" t="s">
        <v>155</v>
      </c>
      <c r="G13" s="26" t="s">
        <v>156</v>
      </c>
      <c r="H13" s="26" t="s">
        <v>201</v>
      </c>
      <c r="I13" s="26" t="s">
        <v>202</v>
      </c>
    </row>
    <row r="14" customFormat="false" ht="39.55" hidden="false" customHeight="false" outlineLevel="0" collapsed="false">
      <c r="A14" s="26" t="s">
        <v>203</v>
      </c>
      <c r="B14" s="26" t="s">
        <v>204</v>
      </c>
      <c r="C14" s="26" t="s">
        <v>109</v>
      </c>
      <c r="D14" s="26" t="s">
        <v>205</v>
      </c>
      <c r="E14" s="26" t="s">
        <v>146</v>
      </c>
      <c r="F14" s="26" t="s">
        <v>206</v>
      </c>
      <c r="G14" s="26" t="s">
        <v>148</v>
      </c>
      <c r="H14" s="26" t="s">
        <v>207</v>
      </c>
      <c r="I14" s="26" t="s">
        <v>208</v>
      </c>
    </row>
    <row r="15" customFormat="false" ht="15" hidden="false" customHeight="false" outlineLevel="0" collapsed="false">
      <c r="A15" s="26" t="s">
        <v>50</v>
      </c>
      <c r="B15" s="26" t="s">
        <v>209</v>
      </c>
      <c r="C15" s="26" t="s">
        <v>199</v>
      </c>
      <c r="D15" s="26" t="s">
        <v>210</v>
      </c>
      <c r="E15" s="26" t="s">
        <v>146</v>
      </c>
      <c r="F15" s="26" t="s">
        <v>146</v>
      </c>
      <c r="G15" s="26" t="s">
        <v>12</v>
      </c>
      <c r="H15" s="26" t="s">
        <v>211</v>
      </c>
      <c r="I15" s="26" t="s">
        <v>212</v>
      </c>
    </row>
    <row r="16" customFormat="false" ht="26.85" hidden="false" customHeight="false" outlineLevel="0" collapsed="false">
      <c r="A16" s="26" t="s">
        <v>50</v>
      </c>
      <c r="B16" s="26" t="s">
        <v>213</v>
      </c>
      <c r="C16" s="26" t="s">
        <v>186</v>
      </c>
      <c r="D16" s="26" t="s">
        <v>214</v>
      </c>
      <c r="E16" s="26" t="s">
        <v>146</v>
      </c>
      <c r="F16" s="26" t="s">
        <v>146</v>
      </c>
      <c r="G16" s="26" t="s">
        <v>148</v>
      </c>
      <c r="H16" s="26" t="s">
        <v>215</v>
      </c>
      <c r="I16" s="26" t="s">
        <v>216</v>
      </c>
    </row>
    <row r="18" customFormat="false" ht="39.55" hidden="false" customHeight="false" outlineLevel="0" collapsed="false">
      <c r="A18" s="7"/>
      <c r="B18" s="7" t="s">
        <v>217</v>
      </c>
      <c r="C18" s="7"/>
      <c r="D18" s="7" t="s">
        <v>218</v>
      </c>
      <c r="E18" s="7"/>
      <c r="F18" s="7"/>
      <c r="G18" s="7"/>
      <c r="H18" s="7"/>
      <c r="I18" s="7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3" t="s">
        <v>222</v>
      </c>
      <c r="B4" s="3" t="s">
        <v>134</v>
      </c>
      <c r="C4" s="3" t="s">
        <v>223</v>
      </c>
      <c r="D4" s="3" t="s">
        <v>224</v>
      </c>
    </row>
    <row r="5" customFormat="false" ht="26.85" hidden="false" customHeight="false" outlineLevel="0" collapsed="false">
      <c r="A5" s="26" t="s">
        <v>225</v>
      </c>
      <c r="B5" s="26" t="s">
        <v>226</v>
      </c>
      <c r="C5" s="26" t="s">
        <v>227</v>
      </c>
      <c r="D5" s="26" t="s">
        <v>228</v>
      </c>
    </row>
    <row r="6" customFormat="false" ht="39.55" hidden="false" customHeight="false" outlineLevel="0" collapsed="false">
      <c r="A6" s="26" t="s">
        <v>229</v>
      </c>
      <c r="B6" s="26" t="s">
        <v>230</v>
      </c>
      <c r="C6" s="26" t="s">
        <v>231</v>
      </c>
      <c r="D6" s="26" t="s">
        <v>232</v>
      </c>
    </row>
    <row r="7" customFormat="false" ht="39.55" hidden="false" customHeight="false" outlineLevel="0" collapsed="false">
      <c r="A7" s="26" t="s">
        <v>233</v>
      </c>
      <c r="B7" s="26" t="s">
        <v>234</v>
      </c>
      <c r="C7" s="26" t="s">
        <v>235</v>
      </c>
      <c r="D7" s="26" t="s">
        <v>236</v>
      </c>
    </row>
    <row r="8" customFormat="false" ht="39.55" hidden="false" customHeight="false" outlineLevel="0" collapsed="false">
      <c r="A8" s="26" t="s">
        <v>237</v>
      </c>
      <c r="B8" s="26" t="s">
        <v>238</v>
      </c>
      <c r="C8" s="26" t="s">
        <v>239</v>
      </c>
      <c r="D8" s="26" t="s">
        <v>240</v>
      </c>
    </row>
    <row r="9" customFormat="false" ht="26.85" hidden="false" customHeight="false" outlineLevel="0" collapsed="false">
      <c r="A9" s="26" t="s">
        <v>241</v>
      </c>
      <c r="B9" s="26" t="s">
        <v>242</v>
      </c>
      <c r="C9" s="26" t="s">
        <v>243</v>
      </c>
      <c r="D9" s="26" t="s">
        <v>244</v>
      </c>
    </row>
    <row r="10" customFormat="false" ht="26.85" hidden="false" customHeight="false" outlineLevel="0" collapsed="false">
      <c r="A10" s="26" t="s">
        <v>245</v>
      </c>
      <c r="B10" s="26" t="s">
        <v>246</v>
      </c>
      <c r="C10" s="26" t="s">
        <v>247</v>
      </c>
      <c r="D10" s="26" t="s">
        <v>248</v>
      </c>
    </row>
    <row r="11" customFormat="false" ht="26.85" hidden="false" customHeight="false" outlineLevel="0" collapsed="false">
      <c r="A11" s="26" t="s">
        <v>249</v>
      </c>
      <c r="B11" s="26" t="s">
        <v>250</v>
      </c>
      <c r="C11" s="26" t="s">
        <v>251</v>
      </c>
      <c r="D11" s="26" t="s">
        <v>252</v>
      </c>
    </row>
    <row r="12" customFormat="false" ht="26.85" hidden="false" customHeight="false" outlineLevel="0" collapsed="false">
      <c r="A12" s="26" t="s">
        <v>253</v>
      </c>
      <c r="B12" s="26" t="s">
        <v>254</v>
      </c>
      <c r="C12" s="26" t="s">
        <v>255</v>
      </c>
      <c r="D12" s="26" t="s">
        <v>256</v>
      </c>
    </row>
    <row r="13" customFormat="false" ht="26.85" hidden="false" customHeight="false" outlineLevel="0" collapsed="false">
      <c r="A13" s="26" t="s">
        <v>257</v>
      </c>
      <c r="B13" s="26" t="s">
        <v>258</v>
      </c>
      <c r="C13" s="26" t="s">
        <v>259</v>
      </c>
      <c r="D13" s="26" t="s">
        <v>260</v>
      </c>
    </row>
    <row r="14" customFormat="false" ht="39.55" hidden="false" customHeight="false" outlineLevel="0" collapsed="false">
      <c r="A14" s="26" t="s">
        <v>261</v>
      </c>
      <c r="B14" s="26" t="s">
        <v>262</v>
      </c>
      <c r="C14" s="26" t="s">
        <v>263</v>
      </c>
      <c r="D14" s="26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2026-10-23T23:49:15Z</dcterms:created>
  <dc:creator>openpyxl</dc:creator>
  <dc:description/>
  <dc:language>en-US</dc:language>
  <cp:lastModifiedBy/>
  <dcterms:modified xsi:type="dcterms:W3CDTF">2026-10-23T23:49:15Z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